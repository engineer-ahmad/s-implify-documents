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C8849ADF-437A-48A6-B90F-98E061F3BF8D}" xr6:coauthVersionLast="47" xr6:coauthVersionMax="47" xr10:uidLastSave="{00000000-0000-0000-0000-000000000000}"/>
  <bookViews>
    <workbookView minimized="1" xWindow="25605" yWindow="330" windowWidth="15375" windowHeight="7995" firstSheet="3" activeTab="3" xr2:uid="{00000000-000D-0000-FFFF-FFFF00000000}"/>
  </bookViews>
  <sheets>
    <sheet name="District ADAEnrollment" sheetId="1" r:id="rId1"/>
    <sheet name="SECA" sheetId="2" r:id="rId2"/>
    <sheet name="CECA" sheetId="3" r:id="rId3"/>
    <sheet name="Sheldon Elementary" sheetId="5" r:id="rId4"/>
    <sheet name="SLE" sheetId="6" r:id="rId5"/>
    <sheet name="GE" sheetId="7" r:id="rId6"/>
    <sheet name="CE" sheetId="8" r:id="rId7"/>
    <sheet name="KMS" sheetId="9" r:id="rId8"/>
    <sheet name="NMS" sheetId="10" r:id="rId9"/>
    <sheet name="ME" sheetId="11" r:id="rId10"/>
    <sheet name="9TH CAMP" sheetId="12" r:id="rId11"/>
    <sheet name="KHS" sheetId="13" r:id="rId12"/>
    <sheet name="ECHS" sheetId="14" r:id="rId13"/>
    <sheet name="KASE" sheetId="15" r:id="rId14"/>
    <sheet name="HIGH SCHOOL" sheetId="16" r:id="rId15"/>
    <sheet name="SAMPLE" sheetId="4" r:id="rId16"/>
    <sheet name="Highpoint" sheetId="17" r:id="rId17"/>
  </sheets>
  <definedNames>
    <definedName name="_xlnm._FilterDatabase" localSheetId="10" hidden="1">'9TH CAMP'!$A$6:$I$215</definedName>
    <definedName name="_xlnm._FilterDatabase" localSheetId="6" hidden="1">CE!$A$6:$I$215</definedName>
    <definedName name="_xlnm._FilterDatabase" localSheetId="2" hidden="1">CECA!$A$6:$I$215</definedName>
    <definedName name="_xlnm._FilterDatabase" localSheetId="12" hidden="1">ECHS!$A$6:$I$215</definedName>
    <definedName name="_xlnm._FilterDatabase" localSheetId="5" hidden="1">GE!$A$6:$I$215</definedName>
    <definedName name="_xlnm._FilterDatabase" localSheetId="11" hidden="1">KHS!$A$6:$I$215</definedName>
    <definedName name="_xlnm._FilterDatabase" localSheetId="7" hidden="1">KMS!$A$6:$I$215</definedName>
    <definedName name="_xlnm._FilterDatabase" localSheetId="9" hidden="1">ME!$A$6:$I$215</definedName>
    <definedName name="_xlnm._FilterDatabase" localSheetId="8" hidden="1">NMS!$A$6:$I$215</definedName>
    <definedName name="_xlnm._FilterDatabase" localSheetId="15" hidden="1">SAMPLE!$A$6:$I$215</definedName>
    <definedName name="_xlnm._FilterDatabase" localSheetId="1" hidden="1">SECA!$A$6:$I$215</definedName>
    <definedName name="_xlnm._FilterDatabase" localSheetId="3" hidden="1">'Sheldon Elementary'!$A$6:$F$215</definedName>
    <definedName name="_xlnm._FilterDatabase" localSheetId="4" hidden="1">SLE!$A$6:$I$215</definedName>
  </definedNames>
  <calcPr calcId="181029"/>
</workbook>
</file>

<file path=xl/calcChain.xml><?xml version="1.0" encoding="utf-8"?>
<calcChain xmlns="http://schemas.openxmlformats.org/spreadsheetml/2006/main">
  <c r="H5" i="1" l="1"/>
  <c r="J5" i="1"/>
  <c r="L5" i="1"/>
  <c r="N5" i="1"/>
  <c r="R5" i="1"/>
  <c r="T5" i="1"/>
  <c r="V5" i="1"/>
  <c r="X5" i="1"/>
  <c r="Z5" i="1"/>
  <c r="AB5" i="1"/>
  <c r="AD5" i="1"/>
  <c r="AF5" i="1"/>
  <c r="P5" i="1"/>
  <c r="K215" i="16"/>
  <c r="L211" i="16"/>
  <c r="K211" i="16"/>
  <c r="G211" i="16"/>
  <c r="C211" i="16"/>
  <c r="L186" i="16"/>
  <c r="K186" i="16"/>
  <c r="G186" i="16"/>
  <c r="C186" i="16"/>
  <c r="L185" i="16"/>
  <c r="K185" i="16"/>
  <c r="G185" i="16"/>
  <c r="C185" i="16"/>
  <c r="L165" i="16"/>
  <c r="K165" i="16"/>
  <c r="G165" i="16"/>
  <c r="C165" i="16"/>
  <c r="L164" i="16"/>
  <c r="K164" i="16"/>
  <c r="G164" i="16"/>
  <c r="C164" i="16"/>
  <c r="L163" i="16"/>
  <c r="K163" i="16"/>
  <c r="G163" i="16"/>
  <c r="C163" i="16"/>
  <c r="L162" i="16"/>
  <c r="K162" i="16"/>
  <c r="G162" i="16"/>
  <c r="C162" i="16"/>
  <c r="L161" i="16"/>
  <c r="K161" i="16"/>
  <c r="G161" i="16"/>
  <c r="C161" i="16"/>
  <c r="G141" i="16"/>
  <c r="C141" i="16"/>
  <c r="G137" i="16"/>
  <c r="C137" i="16"/>
  <c r="G136" i="16"/>
  <c r="C136" i="16"/>
  <c r="G121" i="16"/>
  <c r="C121" i="16"/>
  <c r="L112" i="16"/>
  <c r="K112" i="16"/>
  <c r="G112" i="16"/>
  <c r="C112" i="16"/>
  <c r="L111" i="16"/>
  <c r="K111" i="16"/>
  <c r="G111" i="16"/>
  <c r="C111" i="16"/>
  <c r="L110" i="16"/>
  <c r="K110" i="16"/>
  <c r="G110" i="16"/>
  <c r="C110" i="16"/>
  <c r="L109" i="16"/>
  <c r="K109" i="16"/>
  <c r="G109" i="16"/>
  <c r="C109" i="16"/>
  <c r="L108" i="16"/>
  <c r="K108" i="16"/>
  <c r="G108" i="16"/>
  <c r="C108" i="16"/>
  <c r="L107" i="16"/>
  <c r="K107" i="16"/>
  <c r="G107" i="16"/>
  <c r="C107" i="16"/>
  <c r="L106" i="16"/>
  <c r="K106" i="16"/>
  <c r="G106" i="16"/>
  <c r="C106" i="16"/>
  <c r="L105" i="16"/>
  <c r="K105" i="16"/>
  <c r="G105" i="16"/>
  <c r="C105" i="16"/>
  <c r="L104" i="16"/>
  <c r="K104" i="16"/>
  <c r="G104" i="16"/>
  <c r="C104" i="16"/>
  <c r="L103" i="16"/>
  <c r="K103" i="16"/>
  <c r="G103" i="16"/>
  <c r="C103" i="16"/>
  <c r="L102" i="16"/>
  <c r="K102" i="16"/>
  <c r="G102" i="16"/>
  <c r="C102" i="16"/>
  <c r="L101" i="16"/>
  <c r="K101" i="16"/>
  <c r="G101" i="16"/>
  <c r="C101" i="16"/>
  <c r="L85" i="16"/>
  <c r="K85" i="16"/>
  <c r="G85" i="16"/>
  <c r="C85" i="16"/>
  <c r="L84" i="16"/>
  <c r="K84" i="16"/>
  <c r="G84" i="16"/>
  <c r="C84" i="16"/>
  <c r="L83" i="16"/>
  <c r="K83" i="16"/>
  <c r="G83" i="16"/>
  <c r="C83" i="16"/>
  <c r="L82" i="16"/>
  <c r="K82" i="16"/>
  <c r="G82" i="16"/>
  <c r="C82" i="16"/>
  <c r="L81" i="16"/>
  <c r="K81" i="16"/>
  <c r="G81" i="16"/>
  <c r="C81" i="16"/>
  <c r="L67" i="16"/>
  <c r="K67" i="16"/>
  <c r="G67" i="16"/>
  <c r="C67" i="16"/>
  <c r="L66" i="16"/>
  <c r="K66" i="16"/>
  <c r="G66" i="16"/>
  <c r="C66" i="16"/>
  <c r="L50" i="16"/>
  <c r="K50" i="16"/>
  <c r="G50" i="16"/>
  <c r="C50" i="16"/>
  <c r="L49" i="16"/>
  <c r="K49" i="16"/>
  <c r="G49" i="16"/>
  <c r="C49" i="16"/>
  <c r="L48" i="16"/>
  <c r="K48" i="16"/>
  <c r="G48" i="16"/>
  <c r="C48" i="16"/>
  <c r="L47" i="16"/>
  <c r="K47" i="16"/>
  <c r="G47" i="16"/>
  <c r="C47" i="16"/>
  <c r="L46" i="16"/>
  <c r="K46" i="16"/>
  <c r="G46" i="16"/>
  <c r="C46" i="16"/>
  <c r="L31" i="16"/>
  <c r="K31" i="16"/>
  <c r="G31" i="16"/>
  <c r="C31" i="16"/>
  <c r="L21" i="16"/>
  <c r="K21" i="16"/>
  <c r="G21" i="16"/>
  <c r="C21" i="16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J40" i="15"/>
  <c r="D40" i="15"/>
  <c r="J39" i="15"/>
  <c r="D39" i="15"/>
  <c r="J38" i="15"/>
  <c r="D38" i="15"/>
  <c r="J37" i="15"/>
  <c r="D37" i="15"/>
  <c r="J36" i="15"/>
  <c r="D36" i="15"/>
  <c r="J35" i="15"/>
  <c r="D35" i="15"/>
  <c r="J34" i="15"/>
  <c r="D34" i="15"/>
  <c r="J33" i="15"/>
  <c r="D33" i="15"/>
  <c r="J32" i="15"/>
  <c r="D32" i="15"/>
  <c r="J31" i="15"/>
  <c r="D31" i="15"/>
  <c r="J30" i="15"/>
  <c r="D30" i="15"/>
  <c r="J29" i="15"/>
  <c r="D29" i="15"/>
  <c r="J28" i="15"/>
  <c r="D28" i="15"/>
  <c r="J27" i="15"/>
  <c r="D27" i="15"/>
  <c r="J26" i="15"/>
  <c r="D26" i="15"/>
  <c r="J25" i="15"/>
  <c r="D25" i="15"/>
  <c r="J24" i="15"/>
  <c r="D24" i="15"/>
  <c r="J23" i="15"/>
  <c r="D23" i="15"/>
  <c r="J22" i="15"/>
  <c r="D22" i="15"/>
  <c r="J21" i="15"/>
  <c r="D21" i="15"/>
  <c r="J20" i="15"/>
  <c r="D20" i="15"/>
  <c r="J19" i="15"/>
  <c r="D19" i="15"/>
  <c r="J18" i="15"/>
  <c r="D18" i="15"/>
  <c r="J17" i="15"/>
  <c r="D17" i="15"/>
  <c r="J16" i="15"/>
  <c r="D16" i="15"/>
  <c r="J15" i="15"/>
  <c r="D15" i="15"/>
  <c r="J14" i="15"/>
  <c r="D14" i="15"/>
  <c r="J13" i="15"/>
  <c r="D13" i="15"/>
  <c r="J12" i="15"/>
  <c r="D12" i="15"/>
  <c r="J11" i="15"/>
  <c r="D11" i="15"/>
  <c r="J10" i="15"/>
  <c r="D10" i="15"/>
  <c r="J9" i="15"/>
  <c r="D9" i="15"/>
  <c r="J8" i="15"/>
  <c r="D8" i="15"/>
  <c r="J7" i="15"/>
  <c r="D7" i="15"/>
  <c r="J6" i="15"/>
  <c r="D6" i="15"/>
  <c r="J5" i="15"/>
  <c r="D5" i="15"/>
  <c r="J4" i="15"/>
  <c r="D4" i="15"/>
  <c r="J215" i="14"/>
  <c r="K215" i="14" s="1"/>
  <c r="I215" i="14"/>
  <c r="H215" i="14"/>
  <c r="J214" i="14"/>
  <c r="K214" i="14" s="1"/>
  <c r="I214" i="14"/>
  <c r="H214" i="14"/>
  <c r="J213" i="14"/>
  <c r="K213" i="14" s="1"/>
  <c r="I213" i="14"/>
  <c r="H213" i="14"/>
  <c r="J212" i="14"/>
  <c r="K212" i="14" s="1"/>
  <c r="I212" i="14"/>
  <c r="H212" i="14"/>
  <c r="J211" i="14"/>
  <c r="K211" i="14" s="1"/>
  <c r="I211" i="14"/>
  <c r="H211" i="14"/>
  <c r="K210" i="14"/>
  <c r="J210" i="14"/>
  <c r="I210" i="14"/>
  <c r="H210" i="14"/>
  <c r="J209" i="14"/>
  <c r="K209" i="14" s="1"/>
  <c r="I209" i="14"/>
  <c r="H209" i="14"/>
  <c r="J208" i="14"/>
  <c r="K208" i="14" s="1"/>
  <c r="I208" i="14"/>
  <c r="H208" i="14"/>
  <c r="J207" i="14"/>
  <c r="K207" i="14" s="1"/>
  <c r="I207" i="14"/>
  <c r="H207" i="14"/>
  <c r="K206" i="14"/>
  <c r="J206" i="14"/>
  <c r="I206" i="14"/>
  <c r="H206" i="14"/>
  <c r="J205" i="14"/>
  <c r="K205" i="14" s="1"/>
  <c r="I205" i="14"/>
  <c r="H205" i="14"/>
  <c r="K204" i="14"/>
  <c r="J204" i="14"/>
  <c r="I204" i="14"/>
  <c r="H204" i="14"/>
  <c r="J203" i="14"/>
  <c r="K203" i="14" s="1"/>
  <c r="I203" i="14"/>
  <c r="H203" i="14"/>
  <c r="J202" i="14"/>
  <c r="K202" i="14" s="1"/>
  <c r="I202" i="14"/>
  <c r="H202" i="14"/>
  <c r="J201" i="14"/>
  <c r="K201" i="14" s="1"/>
  <c r="I201" i="14"/>
  <c r="H201" i="14"/>
  <c r="K200" i="14"/>
  <c r="J200" i="14"/>
  <c r="I200" i="14"/>
  <c r="H200" i="14"/>
  <c r="J199" i="14"/>
  <c r="K199" i="14" s="1"/>
  <c r="I199" i="14"/>
  <c r="H199" i="14"/>
  <c r="K198" i="14"/>
  <c r="J198" i="14"/>
  <c r="I198" i="14"/>
  <c r="H198" i="14"/>
  <c r="J197" i="14"/>
  <c r="K197" i="14" s="1"/>
  <c r="I197" i="14"/>
  <c r="H197" i="14"/>
  <c r="J196" i="14"/>
  <c r="K196" i="14" s="1"/>
  <c r="I196" i="14"/>
  <c r="H196" i="14"/>
  <c r="J195" i="14"/>
  <c r="K195" i="14" s="1"/>
  <c r="I195" i="14"/>
  <c r="H195" i="14"/>
  <c r="K194" i="14"/>
  <c r="J194" i="14"/>
  <c r="I194" i="14"/>
  <c r="H194" i="14"/>
  <c r="J193" i="14"/>
  <c r="K193" i="14" s="1"/>
  <c r="I193" i="14"/>
  <c r="H193" i="14"/>
  <c r="J192" i="14"/>
  <c r="K192" i="14" s="1"/>
  <c r="I192" i="14"/>
  <c r="H192" i="14"/>
  <c r="J191" i="14"/>
  <c r="K191" i="14" s="1"/>
  <c r="I191" i="14"/>
  <c r="H191" i="14"/>
  <c r="K190" i="14"/>
  <c r="J190" i="14"/>
  <c r="I190" i="14"/>
  <c r="H190" i="14"/>
  <c r="J189" i="14"/>
  <c r="K189" i="14" s="1"/>
  <c r="H189" i="14"/>
  <c r="I189" i="14" s="1"/>
  <c r="J188" i="14"/>
  <c r="K188" i="14" s="1"/>
  <c r="I188" i="14"/>
  <c r="H188" i="14"/>
  <c r="J187" i="14"/>
  <c r="K187" i="14" s="1"/>
  <c r="H187" i="14"/>
  <c r="I187" i="14" s="1"/>
  <c r="K186" i="14"/>
  <c r="J186" i="14"/>
  <c r="I186" i="14"/>
  <c r="H186" i="14"/>
  <c r="J185" i="14"/>
  <c r="K185" i="14" s="1"/>
  <c r="H185" i="14"/>
  <c r="I185" i="14" s="1"/>
  <c r="K184" i="14"/>
  <c r="J184" i="14"/>
  <c r="I184" i="14"/>
  <c r="H184" i="14"/>
  <c r="J183" i="14"/>
  <c r="K183" i="14" s="1"/>
  <c r="H183" i="14"/>
  <c r="I183" i="14" s="1"/>
  <c r="K182" i="14"/>
  <c r="J182" i="14"/>
  <c r="I182" i="14"/>
  <c r="H182" i="14"/>
  <c r="J181" i="14"/>
  <c r="K181" i="14" s="1"/>
  <c r="H181" i="14"/>
  <c r="I181" i="14" s="1"/>
  <c r="J180" i="14"/>
  <c r="K180" i="14" s="1"/>
  <c r="I180" i="14"/>
  <c r="H180" i="14"/>
  <c r="J179" i="14"/>
  <c r="K179" i="14" s="1"/>
  <c r="H179" i="14"/>
  <c r="I179" i="14" s="1"/>
  <c r="K178" i="14"/>
  <c r="J178" i="14"/>
  <c r="I178" i="14"/>
  <c r="H178" i="14"/>
  <c r="J177" i="14"/>
  <c r="K177" i="14" s="1"/>
  <c r="H177" i="14"/>
  <c r="I177" i="14" s="1"/>
  <c r="K176" i="14"/>
  <c r="J176" i="14"/>
  <c r="I176" i="14"/>
  <c r="H176" i="14"/>
  <c r="J175" i="14"/>
  <c r="K175" i="14" s="1"/>
  <c r="H175" i="14"/>
  <c r="I175" i="14" s="1"/>
  <c r="K174" i="14"/>
  <c r="J174" i="14"/>
  <c r="I174" i="14"/>
  <c r="H174" i="14"/>
  <c r="J173" i="14"/>
  <c r="K173" i="14" s="1"/>
  <c r="H173" i="14"/>
  <c r="I173" i="14" s="1"/>
  <c r="J172" i="14"/>
  <c r="K172" i="14" s="1"/>
  <c r="I172" i="14"/>
  <c r="H172" i="14"/>
  <c r="J171" i="14"/>
  <c r="K171" i="14" s="1"/>
  <c r="H171" i="14"/>
  <c r="I171" i="14" s="1"/>
  <c r="K170" i="14"/>
  <c r="J170" i="14"/>
  <c r="I170" i="14"/>
  <c r="H170" i="14"/>
  <c r="J169" i="14"/>
  <c r="K169" i="14" s="1"/>
  <c r="H169" i="14"/>
  <c r="I169" i="14" s="1"/>
  <c r="J168" i="14"/>
  <c r="K168" i="14" s="1"/>
  <c r="I168" i="14"/>
  <c r="H168" i="14"/>
  <c r="J167" i="14"/>
  <c r="K167" i="14" s="1"/>
  <c r="H167" i="14"/>
  <c r="I167" i="14" s="1"/>
  <c r="K166" i="14"/>
  <c r="J166" i="14"/>
  <c r="I166" i="14"/>
  <c r="H166" i="14"/>
  <c r="J165" i="14"/>
  <c r="K165" i="14" s="1"/>
  <c r="H165" i="14"/>
  <c r="I165" i="14" s="1"/>
  <c r="J164" i="14"/>
  <c r="K164" i="14" s="1"/>
  <c r="I164" i="14"/>
  <c r="H164" i="14"/>
  <c r="J163" i="14"/>
  <c r="K163" i="14" s="1"/>
  <c r="H163" i="14"/>
  <c r="I163" i="14" s="1"/>
  <c r="K162" i="14"/>
  <c r="J162" i="14"/>
  <c r="I162" i="14"/>
  <c r="H162" i="14"/>
  <c r="J161" i="14"/>
  <c r="K161" i="14" s="1"/>
  <c r="H161" i="14"/>
  <c r="I161" i="14" s="1"/>
  <c r="J160" i="14"/>
  <c r="K160" i="14" s="1"/>
  <c r="I160" i="14"/>
  <c r="H160" i="14"/>
  <c r="J159" i="14"/>
  <c r="K159" i="14" s="1"/>
  <c r="H159" i="14"/>
  <c r="I159" i="14" s="1"/>
  <c r="K158" i="14"/>
  <c r="J158" i="14"/>
  <c r="I158" i="14"/>
  <c r="H158" i="14"/>
  <c r="J157" i="14"/>
  <c r="K157" i="14" s="1"/>
  <c r="H157" i="14"/>
  <c r="I157" i="14" s="1"/>
  <c r="J156" i="14"/>
  <c r="K156" i="14" s="1"/>
  <c r="I156" i="14"/>
  <c r="H156" i="14"/>
  <c r="J155" i="14"/>
  <c r="K155" i="14" s="1"/>
  <c r="H155" i="14"/>
  <c r="I155" i="14" s="1"/>
  <c r="J154" i="14"/>
  <c r="K154" i="14" s="1"/>
  <c r="I154" i="14"/>
  <c r="H154" i="14"/>
  <c r="J153" i="14"/>
  <c r="K153" i="14" s="1"/>
  <c r="H153" i="14"/>
  <c r="I153" i="14" s="1"/>
  <c r="K152" i="14"/>
  <c r="J152" i="14"/>
  <c r="I152" i="14"/>
  <c r="H152" i="14"/>
  <c r="J151" i="14"/>
  <c r="K151" i="14" s="1"/>
  <c r="H151" i="14"/>
  <c r="I151" i="14" s="1"/>
  <c r="K150" i="14"/>
  <c r="J150" i="14"/>
  <c r="I150" i="14"/>
  <c r="H150" i="14"/>
  <c r="J149" i="14"/>
  <c r="K149" i="14" s="1"/>
  <c r="H149" i="14"/>
  <c r="I149" i="14" s="1"/>
  <c r="J148" i="14"/>
  <c r="K148" i="14" s="1"/>
  <c r="I148" i="14"/>
  <c r="H148" i="14"/>
  <c r="J147" i="14"/>
  <c r="K147" i="14" s="1"/>
  <c r="H147" i="14"/>
  <c r="I147" i="14" s="1"/>
  <c r="J146" i="14"/>
  <c r="K146" i="14" s="1"/>
  <c r="I146" i="14"/>
  <c r="H146" i="14"/>
  <c r="J145" i="14"/>
  <c r="K145" i="14" s="1"/>
  <c r="H145" i="14"/>
  <c r="I145" i="14" s="1"/>
  <c r="J144" i="14"/>
  <c r="K144" i="14" s="1"/>
  <c r="I144" i="14"/>
  <c r="H144" i="14"/>
  <c r="J143" i="14"/>
  <c r="K143" i="14" s="1"/>
  <c r="H143" i="14"/>
  <c r="I143" i="14" s="1"/>
  <c r="K142" i="14"/>
  <c r="J142" i="14"/>
  <c r="I142" i="14"/>
  <c r="H142" i="14"/>
  <c r="J141" i="14"/>
  <c r="K141" i="14" s="1"/>
  <c r="H141" i="14"/>
  <c r="I141" i="14" s="1"/>
  <c r="J140" i="14"/>
  <c r="K140" i="14" s="1"/>
  <c r="I140" i="14"/>
  <c r="H140" i="14"/>
  <c r="J139" i="14"/>
  <c r="K139" i="14" s="1"/>
  <c r="H139" i="14"/>
  <c r="I139" i="14" s="1"/>
  <c r="K138" i="14"/>
  <c r="J138" i="14"/>
  <c r="I138" i="14"/>
  <c r="H138" i="14"/>
  <c r="J137" i="14"/>
  <c r="K137" i="14" s="1"/>
  <c r="H137" i="14"/>
  <c r="I137" i="14" s="1"/>
  <c r="K136" i="14"/>
  <c r="J136" i="14"/>
  <c r="I136" i="14"/>
  <c r="H136" i="14"/>
  <c r="J135" i="14"/>
  <c r="K135" i="14" s="1"/>
  <c r="H135" i="14"/>
  <c r="I135" i="14" s="1"/>
  <c r="K134" i="14"/>
  <c r="J134" i="14"/>
  <c r="I134" i="14"/>
  <c r="H134" i="14"/>
  <c r="J133" i="14"/>
  <c r="K133" i="14" s="1"/>
  <c r="H133" i="14"/>
  <c r="I133" i="14" s="1"/>
  <c r="J132" i="14"/>
  <c r="K132" i="14" s="1"/>
  <c r="I132" i="14"/>
  <c r="H132" i="14"/>
  <c r="J131" i="14"/>
  <c r="K131" i="14" s="1"/>
  <c r="H131" i="14"/>
  <c r="I131" i="14" s="1"/>
  <c r="J130" i="14"/>
  <c r="K130" i="14" s="1"/>
  <c r="I130" i="14"/>
  <c r="H130" i="14"/>
  <c r="J129" i="14"/>
  <c r="K129" i="14" s="1"/>
  <c r="H129" i="14"/>
  <c r="I129" i="14" s="1"/>
  <c r="K128" i="14"/>
  <c r="J128" i="14"/>
  <c r="I128" i="14"/>
  <c r="H128" i="14"/>
  <c r="J127" i="14"/>
  <c r="K127" i="14" s="1"/>
  <c r="H127" i="14"/>
  <c r="I127" i="14" s="1"/>
  <c r="K126" i="14"/>
  <c r="J126" i="14"/>
  <c r="I126" i="14"/>
  <c r="H126" i="14"/>
  <c r="J125" i="14"/>
  <c r="K125" i="14" s="1"/>
  <c r="H125" i="14"/>
  <c r="I125" i="14" s="1"/>
  <c r="J124" i="14"/>
  <c r="K124" i="14" s="1"/>
  <c r="I124" i="14"/>
  <c r="H124" i="14"/>
  <c r="J123" i="14"/>
  <c r="K123" i="14" s="1"/>
  <c r="H123" i="14"/>
  <c r="I123" i="14" s="1"/>
  <c r="K122" i="14"/>
  <c r="J122" i="14"/>
  <c r="I122" i="14"/>
  <c r="H122" i="14"/>
  <c r="J121" i="14"/>
  <c r="K121" i="14" s="1"/>
  <c r="H121" i="14"/>
  <c r="I121" i="14" s="1"/>
  <c r="J120" i="14"/>
  <c r="K120" i="14" s="1"/>
  <c r="I120" i="14"/>
  <c r="H120" i="14"/>
  <c r="J119" i="14"/>
  <c r="K119" i="14" s="1"/>
  <c r="H119" i="14"/>
  <c r="I119" i="14" s="1"/>
  <c r="J118" i="14"/>
  <c r="I118" i="14"/>
  <c r="H118" i="14"/>
  <c r="K118" i="14" s="1"/>
  <c r="J117" i="14"/>
  <c r="K117" i="14" s="1"/>
  <c r="H117" i="14"/>
  <c r="I117" i="14" s="1"/>
  <c r="J116" i="14"/>
  <c r="K116" i="14" s="1"/>
  <c r="I116" i="14"/>
  <c r="H116" i="14"/>
  <c r="J115" i="14"/>
  <c r="H115" i="14"/>
  <c r="I115" i="14" s="1"/>
  <c r="J114" i="14"/>
  <c r="K114" i="14" s="1"/>
  <c r="H114" i="14"/>
  <c r="I114" i="14" s="1"/>
  <c r="J113" i="14"/>
  <c r="K113" i="14" s="1"/>
  <c r="H113" i="14"/>
  <c r="I113" i="14" s="1"/>
  <c r="J112" i="14"/>
  <c r="K112" i="14" s="1"/>
  <c r="I112" i="14"/>
  <c r="H112" i="14"/>
  <c r="J111" i="14"/>
  <c r="H111" i="14"/>
  <c r="I111" i="14" s="1"/>
  <c r="J110" i="14"/>
  <c r="I110" i="14"/>
  <c r="H110" i="14"/>
  <c r="K110" i="14" s="1"/>
  <c r="J109" i="14"/>
  <c r="H109" i="14"/>
  <c r="I109" i="14" s="1"/>
  <c r="J108" i="14"/>
  <c r="K108" i="14" s="1"/>
  <c r="I108" i="14"/>
  <c r="H108" i="14"/>
  <c r="J107" i="14"/>
  <c r="H107" i="14"/>
  <c r="I107" i="14" s="1"/>
  <c r="J106" i="14"/>
  <c r="K106" i="14" s="1"/>
  <c r="H106" i="14"/>
  <c r="I106" i="14" s="1"/>
  <c r="J105" i="14"/>
  <c r="K105" i="14" s="1"/>
  <c r="H105" i="14"/>
  <c r="I105" i="14" s="1"/>
  <c r="K104" i="14"/>
  <c r="J104" i="14"/>
  <c r="I104" i="14"/>
  <c r="H104" i="14"/>
  <c r="J103" i="14"/>
  <c r="H103" i="14"/>
  <c r="I103" i="14" s="1"/>
  <c r="J102" i="14"/>
  <c r="I102" i="14"/>
  <c r="H102" i="14"/>
  <c r="K102" i="14" s="1"/>
  <c r="J101" i="14"/>
  <c r="H101" i="14"/>
  <c r="I101" i="14" s="1"/>
  <c r="J100" i="14"/>
  <c r="K100" i="14" s="1"/>
  <c r="I100" i="14"/>
  <c r="H100" i="14"/>
  <c r="J99" i="14"/>
  <c r="K99" i="14" s="1"/>
  <c r="H99" i="14"/>
  <c r="I99" i="14" s="1"/>
  <c r="K98" i="14"/>
  <c r="J98" i="14"/>
  <c r="H98" i="14"/>
  <c r="I98" i="14" s="1"/>
  <c r="J97" i="14"/>
  <c r="K97" i="14" s="1"/>
  <c r="H97" i="14"/>
  <c r="I97" i="14" s="1"/>
  <c r="K96" i="14"/>
  <c r="J96" i="14"/>
  <c r="I96" i="14"/>
  <c r="H96" i="14"/>
  <c r="J95" i="14"/>
  <c r="K95" i="14" s="1"/>
  <c r="H95" i="14"/>
  <c r="I95" i="14" s="1"/>
  <c r="J94" i="14"/>
  <c r="H94" i="14"/>
  <c r="I94" i="14" s="1"/>
  <c r="K93" i="14"/>
  <c r="J93" i="14"/>
  <c r="I93" i="14"/>
  <c r="H93" i="14"/>
  <c r="J92" i="14"/>
  <c r="K92" i="14" s="1"/>
  <c r="I92" i="14"/>
  <c r="H92" i="14"/>
  <c r="K91" i="14"/>
  <c r="J91" i="14"/>
  <c r="I91" i="14"/>
  <c r="H91" i="14"/>
  <c r="J90" i="14"/>
  <c r="I90" i="14"/>
  <c r="H90" i="14"/>
  <c r="K89" i="14"/>
  <c r="J89" i="14"/>
  <c r="I89" i="14"/>
  <c r="H89" i="14"/>
  <c r="J88" i="14"/>
  <c r="K88" i="14" s="1"/>
  <c r="H88" i="14"/>
  <c r="I88" i="14" s="1"/>
  <c r="K87" i="14"/>
  <c r="J87" i="14"/>
  <c r="I87" i="14"/>
  <c r="H87" i="14"/>
  <c r="J86" i="14"/>
  <c r="K86" i="14" s="1"/>
  <c r="I86" i="14"/>
  <c r="H86" i="14"/>
  <c r="K85" i="14"/>
  <c r="J85" i="14"/>
  <c r="I85" i="14"/>
  <c r="H85" i="14"/>
  <c r="J84" i="14"/>
  <c r="I84" i="14"/>
  <c r="H84" i="14"/>
  <c r="K83" i="14"/>
  <c r="J83" i="14"/>
  <c r="I83" i="14"/>
  <c r="H83" i="14"/>
  <c r="J82" i="14"/>
  <c r="H82" i="14"/>
  <c r="I82" i="14" s="1"/>
  <c r="K81" i="14"/>
  <c r="J81" i="14"/>
  <c r="I81" i="14"/>
  <c r="H81" i="14"/>
  <c r="J80" i="14"/>
  <c r="H80" i="14"/>
  <c r="I80" i="14" s="1"/>
  <c r="K79" i="14"/>
  <c r="J79" i="14"/>
  <c r="I79" i="14"/>
  <c r="H79" i="14"/>
  <c r="J78" i="14"/>
  <c r="H78" i="14"/>
  <c r="I78" i="14" s="1"/>
  <c r="K77" i="14"/>
  <c r="J77" i="14"/>
  <c r="I77" i="14"/>
  <c r="H77" i="14"/>
  <c r="J76" i="14"/>
  <c r="K76" i="14" s="1"/>
  <c r="I76" i="14"/>
  <c r="H76" i="14"/>
  <c r="K75" i="14"/>
  <c r="J75" i="14"/>
  <c r="I75" i="14"/>
  <c r="H75" i="14"/>
  <c r="J74" i="14"/>
  <c r="K74" i="14" s="1"/>
  <c r="I74" i="14"/>
  <c r="H74" i="14"/>
  <c r="K73" i="14"/>
  <c r="J73" i="14"/>
  <c r="I73" i="14"/>
  <c r="H73" i="14"/>
  <c r="J72" i="14"/>
  <c r="H72" i="14"/>
  <c r="I72" i="14" s="1"/>
  <c r="K71" i="14"/>
  <c r="J71" i="14"/>
  <c r="I71" i="14"/>
  <c r="H71" i="14"/>
  <c r="J70" i="14"/>
  <c r="K70" i="14" s="1"/>
  <c r="I70" i="14"/>
  <c r="H70" i="14"/>
  <c r="K69" i="14"/>
  <c r="J69" i="14"/>
  <c r="I69" i="14"/>
  <c r="H69" i="14"/>
  <c r="J68" i="14"/>
  <c r="H68" i="14"/>
  <c r="I68" i="14" s="1"/>
  <c r="K67" i="14"/>
  <c r="J67" i="14"/>
  <c r="I67" i="14"/>
  <c r="H67" i="14"/>
  <c r="J66" i="14"/>
  <c r="K66" i="14" s="1"/>
  <c r="I66" i="14"/>
  <c r="H66" i="14"/>
  <c r="K65" i="14"/>
  <c r="J65" i="14"/>
  <c r="I65" i="14"/>
  <c r="H65" i="14"/>
  <c r="J64" i="14"/>
  <c r="I64" i="14"/>
  <c r="H64" i="14"/>
  <c r="K63" i="14"/>
  <c r="J63" i="14"/>
  <c r="I63" i="14"/>
  <c r="H63" i="14"/>
  <c r="J62" i="14"/>
  <c r="H62" i="14"/>
  <c r="I62" i="14" s="1"/>
  <c r="K61" i="14"/>
  <c r="J61" i="14"/>
  <c r="I61" i="14"/>
  <c r="H61" i="14"/>
  <c r="J60" i="14"/>
  <c r="K60" i="14" s="1"/>
  <c r="I60" i="14"/>
  <c r="H60" i="14"/>
  <c r="K59" i="14"/>
  <c r="J59" i="14"/>
  <c r="I59" i="14"/>
  <c r="H59" i="14"/>
  <c r="J58" i="14"/>
  <c r="K58" i="14" s="1"/>
  <c r="I58" i="14"/>
  <c r="H58" i="14"/>
  <c r="K57" i="14"/>
  <c r="J57" i="14"/>
  <c r="I57" i="14"/>
  <c r="H57" i="14"/>
  <c r="J56" i="14"/>
  <c r="H56" i="14"/>
  <c r="I56" i="14" s="1"/>
  <c r="K55" i="14"/>
  <c r="J55" i="14"/>
  <c r="I55" i="14"/>
  <c r="H55" i="14"/>
  <c r="J54" i="14"/>
  <c r="K54" i="14" s="1"/>
  <c r="I54" i="14"/>
  <c r="H54" i="14"/>
  <c r="K53" i="14"/>
  <c r="J53" i="14"/>
  <c r="I53" i="14"/>
  <c r="H53" i="14"/>
  <c r="J52" i="14"/>
  <c r="K52" i="14" s="1"/>
  <c r="I52" i="14"/>
  <c r="H52" i="14"/>
  <c r="K51" i="14"/>
  <c r="J51" i="14"/>
  <c r="I51" i="14"/>
  <c r="H51" i="14"/>
  <c r="J50" i="14"/>
  <c r="H50" i="14"/>
  <c r="I50" i="14" s="1"/>
  <c r="K49" i="14"/>
  <c r="J49" i="14"/>
  <c r="I49" i="14"/>
  <c r="H49" i="14"/>
  <c r="J48" i="14"/>
  <c r="I48" i="14"/>
  <c r="H48" i="14"/>
  <c r="K47" i="14"/>
  <c r="J47" i="14"/>
  <c r="I47" i="14"/>
  <c r="H47" i="14"/>
  <c r="J46" i="14"/>
  <c r="H46" i="14"/>
  <c r="I46" i="14" s="1"/>
  <c r="K45" i="14"/>
  <c r="J45" i="14"/>
  <c r="I45" i="14"/>
  <c r="H45" i="14"/>
  <c r="J44" i="14"/>
  <c r="K44" i="14" s="1"/>
  <c r="H44" i="14"/>
  <c r="I44" i="14" s="1"/>
  <c r="K43" i="14"/>
  <c r="J43" i="14"/>
  <c r="I43" i="14"/>
  <c r="H43" i="14"/>
  <c r="J42" i="14"/>
  <c r="K42" i="14" s="1"/>
  <c r="I42" i="14"/>
  <c r="H42" i="14"/>
  <c r="K41" i="14"/>
  <c r="J41" i="14"/>
  <c r="I41" i="14"/>
  <c r="H41" i="14"/>
  <c r="J40" i="14"/>
  <c r="H40" i="14"/>
  <c r="I40" i="14" s="1"/>
  <c r="K39" i="14"/>
  <c r="J39" i="14"/>
  <c r="I39" i="14"/>
  <c r="H39" i="14"/>
  <c r="J38" i="14"/>
  <c r="K38" i="14" s="1"/>
  <c r="I38" i="14"/>
  <c r="H38" i="14"/>
  <c r="K37" i="14"/>
  <c r="J37" i="14"/>
  <c r="I37" i="14"/>
  <c r="H37" i="14"/>
  <c r="J36" i="14"/>
  <c r="K36" i="14" s="1"/>
  <c r="H36" i="14"/>
  <c r="I36" i="14" s="1"/>
  <c r="K35" i="14"/>
  <c r="J35" i="14"/>
  <c r="I35" i="14"/>
  <c r="H35" i="14"/>
  <c r="J34" i="14"/>
  <c r="K34" i="14" s="1"/>
  <c r="I34" i="14"/>
  <c r="H34" i="14"/>
  <c r="K33" i="14"/>
  <c r="J33" i="14"/>
  <c r="I33" i="14"/>
  <c r="H33" i="14"/>
  <c r="J32" i="14"/>
  <c r="H32" i="14"/>
  <c r="I32" i="14" s="1"/>
  <c r="K31" i="14"/>
  <c r="J31" i="14"/>
  <c r="I31" i="14"/>
  <c r="H31" i="14"/>
  <c r="J30" i="14"/>
  <c r="H30" i="14"/>
  <c r="I30" i="14" s="1"/>
  <c r="K29" i="14"/>
  <c r="J29" i="14"/>
  <c r="I29" i="14"/>
  <c r="H29" i="14"/>
  <c r="J28" i="14"/>
  <c r="K28" i="14" s="1"/>
  <c r="H28" i="14"/>
  <c r="I28" i="14" s="1"/>
  <c r="K27" i="14"/>
  <c r="J27" i="14"/>
  <c r="I27" i="14"/>
  <c r="H27" i="14"/>
  <c r="J26" i="14"/>
  <c r="I26" i="14"/>
  <c r="H26" i="14"/>
  <c r="K25" i="14"/>
  <c r="J25" i="14"/>
  <c r="I25" i="14"/>
  <c r="H25" i="14"/>
  <c r="J24" i="14"/>
  <c r="K24" i="14" s="1"/>
  <c r="H24" i="14"/>
  <c r="I24" i="14" s="1"/>
  <c r="K23" i="14"/>
  <c r="J23" i="14"/>
  <c r="I23" i="14"/>
  <c r="H23" i="14"/>
  <c r="J22" i="14"/>
  <c r="K22" i="14" s="1"/>
  <c r="I22" i="14"/>
  <c r="H22" i="14"/>
  <c r="K21" i="14"/>
  <c r="J21" i="14"/>
  <c r="I21" i="14"/>
  <c r="H21" i="14"/>
  <c r="J20" i="14"/>
  <c r="H20" i="14"/>
  <c r="I20" i="14" s="1"/>
  <c r="K19" i="14"/>
  <c r="J19" i="14"/>
  <c r="I19" i="14"/>
  <c r="H19" i="14"/>
  <c r="J18" i="14"/>
  <c r="K18" i="14" s="1"/>
  <c r="I18" i="14"/>
  <c r="H18" i="14"/>
  <c r="K17" i="14"/>
  <c r="J17" i="14"/>
  <c r="I17" i="14"/>
  <c r="H17" i="14"/>
  <c r="J16" i="14"/>
  <c r="I16" i="14"/>
  <c r="H16" i="14"/>
  <c r="K15" i="14"/>
  <c r="J15" i="14"/>
  <c r="I15" i="14"/>
  <c r="H15" i="14"/>
  <c r="J14" i="14"/>
  <c r="H14" i="14"/>
  <c r="I14" i="14" s="1"/>
  <c r="K13" i="14"/>
  <c r="J13" i="14"/>
  <c r="I13" i="14"/>
  <c r="H13" i="14"/>
  <c r="J12" i="14"/>
  <c r="K12" i="14" s="1"/>
  <c r="I12" i="14"/>
  <c r="H12" i="14"/>
  <c r="K11" i="14"/>
  <c r="J11" i="14"/>
  <c r="I11" i="14"/>
  <c r="H11" i="14"/>
  <c r="J10" i="14"/>
  <c r="I10" i="14"/>
  <c r="H10" i="14"/>
  <c r="K9" i="14"/>
  <c r="J9" i="14"/>
  <c r="I9" i="14"/>
  <c r="H9" i="14"/>
  <c r="J8" i="14"/>
  <c r="H8" i="14"/>
  <c r="I8" i="14" s="1"/>
  <c r="K7" i="14"/>
  <c r="H7" i="14"/>
  <c r="I7" i="14" s="1"/>
  <c r="K215" i="13"/>
  <c r="J215" i="13"/>
  <c r="I215" i="13"/>
  <c r="H215" i="13"/>
  <c r="J214" i="13"/>
  <c r="K214" i="13" s="1"/>
  <c r="I214" i="13"/>
  <c r="H214" i="13"/>
  <c r="J213" i="13"/>
  <c r="K213" i="13" s="1"/>
  <c r="I213" i="13"/>
  <c r="H213" i="13"/>
  <c r="J212" i="13"/>
  <c r="K212" i="13" s="1"/>
  <c r="I212" i="13"/>
  <c r="H212" i="13"/>
  <c r="J211" i="13"/>
  <c r="K211" i="13" s="1"/>
  <c r="H211" i="13"/>
  <c r="I211" i="13" s="1"/>
  <c r="J210" i="13"/>
  <c r="K210" i="13" s="1"/>
  <c r="I210" i="13"/>
  <c r="H210" i="13"/>
  <c r="J209" i="13"/>
  <c r="H209" i="13"/>
  <c r="J208" i="13"/>
  <c r="K208" i="13" s="1"/>
  <c r="I208" i="13"/>
  <c r="H208" i="13"/>
  <c r="J207" i="13"/>
  <c r="K207" i="13" s="1"/>
  <c r="H207" i="13"/>
  <c r="I207" i="13" s="1"/>
  <c r="J206" i="13"/>
  <c r="K206" i="13" s="1"/>
  <c r="I206" i="13"/>
  <c r="H206" i="13"/>
  <c r="K205" i="13"/>
  <c r="J205" i="13"/>
  <c r="I205" i="13"/>
  <c r="H205" i="13"/>
  <c r="J204" i="13"/>
  <c r="K204" i="13" s="1"/>
  <c r="I204" i="13"/>
  <c r="H204" i="13"/>
  <c r="J203" i="13"/>
  <c r="K203" i="13" s="1"/>
  <c r="H203" i="13"/>
  <c r="I203" i="13" s="1"/>
  <c r="J202" i="13"/>
  <c r="K202" i="13" s="1"/>
  <c r="I202" i="13"/>
  <c r="H202" i="13"/>
  <c r="K201" i="13"/>
  <c r="J201" i="13"/>
  <c r="I201" i="13"/>
  <c r="H201" i="13"/>
  <c r="J200" i="13"/>
  <c r="K200" i="13" s="1"/>
  <c r="I200" i="13"/>
  <c r="H200" i="13"/>
  <c r="J199" i="13"/>
  <c r="H199" i="13"/>
  <c r="J198" i="13"/>
  <c r="K198" i="13" s="1"/>
  <c r="I198" i="13"/>
  <c r="H198" i="13"/>
  <c r="J197" i="13"/>
  <c r="K197" i="13" s="1"/>
  <c r="I197" i="13"/>
  <c r="H197" i="13"/>
  <c r="J196" i="13"/>
  <c r="K196" i="13" s="1"/>
  <c r="I196" i="13"/>
  <c r="H196" i="13"/>
  <c r="J195" i="13"/>
  <c r="K195" i="13" s="1"/>
  <c r="I195" i="13"/>
  <c r="H195" i="13"/>
  <c r="J194" i="13"/>
  <c r="K194" i="13" s="1"/>
  <c r="I194" i="13"/>
  <c r="H194" i="13"/>
  <c r="K193" i="13"/>
  <c r="J193" i="13"/>
  <c r="H193" i="13"/>
  <c r="I193" i="13" s="1"/>
  <c r="J192" i="13"/>
  <c r="K192" i="13" s="1"/>
  <c r="I192" i="13"/>
  <c r="H192" i="13"/>
  <c r="J191" i="13"/>
  <c r="K191" i="13" s="1"/>
  <c r="H191" i="13"/>
  <c r="I191" i="13" s="1"/>
  <c r="J190" i="13"/>
  <c r="K190" i="13" s="1"/>
  <c r="I190" i="13"/>
  <c r="H190" i="13"/>
  <c r="K189" i="13"/>
  <c r="J189" i="13"/>
  <c r="I189" i="13"/>
  <c r="H189" i="13"/>
  <c r="J188" i="13"/>
  <c r="K188" i="13" s="1"/>
  <c r="I188" i="13"/>
  <c r="H188" i="13"/>
  <c r="K187" i="13"/>
  <c r="J187" i="13"/>
  <c r="H187" i="13"/>
  <c r="I187" i="13" s="1"/>
  <c r="J186" i="13"/>
  <c r="K186" i="13" s="1"/>
  <c r="I186" i="13"/>
  <c r="H186" i="13"/>
  <c r="K185" i="13"/>
  <c r="J185" i="13"/>
  <c r="I185" i="13"/>
  <c r="H185" i="13"/>
  <c r="J184" i="13"/>
  <c r="K184" i="13" s="1"/>
  <c r="I184" i="13"/>
  <c r="H184" i="13"/>
  <c r="J183" i="13"/>
  <c r="I183" i="13"/>
  <c r="H183" i="13"/>
  <c r="J182" i="13"/>
  <c r="K182" i="13" s="1"/>
  <c r="I182" i="13"/>
  <c r="H182" i="13"/>
  <c r="J181" i="13"/>
  <c r="H181" i="13"/>
  <c r="I181" i="13" s="1"/>
  <c r="J180" i="13"/>
  <c r="K180" i="13" s="1"/>
  <c r="I180" i="13"/>
  <c r="H180" i="13"/>
  <c r="J179" i="13"/>
  <c r="K179" i="13" s="1"/>
  <c r="I179" i="13"/>
  <c r="H179" i="13"/>
  <c r="J178" i="13"/>
  <c r="K178" i="13" s="1"/>
  <c r="I178" i="13"/>
  <c r="H178" i="13"/>
  <c r="K177" i="13"/>
  <c r="J177" i="13"/>
  <c r="H177" i="13"/>
  <c r="I177" i="13" s="1"/>
  <c r="J176" i="13"/>
  <c r="K176" i="13" s="1"/>
  <c r="I176" i="13"/>
  <c r="H176" i="13"/>
  <c r="J175" i="13"/>
  <c r="K175" i="13" s="1"/>
  <c r="H175" i="13"/>
  <c r="I175" i="13" s="1"/>
  <c r="J174" i="13"/>
  <c r="K174" i="13" s="1"/>
  <c r="I174" i="13"/>
  <c r="H174" i="13"/>
  <c r="K173" i="13"/>
  <c r="J173" i="13"/>
  <c r="I173" i="13"/>
  <c r="H173" i="13"/>
  <c r="J172" i="13"/>
  <c r="K172" i="13" s="1"/>
  <c r="I172" i="13"/>
  <c r="H172" i="13"/>
  <c r="J171" i="13"/>
  <c r="K171" i="13" s="1"/>
  <c r="H171" i="13"/>
  <c r="I171" i="13" s="1"/>
  <c r="J170" i="13"/>
  <c r="K170" i="13" s="1"/>
  <c r="I170" i="13"/>
  <c r="H170" i="13"/>
  <c r="J169" i="13"/>
  <c r="K169" i="13" s="1"/>
  <c r="I169" i="13"/>
  <c r="H169" i="13"/>
  <c r="J168" i="13"/>
  <c r="K168" i="13" s="1"/>
  <c r="I168" i="13"/>
  <c r="H168" i="13"/>
  <c r="J167" i="13"/>
  <c r="K167" i="13" s="1"/>
  <c r="I167" i="13"/>
  <c r="H167" i="13"/>
  <c r="J166" i="13"/>
  <c r="K166" i="13" s="1"/>
  <c r="I166" i="13"/>
  <c r="H166" i="13"/>
  <c r="J165" i="13"/>
  <c r="H165" i="13"/>
  <c r="I165" i="13" s="1"/>
  <c r="J164" i="13"/>
  <c r="K164" i="13" s="1"/>
  <c r="I164" i="13"/>
  <c r="H164" i="13"/>
  <c r="J163" i="13"/>
  <c r="H163" i="13"/>
  <c r="I163" i="13" s="1"/>
  <c r="J162" i="13"/>
  <c r="K162" i="13" s="1"/>
  <c r="I162" i="13"/>
  <c r="H162" i="13"/>
  <c r="K161" i="13"/>
  <c r="J161" i="13"/>
  <c r="H161" i="13"/>
  <c r="I161" i="13" s="1"/>
  <c r="J160" i="13"/>
  <c r="K160" i="13" s="1"/>
  <c r="I160" i="13"/>
  <c r="H160" i="13"/>
  <c r="J159" i="13"/>
  <c r="K159" i="13" s="1"/>
  <c r="H159" i="13"/>
  <c r="I159" i="13" s="1"/>
  <c r="J158" i="13"/>
  <c r="K158" i="13" s="1"/>
  <c r="I158" i="13"/>
  <c r="H158" i="13"/>
  <c r="K157" i="13"/>
  <c r="J157" i="13"/>
  <c r="I157" i="13"/>
  <c r="H157" i="13"/>
  <c r="J156" i="13"/>
  <c r="K156" i="13" s="1"/>
  <c r="I156" i="13"/>
  <c r="H156" i="13"/>
  <c r="J155" i="13"/>
  <c r="H155" i="13"/>
  <c r="J154" i="13"/>
  <c r="K154" i="13" s="1"/>
  <c r="I154" i="13"/>
  <c r="H154" i="13"/>
  <c r="J153" i="13"/>
  <c r="K153" i="13" s="1"/>
  <c r="I153" i="13"/>
  <c r="H153" i="13"/>
  <c r="J152" i="13"/>
  <c r="K152" i="13" s="1"/>
  <c r="I152" i="13"/>
  <c r="H152" i="13"/>
  <c r="K151" i="13"/>
  <c r="J151" i="13"/>
  <c r="I151" i="13"/>
  <c r="H151" i="13"/>
  <c r="J150" i="13"/>
  <c r="K150" i="13" s="1"/>
  <c r="I150" i="13"/>
  <c r="H150" i="13"/>
  <c r="J149" i="13"/>
  <c r="K149" i="13" s="1"/>
  <c r="I149" i="13"/>
  <c r="H149" i="13"/>
  <c r="J148" i="13"/>
  <c r="K148" i="13" s="1"/>
  <c r="I148" i="13"/>
  <c r="H148" i="13"/>
  <c r="J147" i="13"/>
  <c r="K147" i="13" s="1"/>
  <c r="H147" i="13"/>
  <c r="I147" i="13" s="1"/>
  <c r="J146" i="13"/>
  <c r="K146" i="13" s="1"/>
  <c r="I146" i="13"/>
  <c r="H146" i="13"/>
  <c r="J145" i="13"/>
  <c r="H145" i="13"/>
  <c r="J144" i="13"/>
  <c r="K144" i="13" s="1"/>
  <c r="I144" i="13"/>
  <c r="H144" i="13"/>
  <c r="J143" i="13"/>
  <c r="K143" i="13" s="1"/>
  <c r="H143" i="13"/>
  <c r="I143" i="13" s="1"/>
  <c r="J142" i="13"/>
  <c r="K142" i="13" s="1"/>
  <c r="I142" i="13"/>
  <c r="H142" i="13"/>
  <c r="K141" i="13"/>
  <c r="J141" i="13"/>
  <c r="I141" i="13"/>
  <c r="H141" i="13"/>
  <c r="J140" i="13"/>
  <c r="K140" i="13" s="1"/>
  <c r="H140" i="13"/>
  <c r="I140" i="13" s="1"/>
  <c r="J139" i="13"/>
  <c r="K139" i="13" s="1"/>
  <c r="I139" i="13"/>
  <c r="H139" i="13"/>
  <c r="J138" i="13"/>
  <c r="K138" i="13" s="1"/>
  <c r="H138" i="13"/>
  <c r="I138" i="13" s="1"/>
  <c r="J137" i="13"/>
  <c r="K137" i="13" s="1"/>
  <c r="I137" i="13"/>
  <c r="H137" i="13"/>
  <c r="J136" i="13"/>
  <c r="K136" i="13" s="1"/>
  <c r="H136" i="13"/>
  <c r="I136" i="13" s="1"/>
  <c r="K135" i="13"/>
  <c r="J135" i="13"/>
  <c r="H135" i="13"/>
  <c r="I135" i="13" s="1"/>
  <c r="J134" i="13"/>
  <c r="K134" i="13" s="1"/>
  <c r="H134" i="13"/>
  <c r="I134" i="13" s="1"/>
  <c r="K133" i="13"/>
  <c r="J133" i="13"/>
  <c r="I133" i="13"/>
  <c r="H133" i="13"/>
  <c r="J132" i="13"/>
  <c r="K132" i="13" s="1"/>
  <c r="H132" i="13"/>
  <c r="I132" i="13" s="1"/>
  <c r="K131" i="13"/>
  <c r="J131" i="13"/>
  <c r="I131" i="13"/>
  <c r="H131" i="13"/>
  <c r="J130" i="13"/>
  <c r="K130" i="13" s="1"/>
  <c r="H130" i="13"/>
  <c r="I130" i="13" s="1"/>
  <c r="J129" i="13"/>
  <c r="H129" i="13"/>
  <c r="I129" i="13" s="1"/>
  <c r="J128" i="13"/>
  <c r="K128" i="13" s="1"/>
  <c r="H128" i="13"/>
  <c r="I128" i="13" s="1"/>
  <c r="J127" i="13"/>
  <c r="H127" i="13"/>
  <c r="J126" i="13"/>
  <c r="K126" i="13" s="1"/>
  <c r="H126" i="13"/>
  <c r="I126" i="13" s="1"/>
  <c r="K125" i="13"/>
  <c r="J125" i="13"/>
  <c r="I125" i="13"/>
  <c r="H125" i="13"/>
  <c r="J124" i="13"/>
  <c r="K124" i="13" s="1"/>
  <c r="H124" i="13"/>
  <c r="I124" i="13" s="1"/>
  <c r="K123" i="13"/>
  <c r="J123" i="13"/>
  <c r="I123" i="13"/>
  <c r="H123" i="13"/>
  <c r="J122" i="13"/>
  <c r="K122" i="13" s="1"/>
  <c r="H122" i="13"/>
  <c r="I122" i="13" s="1"/>
  <c r="J121" i="13"/>
  <c r="K121" i="13" s="1"/>
  <c r="I121" i="13"/>
  <c r="H121" i="13"/>
  <c r="J120" i="13"/>
  <c r="K120" i="13" s="1"/>
  <c r="H120" i="13"/>
  <c r="I120" i="13" s="1"/>
  <c r="J119" i="13"/>
  <c r="H119" i="13"/>
  <c r="J118" i="13"/>
  <c r="K118" i="13" s="1"/>
  <c r="H118" i="13"/>
  <c r="I118" i="13" s="1"/>
  <c r="K117" i="13"/>
  <c r="J117" i="13"/>
  <c r="I117" i="13"/>
  <c r="H117" i="13"/>
  <c r="J116" i="13"/>
  <c r="K116" i="13" s="1"/>
  <c r="H116" i="13"/>
  <c r="I116" i="13" s="1"/>
  <c r="K115" i="13"/>
  <c r="J115" i="13"/>
  <c r="I115" i="13"/>
  <c r="H115" i="13"/>
  <c r="J114" i="13"/>
  <c r="K114" i="13" s="1"/>
  <c r="H114" i="13"/>
  <c r="I114" i="13" s="1"/>
  <c r="J113" i="13"/>
  <c r="H113" i="13"/>
  <c r="I113" i="13" s="1"/>
  <c r="J112" i="13"/>
  <c r="K112" i="13" s="1"/>
  <c r="H112" i="13"/>
  <c r="I112" i="13" s="1"/>
  <c r="K111" i="13"/>
  <c r="J111" i="13"/>
  <c r="H111" i="13"/>
  <c r="I111" i="13" s="1"/>
  <c r="J110" i="13"/>
  <c r="K110" i="13" s="1"/>
  <c r="H110" i="13"/>
  <c r="I110" i="13" s="1"/>
  <c r="K109" i="13"/>
  <c r="J109" i="13"/>
  <c r="I109" i="13"/>
  <c r="H109" i="13"/>
  <c r="J108" i="13"/>
  <c r="K108" i="13" s="1"/>
  <c r="H108" i="13"/>
  <c r="I108" i="13" s="1"/>
  <c r="J107" i="13"/>
  <c r="K107" i="13" s="1"/>
  <c r="I107" i="13"/>
  <c r="H107" i="13"/>
  <c r="J106" i="13"/>
  <c r="K106" i="13" s="1"/>
  <c r="H106" i="13"/>
  <c r="I106" i="13" s="1"/>
  <c r="J105" i="13"/>
  <c r="K105" i="13" s="1"/>
  <c r="I105" i="13"/>
  <c r="H105" i="13"/>
  <c r="J104" i="13"/>
  <c r="K104" i="13" s="1"/>
  <c r="H104" i="13"/>
  <c r="I104" i="13" s="1"/>
  <c r="K103" i="13"/>
  <c r="J103" i="13"/>
  <c r="H103" i="13"/>
  <c r="I103" i="13" s="1"/>
  <c r="J102" i="13"/>
  <c r="K102" i="13" s="1"/>
  <c r="H102" i="13"/>
  <c r="I102" i="13" s="1"/>
  <c r="K101" i="13"/>
  <c r="J101" i="13"/>
  <c r="I101" i="13"/>
  <c r="H101" i="13"/>
  <c r="J100" i="13"/>
  <c r="K100" i="13" s="1"/>
  <c r="H100" i="13"/>
  <c r="I100" i="13" s="1"/>
  <c r="K99" i="13"/>
  <c r="J99" i="13"/>
  <c r="I99" i="13"/>
  <c r="H99" i="13"/>
  <c r="J98" i="13"/>
  <c r="K98" i="13" s="1"/>
  <c r="H98" i="13"/>
  <c r="I98" i="13" s="1"/>
  <c r="J97" i="13"/>
  <c r="K97" i="13" s="1"/>
  <c r="H97" i="13"/>
  <c r="I97" i="13" s="1"/>
  <c r="J96" i="13"/>
  <c r="K96" i="13" s="1"/>
  <c r="H96" i="13"/>
  <c r="I96" i="13" s="1"/>
  <c r="K95" i="13"/>
  <c r="J95" i="13"/>
  <c r="H95" i="13"/>
  <c r="I95" i="13" s="1"/>
  <c r="J94" i="13"/>
  <c r="K94" i="13" s="1"/>
  <c r="H94" i="13"/>
  <c r="I94" i="13" s="1"/>
  <c r="K93" i="13"/>
  <c r="J93" i="13"/>
  <c r="I93" i="13"/>
  <c r="H93" i="13"/>
  <c r="J92" i="13"/>
  <c r="K92" i="13" s="1"/>
  <c r="H92" i="13"/>
  <c r="I92" i="13" s="1"/>
  <c r="K91" i="13"/>
  <c r="J91" i="13"/>
  <c r="I91" i="13"/>
  <c r="H91" i="13"/>
  <c r="J90" i="13"/>
  <c r="K90" i="13" s="1"/>
  <c r="H90" i="13"/>
  <c r="I90" i="13" s="1"/>
  <c r="J89" i="13"/>
  <c r="H89" i="13"/>
  <c r="I89" i="13" s="1"/>
  <c r="J88" i="13"/>
  <c r="K88" i="13" s="1"/>
  <c r="H88" i="13"/>
  <c r="I88" i="13" s="1"/>
  <c r="J87" i="13"/>
  <c r="H87" i="13"/>
  <c r="J86" i="13"/>
  <c r="K86" i="13" s="1"/>
  <c r="H86" i="13"/>
  <c r="I86" i="13" s="1"/>
  <c r="K85" i="13"/>
  <c r="J85" i="13"/>
  <c r="I85" i="13"/>
  <c r="H85" i="13"/>
  <c r="J84" i="13"/>
  <c r="K84" i="13" s="1"/>
  <c r="H84" i="13"/>
  <c r="I84" i="13" s="1"/>
  <c r="K83" i="13"/>
  <c r="J83" i="13"/>
  <c r="I83" i="13"/>
  <c r="H83" i="13"/>
  <c r="J82" i="13"/>
  <c r="K82" i="13" s="1"/>
  <c r="H82" i="13"/>
  <c r="I82" i="13" s="1"/>
  <c r="J81" i="13"/>
  <c r="H81" i="13"/>
  <c r="I81" i="13" s="1"/>
  <c r="J80" i="13"/>
  <c r="K80" i="13" s="1"/>
  <c r="H80" i="13"/>
  <c r="I80" i="13" s="1"/>
  <c r="K79" i="13"/>
  <c r="J79" i="13"/>
  <c r="H79" i="13"/>
  <c r="I79" i="13" s="1"/>
  <c r="J78" i="13"/>
  <c r="K78" i="13" s="1"/>
  <c r="H78" i="13"/>
  <c r="I78" i="13" s="1"/>
  <c r="K77" i="13"/>
  <c r="J77" i="13"/>
  <c r="I77" i="13"/>
  <c r="H77" i="13"/>
  <c r="J76" i="13"/>
  <c r="K76" i="13" s="1"/>
  <c r="H76" i="13"/>
  <c r="I76" i="13" s="1"/>
  <c r="J75" i="13"/>
  <c r="K75" i="13" s="1"/>
  <c r="I75" i="13"/>
  <c r="H75" i="13"/>
  <c r="J74" i="13"/>
  <c r="K74" i="13" s="1"/>
  <c r="H74" i="13"/>
  <c r="I74" i="13" s="1"/>
  <c r="J73" i="13"/>
  <c r="K73" i="13" s="1"/>
  <c r="I73" i="13"/>
  <c r="H73" i="13"/>
  <c r="J72" i="13"/>
  <c r="K72" i="13" s="1"/>
  <c r="H72" i="13"/>
  <c r="I72" i="13" s="1"/>
  <c r="K71" i="13"/>
  <c r="J71" i="13"/>
  <c r="H71" i="13"/>
  <c r="I71" i="13" s="1"/>
  <c r="J70" i="13"/>
  <c r="K70" i="13" s="1"/>
  <c r="H70" i="13"/>
  <c r="I70" i="13" s="1"/>
  <c r="K69" i="13"/>
  <c r="J69" i="13"/>
  <c r="I69" i="13"/>
  <c r="H69" i="13"/>
  <c r="J68" i="13"/>
  <c r="K68" i="13" s="1"/>
  <c r="H68" i="13"/>
  <c r="I68" i="13" s="1"/>
  <c r="K67" i="13"/>
  <c r="J67" i="13"/>
  <c r="I67" i="13"/>
  <c r="H67" i="13"/>
  <c r="J66" i="13"/>
  <c r="K66" i="13" s="1"/>
  <c r="H66" i="13"/>
  <c r="I66" i="13" s="1"/>
  <c r="J65" i="13"/>
  <c r="K65" i="13" s="1"/>
  <c r="H65" i="13"/>
  <c r="I65" i="13" s="1"/>
  <c r="J64" i="13"/>
  <c r="K64" i="13" s="1"/>
  <c r="H64" i="13"/>
  <c r="I64" i="13" s="1"/>
  <c r="K63" i="13"/>
  <c r="J63" i="13"/>
  <c r="H63" i="13"/>
  <c r="I63" i="13" s="1"/>
  <c r="J62" i="13"/>
  <c r="K62" i="13" s="1"/>
  <c r="H62" i="13"/>
  <c r="I62" i="13" s="1"/>
  <c r="K61" i="13"/>
  <c r="J61" i="13"/>
  <c r="I61" i="13"/>
  <c r="H61" i="13"/>
  <c r="J60" i="13"/>
  <c r="K60" i="13" s="1"/>
  <c r="H60" i="13"/>
  <c r="I60" i="13" s="1"/>
  <c r="K59" i="13"/>
  <c r="J59" i="13"/>
  <c r="I59" i="13"/>
  <c r="H59" i="13"/>
  <c r="J58" i="13"/>
  <c r="K58" i="13" s="1"/>
  <c r="H58" i="13"/>
  <c r="I58" i="13" s="1"/>
  <c r="J57" i="13"/>
  <c r="K57" i="13" s="1"/>
  <c r="H57" i="13"/>
  <c r="I57" i="13" s="1"/>
  <c r="J56" i="13"/>
  <c r="K56" i="13" s="1"/>
  <c r="H56" i="13"/>
  <c r="I56" i="13" s="1"/>
  <c r="J55" i="13"/>
  <c r="H55" i="13"/>
  <c r="J54" i="13"/>
  <c r="K54" i="13" s="1"/>
  <c r="H54" i="13"/>
  <c r="I54" i="13" s="1"/>
  <c r="K53" i="13"/>
  <c r="J53" i="13"/>
  <c r="I53" i="13"/>
  <c r="H53" i="13"/>
  <c r="J52" i="13"/>
  <c r="K52" i="13" s="1"/>
  <c r="H52" i="13"/>
  <c r="I52" i="13" s="1"/>
  <c r="J51" i="13"/>
  <c r="K51" i="13" s="1"/>
  <c r="I51" i="13"/>
  <c r="H51" i="13"/>
  <c r="J50" i="13"/>
  <c r="K50" i="13" s="1"/>
  <c r="H50" i="13"/>
  <c r="I50" i="13" s="1"/>
  <c r="J49" i="13"/>
  <c r="H49" i="13"/>
  <c r="I49" i="13" s="1"/>
  <c r="J48" i="13"/>
  <c r="K48" i="13" s="1"/>
  <c r="H48" i="13"/>
  <c r="I48" i="13" s="1"/>
  <c r="K47" i="13"/>
  <c r="J47" i="13"/>
  <c r="H47" i="13"/>
  <c r="I47" i="13" s="1"/>
  <c r="J46" i="13"/>
  <c r="K46" i="13" s="1"/>
  <c r="H46" i="13"/>
  <c r="I46" i="13" s="1"/>
  <c r="K45" i="13"/>
  <c r="J45" i="13"/>
  <c r="I45" i="13"/>
  <c r="H45" i="13"/>
  <c r="J44" i="13"/>
  <c r="K44" i="13" s="1"/>
  <c r="H44" i="13"/>
  <c r="I44" i="13" s="1"/>
  <c r="J43" i="13"/>
  <c r="K43" i="13" s="1"/>
  <c r="I43" i="13"/>
  <c r="H43" i="13"/>
  <c r="J42" i="13"/>
  <c r="K42" i="13" s="1"/>
  <c r="H42" i="13"/>
  <c r="I42" i="13" s="1"/>
  <c r="J41" i="13"/>
  <c r="K41" i="13" s="1"/>
  <c r="I41" i="13"/>
  <c r="H41" i="13"/>
  <c r="J40" i="13"/>
  <c r="K40" i="13" s="1"/>
  <c r="H40" i="13"/>
  <c r="I40" i="13" s="1"/>
  <c r="K39" i="13"/>
  <c r="J39" i="13"/>
  <c r="H39" i="13"/>
  <c r="I39" i="13" s="1"/>
  <c r="J38" i="13"/>
  <c r="K38" i="13" s="1"/>
  <c r="H38" i="13"/>
  <c r="I38" i="13" s="1"/>
  <c r="K37" i="13"/>
  <c r="J37" i="13"/>
  <c r="I37" i="13"/>
  <c r="H37" i="13"/>
  <c r="J36" i="13"/>
  <c r="K36" i="13" s="1"/>
  <c r="H36" i="13"/>
  <c r="I36" i="13" s="1"/>
  <c r="K35" i="13"/>
  <c r="J35" i="13"/>
  <c r="I35" i="13"/>
  <c r="H35" i="13"/>
  <c r="J34" i="13"/>
  <c r="K34" i="13" s="1"/>
  <c r="H34" i="13"/>
  <c r="I34" i="13" s="1"/>
  <c r="J33" i="13"/>
  <c r="K33" i="13" s="1"/>
  <c r="H33" i="13"/>
  <c r="I33" i="13" s="1"/>
  <c r="J32" i="13"/>
  <c r="K32" i="13" s="1"/>
  <c r="H32" i="13"/>
  <c r="I32" i="13" s="1"/>
  <c r="J31" i="13"/>
  <c r="H31" i="13"/>
  <c r="J30" i="13"/>
  <c r="K30" i="13" s="1"/>
  <c r="H30" i="13"/>
  <c r="I30" i="13" s="1"/>
  <c r="K29" i="13"/>
  <c r="J29" i="13"/>
  <c r="I29" i="13"/>
  <c r="H29" i="13"/>
  <c r="J28" i="13"/>
  <c r="K28" i="13" s="1"/>
  <c r="H28" i="13"/>
  <c r="I28" i="13" s="1"/>
  <c r="K27" i="13"/>
  <c r="J27" i="13"/>
  <c r="I27" i="13"/>
  <c r="H27" i="13"/>
  <c r="J26" i="13"/>
  <c r="K26" i="13" s="1"/>
  <c r="H26" i="13"/>
  <c r="I26" i="13" s="1"/>
  <c r="J25" i="13"/>
  <c r="I25" i="13"/>
  <c r="H25" i="13"/>
  <c r="J24" i="13"/>
  <c r="K24" i="13" s="1"/>
  <c r="H24" i="13"/>
  <c r="I24" i="13" s="1"/>
  <c r="J23" i="13"/>
  <c r="H23" i="13"/>
  <c r="J22" i="13"/>
  <c r="K22" i="13" s="1"/>
  <c r="H22" i="13"/>
  <c r="I22" i="13" s="1"/>
  <c r="K21" i="13"/>
  <c r="J21" i="13"/>
  <c r="I21" i="13"/>
  <c r="H21" i="13"/>
  <c r="J20" i="13"/>
  <c r="K20" i="13" s="1"/>
  <c r="H20" i="13"/>
  <c r="I20" i="13" s="1"/>
  <c r="J19" i="13"/>
  <c r="K19" i="13" s="1"/>
  <c r="I19" i="13"/>
  <c r="H19" i="13"/>
  <c r="J18" i="13"/>
  <c r="K18" i="13" s="1"/>
  <c r="H18" i="13"/>
  <c r="I18" i="13" s="1"/>
  <c r="J17" i="13"/>
  <c r="I17" i="13"/>
  <c r="H17" i="13"/>
  <c r="J16" i="13"/>
  <c r="K16" i="13" s="1"/>
  <c r="H16" i="13"/>
  <c r="I16" i="13" s="1"/>
  <c r="J15" i="13"/>
  <c r="H15" i="13"/>
  <c r="I15" i="13" s="1"/>
  <c r="J14" i="13"/>
  <c r="K14" i="13" s="1"/>
  <c r="H14" i="13"/>
  <c r="I14" i="13" s="1"/>
  <c r="K13" i="13"/>
  <c r="J13" i="13"/>
  <c r="I13" i="13"/>
  <c r="H13" i="13"/>
  <c r="J12" i="13"/>
  <c r="K12" i="13" s="1"/>
  <c r="H12" i="13"/>
  <c r="I12" i="13" s="1"/>
  <c r="J11" i="13"/>
  <c r="K11" i="13" s="1"/>
  <c r="I11" i="13"/>
  <c r="H11" i="13"/>
  <c r="J10" i="13"/>
  <c r="K10" i="13" s="1"/>
  <c r="H10" i="13"/>
  <c r="I10" i="13" s="1"/>
  <c r="J9" i="13"/>
  <c r="K9" i="13" s="1"/>
  <c r="I9" i="13"/>
  <c r="H9" i="13"/>
  <c r="J8" i="13"/>
  <c r="K8" i="13" s="1"/>
  <c r="H8" i="13"/>
  <c r="I8" i="13" s="1"/>
  <c r="K7" i="13"/>
  <c r="I7" i="13"/>
  <c r="H7" i="13"/>
  <c r="J215" i="12"/>
  <c r="H215" i="12"/>
  <c r="K214" i="12"/>
  <c r="J214" i="12"/>
  <c r="I214" i="12"/>
  <c r="H214" i="12"/>
  <c r="J213" i="12"/>
  <c r="H213" i="12"/>
  <c r="K212" i="12"/>
  <c r="J212" i="12"/>
  <c r="I212" i="12"/>
  <c r="H212" i="12"/>
  <c r="J211" i="12"/>
  <c r="H211" i="12"/>
  <c r="J210" i="12"/>
  <c r="K210" i="12" s="1"/>
  <c r="I210" i="12"/>
  <c r="H210" i="12"/>
  <c r="J209" i="12"/>
  <c r="H209" i="12"/>
  <c r="K208" i="12"/>
  <c r="J208" i="12"/>
  <c r="I208" i="12"/>
  <c r="H208" i="12"/>
  <c r="J207" i="12"/>
  <c r="H207" i="12"/>
  <c r="K206" i="12"/>
  <c r="J206" i="12"/>
  <c r="I206" i="12"/>
  <c r="H206" i="12"/>
  <c r="J205" i="12"/>
  <c r="H205" i="12"/>
  <c r="K204" i="12"/>
  <c r="J204" i="12"/>
  <c r="I204" i="12"/>
  <c r="H204" i="12"/>
  <c r="J203" i="12"/>
  <c r="H203" i="12"/>
  <c r="J202" i="12"/>
  <c r="K202" i="12" s="1"/>
  <c r="I202" i="12"/>
  <c r="H202" i="12"/>
  <c r="J201" i="12"/>
  <c r="H201" i="12"/>
  <c r="K200" i="12"/>
  <c r="J200" i="12"/>
  <c r="I200" i="12"/>
  <c r="H200" i="12"/>
  <c r="J199" i="12"/>
  <c r="H199" i="12"/>
  <c r="K198" i="12"/>
  <c r="J198" i="12"/>
  <c r="I198" i="12"/>
  <c r="H198" i="12"/>
  <c r="J197" i="12"/>
  <c r="H197" i="12"/>
  <c r="J196" i="12"/>
  <c r="K196" i="12" s="1"/>
  <c r="I196" i="12"/>
  <c r="H196" i="12"/>
  <c r="J195" i="12"/>
  <c r="H195" i="12"/>
  <c r="J194" i="12"/>
  <c r="K194" i="12" s="1"/>
  <c r="I194" i="12"/>
  <c r="H194" i="12"/>
  <c r="J193" i="12"/>
  <c r="H193" i="12"/>
  <c r="K192" i="12"/>
  <c r="J192" i="12"/>
  <c r="I192" i="12"/>
  <c r="H192" i="12"/>
  <c r="J191" i="12"/>
  <c r="H191" i="12"/>
  <c r="K190" i="12"/>
  <c r="J190" i="12"/>
  <c r="I190" i="12"/>
  <c r="H190" i="12"/>
  <c r="J189" i="12"/>
  <c r="H189" i="12"/>
  <c r="K188" i="12"/>
  <c r="J188" i="12"/>
  <c r="I188" i="12"/>
  <c r="H188" i="12"/>
  <c r="J187" i="12"/>
  <c r="H187" i="12"/>
  <c r="J186" i="12"/>
  <c r="K186" i="12" s="1"/>
  <c r="I186" i="12"/>
  <c r="H186" i="12"/>
  <c r="J185" i="12"/>
  <c r="H185" i="12"/>
  <c r="K184" i="12"/>
  <c r="J184" i="12"/>
  <c r="I184" i="12"/>
  <c r="H184" i="12"/>
  <c r="J183" i="12"/>
  <c r="H183" i="12"/>
  <c r="K182" i="12"/>
  <c r="J182" i="12"/>
  <c r="I182" i="12"/>
  <c r="H182" i="12"/>
  <c r="J181" i="12"/>
  <c r="H181" i="12"/>
  <c r="K180" i="12"/>
  <c r="J180" i="12"/>
  <c r="I180" i="12"/>
  <c r="H180" i="12"/>
  <c r="J179" i="12"/>
  <c r="H179" i="12"/>
  <c r="J178" i="12"/>
  <c r="K178" i="12" s="1"/>
  <c r="I178" i="12"/>
  <c r="H178" i="12"/>
  <c r="J177" i="12"/>
  <c r="H177" i="12"/>
  <c r="K176" i="12"/>
  <c r="J176" i="12"/>
  <c r="I176" i="12"/>
  <c r="H176" i="12"/>
  <c r="J175" i="12"/>
  <c r="H175" i="12"/>
  <c r="K174" i="12"/>
  <c r="J174" i="12"/>
  <c r="I174" i="12"/>
  <c r="H174" i="12"/>
  <c r="J173" i="12"/>
  <c r="H173" i="12"/>
  <c r="J172" i="12"/>
  <c r="K172" i="12" s="1"/>
  <c r="I172" i="12"/>
  <c r="H172" i="12"/>
  <c r="J171" i="12"/>
  <c r="H171" i="12"/>
  <c r="J170" i="12"/>
  <c r="K170" i="12" s="1"/>
  <c r="I170" i="12"/>
  <c r="H170" i="12"/>
  <c r="J169" i="12"/>
  <c r="H169" i="12"/>
  <c r="K168" i="12"/>
  <c r="J168" i="12"/>
  <c r="I168" i="12"/>
  <c r="H168" i="12"/>
  <c r="J167" i="12"/>
  <c r="H167" i="12"/>
  <c r="K166" i="12"/>
  <c r="J166" i="12"/>
  <c r="I166" i="12"/>
  <c r="H166" i="12"/>
  <c r="J165" i="12"/>
  <c r="H165" i="12"/>
  <c r="K164" i="12"/>
  <c r="J164" i="12"/>
  <c r="I164" i="12"/>
  <c r="H164" i="12"/>
  <c r="J163" i="12"/>
  <c r="H163" i="12"/>
  <c r="J162" i="12"/>
  <c r="K162" i="12" s="1"/>
  <c r="I162" i="12"/>
  <c r="H162" i="12"/>
  <c r="J161" i="12"/>
  <c r="H161" i="12"/>
  <c r="K160" i="12"/>
  <c r="J160" i="12"/>
  <c r="I160" i="12"/>
  <c r="H160" i="12"/>
  <c r="J159" i="12"/>
  <c r="H159" i="12"/>
  <c r="K158" i="12"/>
  <c r="J158" i="12"/>
  <c r="I158" i="12"/>
  <c r="H158" i="12"/>
  <c r="J157" i="12"/>
  <c r="H157" i="12"/>
  <c r="J156" i="12"/>
  <c r="K156" i="12" s="1"/>
  <c r="I156" i="12"/>
  <c r="H156" i="12"/>
  <c r="J155" i="12"/>
  <c r="H155" i="12"/>
  <c r="J154" i="12"/>
  <c r="K154" i="12" s="1"/>
  <c r="I154" i="12"/>
  <c r="H154" i="12"/>
  <c r="J153" i="12"/>
  <c r="H153" i="12"/>
  <c r="K152" i="12"/>
  <c r="J152" i="12"/>
  <c r="I152" i="12"/>
  <c r="H152" i="12"/>
  <c r="J151" i="12"/>
  <c r="H151" i="12"/>
  <c r="K150" i="12"/>
  <c r="J150" i="12"/>
  <c r="I150" i="12"/>
  <c r="H150" i="12"/>
  <c r="J149" i="12"/>
  <c r="H149" i="12"/>
  <c r="K148" i="12"/>
  <c r="J148" i="12"/>
  <c r="I148" i="12"/>
  <c r="H148" i="12"/>
  <c r="J147" i="12"/>
  <c r="H147" i="12"/>
  <c r="J146" i="12"/>
  <c r="K146" i="12" s="1"/>
  <c r="I146" i="12"/>
  <c r="H146" i="12"/>
  <c r="J145" i="12"/>
  <c r="H145" i="12"/>
  <c r="K144" i="12"/>
  <c r="J144" i="12"/>
  <c r="I144" i="12"/>
  <c r="H144" i="12"/>
  <c r="J143" i="12"/>
  <c r="H143" i="12"/>
  <c r="K142" i="12"/>
  <c r="J142" i="12"/>
  <c r="I142" i="12"/>
  <c r="H142" i="12"/>
  <c r="J141" i="12"/>
  <c r="H141" i="12"/>
  <c r="K140" i="12"/>
  <c r="J140" i="12"/>
  <c r="I140" i="12"/>
  <c r="H140" i="12"/>
  <c r="J139" i="12"/>
  <c r="H139" i="12"/>
  <c r="J138" i="12"/>
  <c r="K138" i="12" s="1"/>
  <c r="H138" i="12"/>
  <c r="I138" i="12" s="1"/>
  <c r="J137" i="12"/>
  <c r="H137" i="12"/>
  <c r="K136" i="12"/>
  <c r="J136" i="12"/>
  <c r="H136" i="12"/>
  <c r="I136" i="12" s="1"/>
  <c r="J135" i="12"/>
  <c r="H135" i="12"/>
  <c r="K134" i="12"/>
  <c r="J134" i="12"/>
  <c r="I134" i="12"/>
  <c r="H134" i="12"/>
  <c r="J133" i="12"/>
  <c r="H133" i="12"/>
  <c r="K132" i="12"/>
  <c r="J132" i="12"/>
  <c r="I132" i="12"/>
  <c r="H132" i="12"/>
  <c r="J131" i="12"/>
  <c r="H131" i="12"/>
  <c r="J130" i="12"/>
  <c r="K130" i="12" s="1"/>
  <c r="I130" i="12"/>
  <c r="H130" i="12"/>
  <c r="J129" i="12"/>
  <c r="H129" i="12"/>
  <c r="J128" i="12"/>
  <c r="H128" i="12"/>
  <c r="J127" i="12"/>
  <c r="H127" i="12"/>
  <c r="K126" i="12"/>
  <c r="J126" i="12"/>
  <c r="I126" i="12"/>
  <c r="H126" i="12"/>
  <c r="J125" i="12"/>
  <c r="H125" i="12"/>
  <c r="K124" i="12"/>
  <c r="J124" i="12"/>
  <c r="I124" i="12"/>
  <c r="H124" i="12"/>
  <c r="J123" i="12"/>
  <c r="H123" i="12"/>
  <c r="J122" i="12"/>
  <c r="H122" i="12"/>
  <c r="I122" i="12" s="1"/>
  <c r="J121" i="12"/>
  <c r="H121" i="12"/>
  <c r="J120" i="12"/>
  <c r="H120" i="12"/>
  <c r="I120" i="12" s="1"/>
  <c r="J119" i="12"/>
  <c r="H119" i="12"/>
  <c r="K118" i="12"/>
  <c r="J118" i="12"/>
  <c r="I118" i="12"/>
  <c r="H118" i="12"/>
  <c r="J117" i="12"/>
  <c r="H117" i="12"/>
  <c r="J116" i="12"/>
  <c r="K116" i="12" s="1"/>
  <c r="I116" i="12"/>
  <c r="H116" i="12"/>
  <c r="J115" i="12"/>
  <c r="H115" i="12"/>
  <c r="J114" i="12"/>
  <c r="K114" i="12" s="1"/>
  <c r="I114" i="12"/>
  <c r="H114" i="12"/>
  <c r="J113" i="12"/>
  <c r="H113" i="12"/>
  <c r="K112" i="12"/>
  <c r="J112" i="12"/>
  <c r="H112" i="12"/>
  <c r="I112" i="12" s="1"/>
  <c r="J111" i="12"/>
  <c r="H111" i="12"/>
  <c r="K110" i="12"/>
  <c r="J110" i="12"/>
  <c r="I110" i="12"/>
  <c r="H110" i="12"/>
  <c r="J109" i="12"/>
  <c r="H109" i="12"/>
  <c r="K108" i="12"/>
  <c r="J108" i="12"/>
  <c r="I108" i="12"/>
  <c r="H108" i="12"/>
  <c r="J107" i="12"/>
  <c r="H107" i="12"/>
  <c r="J106" i="12"/>
  <c r="K106" i="12" s="1"/>
  <c r="H106" i="12"/>
  <c r="I106" i="12" s="1"/>
  <c r="J105" i="12"/>
  <c r="H105" i="12"/>
  <c r="K104" i="12"/>
  <c r="J104" i="12"/>
  <c r="H104" i="12"/>
  <c r="I104" i="12" s="1"/>
  <c r="J103" i="12"/>
  <c r="H103" i="12"/>
  <c r="K102" i="12"/>
  <c r="J102" i="12"/>
  <c r="I102" i="12"/>
  <c r="H102" i="12"/>
  <c r="J101" i="12"/>
  <c r="H101" i="12"/>
  <c r="K100" i="12"/>
  <c r="J100" i="12"/>
  <c r="I100" i="12"/>
  <c r="H100" i="12"/>
  <c r="J99" i="12"/>
  <c r="H99" i="12"/>
  <c r="J98" i="12"/>
  <c r="H98" i="12"/>
  <c r="I98" i="12" s="1"/>
  <c r="J97" i="12"/>
  <c r="H97" i="12"/>
  <c r="J96" i="12"/>
  <c r="H96" i="12"/>
  <c r="J95" i="12"/>
  <c r="H95" i="12"/>
  <c r="K94" i="12"/>
  <c r="J94" i="12"/>
  <c r="I94" i="12"/>
  <c r="H94" i="12"/>
  <c r="J93" i="12"/>
  <c r="H93" i="12"/>
  <c r="K92" i="12"/>
  <c r="J92" i="12"/>
  <c r="I92" i="12"/>
  <c r="H92" i="12"/>
  <c r="J91" i="12"/>
  <c r="H91" i="12"/>
  <c r="J90" i="12"/>
  <c r="H90" i="12"/>
  <c r="I90" i="12" s="1"/>
  <c r="J89" i="12"/>
  <c r="H89" i="12"/>
  <c r="J88" i="12"/>
  <c r="H88" i="12"/>
  <c r="I88" i="12" s="1"/>
  <c r="J87" i="12"/>
  <c r="H87" i="12"/>
  <c r="K86" i="12"/>
  <c r="J86" i="12"/>
  <c r="I86" i="12"/>
  <c r="H86" i="12"/>
  <c r="J85" i="12"/>
  <c r="H85" i="12"/>
  <c r="J84" i="12"/>
  <c r="K84" i="12" s="1"/>
  <c r="I84" i="12"/>
  <c r="H84" i="12"/>
  <c r="J83" i="12"/>
  <c r="H83" i="12"/>
  <c r="J82" i="12"/>
  <c r="K82" i="12" s="1"/>
  <c r="I82" i="12"/>
  <c r="H82" i="12"/>
  <c r="J81" i="12"/>
  <c r="H81" i="12"/>
  <c r="K80" i="12"/>
  <c r="J80" i="12"/>
  <c r="H80" i="12"/>
  <c r="I80" i="12" s="1"/>
  <c r="J79" i="12"/>
  <c r="H79" i="12"/>
  <c r="K78" i="12"/>
  <c r="J78" i="12"/>
  <c r="I78" i="12"/>
  <c r="H78" i="12"/>
  <c r="J77" i="12"/>
  <c r="H77" i="12"/>
  <c r="K76" i="12"/>
  <c r="J76" i="12"/>
  <c r="I76" i="12"/>
  <c r="H76" i="12"/>
  <c r="J75" i="12"/>
  <c r="H75" i="12"/>
  <c r="J74" i="12"/>
  <c r="K74" i="12" s="1"/>
  <c r="H74" i="12"/>
  <c r="I74" i="12" s="1"/>
  <c r="J73" i="12"/>
  <c r="H73" i="12"/>
  <c r="J72" i="12"/>
  <c r="H72" i="12"/>
  <c r="J71" i="12"/>
  <c r="H71" i="12"/>
  <c r="K70" i="12"/>
  <c r="J70" i="12"/>
  <c r="I70" i="12"/>
  <c r="H70" i="12"/>
  <c r="J69" i="12"/>
  <c r="H69" i="12"/>
  <c r="K68" i="12"/>
  <c r="J68" i="12"/>
  <c r="I68" i="12"/>
  <c r="H68" i="12"/>
  <c r="J67" i="12"/>
  <c r="H67" i="12"/>
  <c r="J66" i="12"/>
  <c r="K66" i="12" s="1"/>
  <c r="I66" i="12"/>
  <c r="H66" i="12"/>
  <c r="J65" i="12"/>
  <c r="H65" i="12"/>
  <c r="J64" i="12"/>
  <c r="H64" i="12"/>
  <c r="J63" i="12"/>
  <c r="H63" i="12"/>
  <c r="K62" i="12"/>
  <c r="J62" i="12"/>
  <c r="I62" i="12"/>
  <c r="H62" i="12"/>
  <c r="J61" i="12"/>
  <c r="H61" i="12"/>
  <c r="K60" i="12"/>
  <c r="J60" i="12"/>
  <c r="I60" i="12"/>
  <c r="H60" i="12"/>
  <c r="J59" i="12"/>
  <c r="H59" i="12"/>
  <c r="J58" i="12"/>
  <c r="H58" i="12"/>
  <c r="I58" i="12" s="1"/>
  <c r="J57" i="12"/>
  <c r="H57" i="12"/>
  <c r="J56" i="12"/>
  <c r="H56" i="12"/>
  <c r="I56" i="12" s="1"/>
  <c r="J55" i="12"/>
  <c r="H55" i="12"/>
  <c r="K54" i="12"/>
  <c r="J54" i="12"/>
  <c r="I54" i="12"/>
  <c r="H54" i="12"/>
  <c r="J53" i="12"/>
  <c r="H53" i="12"/>
  <c r="J52" i="12"/>
  <c r="K52" i="12" s="1"/>
  <c r="I52" i="12"/>
  <c r="H52" i="12"/>
  <c r="J51" i="12"/>
  <c r="H51" i="12"/>
  <c r="J50" i="12"/>
  <c r="K50" i="12" s="1"/>
  <c r="I50" i="12"/>
  <c r="H50" i="12"/>
  <c r="J49" i="12"/>
  <c r="H49" i="12"/>
  <c r="K48" i="12"/>
  <c r="J48" i="12"/>
  <c r="H48" i="12"/>
  <c r="I48" i="12" s="1"/>
  <c r="J47" i="12"/>
  <c r="H47" i="12"/>
  <c r="K46" i="12"/>
  <c r="J46" i="12"/>
  <c r="I46" i="12"/>
  <c r="H46" i="12"/>
  <c r="J45" i="12"/>
  <c r="H45" i="12"/>
  <c r="K44" i="12"/>
  <c r="J44" i="12"/>
  <c r="I44" i="12"/>
  <c r="H44" i="12"/>
  <c r="J43" i="12"/>
  <c r="H43" i="12"/>
  <c r="J42" i="12"/>
  <c r="K42" i="12" s="1"/>
  <c r="H42" i="12"/>
  <c r="I42" i="12" s="1"/>
  <c r="J41" i="12"/>
  <c r="H41" i="12"/>
  <c r="K40" i="12"/>
  <c r="J40" i="12"/>
  <c r="H40" i="12"/>
  <c r="I40" i="12" s="1"/>
  <c r="J39" i="12"/>
  <c r="H39" i="12"/>
  <c r="K38" i="12"/>
  <c r="J38" i="12"/>
  <c r="I38" i="12"/>
  <c r="H38" i="12"/>
  <c r="J37" i="12"/>
  <c r="H37" i="12"/>
  <c r="K36" i="12"/>
  <c r="J36" i="12"/>
  <c r="I36" i="12"/>
  <c r="H36" i="12"/>
  <c r="J35" i="12"/>
  <c r="H35" i="12"/>
  <c r="J34" i="12"/>
  <c r="H34" i="12"/>
  <c r="I34" i="12" s="1"/>
  <c r="J33" i="12"/>
  <c r="H33" i="12"/>
  <c r="J32" i="12"/>
  <c r="H32" i="12"/>
  <c r="J31" i="12"/>
  <c r="H31" i="12"/>
  <c r="K30" i="12"/>
  <c r="J30" i="12"/>
  <c r="I30" i="12"/>
  <c r="H30" i="12"/>
  <c r="J29" i="12"/>
  <c r="H29" i="12"/>
  <c r="K28" i="12"/>
  <c r="J28" i="12"/>
  <c r="I28" i="12"/>
  <c r="H28" i="12"/>
  <c r="J27" i="12"/>
  <c r="H27" i="12"/>
  <c r="J26" i="12"/>
  <c r="H26" i="12"/>
  <c r="I26" i="12" s="1"/>
  <c r="J25" i="12"/>
  <c r="H25" i="12"/>
  <c r="J24" i="12"/>
  <c r="H24" i="12"/>
  <c r="I24" i="12" s="1"/>
  <c r="J23" i="12"/>
  <c r="H23" i="12"/>
  <c r="K22" i="12"/>
  <c r="J22" i="12"/>
  <c r="I22" i="12"/>
  <c r="H22" i="12"/>
  <c r="J21" i="12"/>
  <c r="H21" i="12"/>
  <c r="J20" i="12"/>
  <c r="K20" i="12" s="1"/>
  <c r="I20" i="12"/>
  <c r="H20" i="12"/>
  <c r="J19" i="12"/>
  <c r="H19" i="12"/>
  <c r="J18" i="12"/>
  <c r="K18" i="12" s="1"/>
  <c r="I18" i="12"/>
  <c r="H18" i="12"/>
  <c r="J17" i="12"/>
  <c r="H17" i="12"/>
  <c r="K16" i="12"/>
  <c r="J16" i="12"/>
  <c r="H16" i="12"/>
  <c r="I16" i="12" s="1"/>
  <c r="J15" i="12"/>
  <c r="H15" i="12"/>
  <c r="K14" i="12"/>
  <c r="J14" i="12"/>
  <c r="I14" i="12"/>
  <c r="H14" i="12"/>
  <c r="J13" i="12"/>
  <c r="H13" i="12"/>
  <c r="K12" i="12"/>
  <c r="J12" i="12"/>
  <c r="I12" i="12"/>
  <c r="H12" i="12"/>
  <c r="J11" i="12"/>
  <c r="H11" i="12"/>
  <c r="J10" i="12"/>
  <c r="K10" i="12" s="1"/>
  <c r="H10" i="12"/>
  <c r="I10" i="12" s="1"/>
  <c r="J9" i="12"/>
  <c r="H9" i="12"/>
  <c r="J8" i="12"/>
  <c r="H8" i="12"/>
  <c r="K7" i="12"/>
  <c r="I7" i="12"/>
  <c r="H7" i="12"/>
  <c r="K215" i="11"/>
  <c r="J215" i="11"/>
  <c r="I215" i="11"/>
  <c r="H215" i="11"/>
  <c r="J214" i="11"/>
  <c r="I214" i="11"/>
  <c r="H214" i="11"/>
  <c r="K214" i="11" s="1"/>
  <c r="K213" i="11"/>
  <c r="J213" i="11"/>
  <c r="I213" i="11"/>
  <c r="H213" i="11"/>
  <c r="J212" i="11"/>
  <c r="I212" i="11"/>
  <c r="H212" i="11"/>
  <c r="K212" i="11" s="1"/>
  <c r="J211" i="11"/>
  <c r="K211" i="11" s="1"/>
  <c r="I211" i="11"/>
  <c r="H211" i="11"/>
  <c r="J210" i="11"/>
  <c r="H210" i="11"/>
  <c r="K209" i="11"/>
  <c r="J209" i="11"/>
  <c r="I209" i="11"/>
  <c r="H209" i="11"/>
  <c r="J208" i="11"/>
  <c r="H208" i="11"/>
  <c r="K208" i="11" s="1"/>
  <c r="J207" i="11"/>
  <c r="K207" i="11" s="1"/>
  <c r="H207" i="11"/>
  <c r="I207" i="11" s="1"/>
  <c r="J206" i="11"/>
  <c r="H206" i="11"/>
  <c r="J205" i="11"/>
  <c r="K205" i="11" s="1"/>
  <c r="I205" i="11"/>
  <c r="H205" i="11"/>
  <c r="J204" i="11"/>
  <c r="I204" i="11"/>
  <c r="H204" i="11"/>
  <c r="K204" i="11" s="1"/>
  <c r="J203" i="11"/>
  <c r="I203" i="11"/>
  <c r="H203" i="11"/>
  <c r="K203" i="11" s="1"/>
  <c r="J202" i="11"/>
  <c r="I202" i="11"/>
  <c r="H202" i="11"/>
  <c r="K202" i="11" s="1"/>
  <c r="J201" i="11"/>
  <c r="K201" i="11" s="1"/>
  <c r="I201" i="11"/>
  <c r="H201" i="11"/>
  <c r="J200" i="11"/>
  <c r="H200" i="11"/>
  <c r="J199" i="11"/>
  <c r="I199" i="11"/>
  <c r="H199" i="11"/>
  <c r="K199" i="11" s="1"/>
  <c r="J198" i="11"/>
  <c r="I198" i="11"/>
  <c r="H198" i="11"/>
  <c r="K198" i="11" s="1"/>
  <c r="J197" i="11"/>
  <c r="H197" i="11"/>
  <c r="J196" i="11"/>
  <c r="H196" i="11"/>
  <c r="J195" i="11"/>
  <c r="K195" i="11" s="1"/>
  <c r="I195" i="11"/>
  <c r="H195" i="11"/>
  <c r="J194" i="11"/>
  <c r="H194" i="11"/>
  <c r="K193" i="11"/>
  <c r="J193" i="11"/>
  <c r="I193" i="11"/>
  <c r="H193" i="11"/>
  <c r="J192" i="11"/>
  <c r="I192" i="11"/>
  <c r="H192" i="11"/>
  <c r="J191" i="11"/>
  <c r="H191" i="11"/>
  <c r="I191" i="11" s="1"/>
  <c r="J190" i="11"/>
  <c r="H190" i="11"/>
  <c r="I190" i="11" s="1"/>
  <c r="K189" i="11"/>
  <c r="J189" i="11"/>
  <c r="I189" i="11"/>
  <c r="H189" i="11"/>
  <c r="J188" i="11"/>
  <c r="K188" i="11" s="1"/>
  <c r="I188" i="11"/>
  <c r="H188" i="11"/>
  <c r="J187" i="11"/>
  <c r="I187" i="11"/>
  <c r="H187" i="11"/>
  <c r="J186" i="11"/>
  <c r="I186" i="11"/>
  <c r="H186" i="11"/>
  <c r="J185" i="11"/>
  <c r="H185" i="11"/>
  <c r="I185" i="11" s="1"/>
  <c r="J184" i="11"/>
  <c r="H184" i="11"/>
  <c r="I184" i="11" s="1"/>
  <c r="J183" i="11"/>
  <c r="H183" i="11"/>
  <c r="J182" i="11"/>
  <c r="K182" i="11" s="1"/>
  <c r="I182" i="11"/>
  <c r="H182" i="11"/>
  <c r="K181" i="11"/>
  <c r="J181" i="11"/>
  <c r="H181" i="11"/>
  <c r="I181" i="11" s="1"/>
  <c r="J180" i="11"/>
  <c r="I180" i="11"/>
  <c r="H180" i="11"/>
  <c r="J179" i="11"/>
  <c r="K179" i="11" s="1"/>
  <c r="I179" i="11"/>
  <c r="H179" i="11"/>
  <c r="J178" i="11"/>
  <c r="K178" i="11" s="1"/>
  <c r="I178" i="11"/>
  <c r="H178" i="11"/>
  <c r="K177" i="11"/>
  <c r="J177" i="11"/>
  <c r="I177" i="11"/>
  <c r="H177" i="11"/>
  <c r="J176" i="11"/>
  <c r="H176" i="11"/>
  <c r="I176" i="11" s="1"/>
  <c r="J175" i="11"/>
  <c r="K175" i="11" s="1"/>
  <c r="H175" i="11"/>
  <c r="I175" i="11" s="1"/>
  <c r="J174" i="11"/>
  <c r="H174" i="11"/>
  <c r="I174" i="11" s="1"/>
  <c r="K173" i="11"/>
  <c r="J173" i="11"/>
  <c r="I173" i="11"/>
  <c r="H173" i="11"/>
  <c r="J172" i="11"/>
  <c r="K172" i="11" s="1"/>
  <c r="I172" i="11"/>
  <c r="H172" i="11"/>
  <c r="J171" i="11"/>
  <c r="K171" i="11" s="1"/>
  <c r="I171" i="11"/>
  <c r="H171" i="11"/>
  <c r="J170" i="11"/>
  <c r="K170" i="11" s="1"/>
  <c r="I170" i="11"/>
  <c r="H170" i="11"/>
  <c r="J169" i="11"/>
  <c r="H169" i="11"/>
  <c r="I169" i="11" s="1"/>
  <c r="J168" i="11"/>
  <c r="K168" i="11" s="1"/>
  <c r="H168" i="11"/>
  <c r="I168" i="11" s="1"/>
  <c r="J167" i="11"/>
  <c r="I167" i="11"/>
  <c r="H167" i="11"/>
  <c r="K167" i="11" s="1"/>
  <c r="J166" i="11"/>
  <c r="K166" i="11" s="1"/>
  <c r="I166" i="11"/>
  <c r="H166" i="11"/>
  <c r="K165" i="11"/>
  <c r="J165" i="11"/>
  <c r="H165" i="11"/>
  <c r="I165" i="11" s="1"/>
  <c r="J164" i="11"/>
  <c r="K164" i="11" s="1"/>
  <c r="I164" i="11"/>
  <c r="H164" i="11"/>
  <c r="J163" i="11"/>
  <c r="K163" i="11" s="1"/>
  <c r="I163" i="11"/>
  <c r="H163" i="11"/>
  <c r="J162" i="11"/>
  <c r="H162" i="11"/>
  <c r="I162" i="11" s="1"/>
  <c r="K161" i="11"/>
  <c r="J161" i="11"/>
  <c r="I161" i="11"/>
  <c r="H161" i="11"/>
  <c r="J160" i="11"/>
  <c r="I160" i="11"/>
  <c r="H160" i="11"/>
  <c r="K159" i="11"/>
  <c r="J159" i="11"/>
  <c r="H159" i="11"/>
  <c r="I159" i="11" s="1"/>
  <c r="J158" i="11"/>
  <c r="H158" i="11"/>
  <c r="I158" i="11" s="1"/>
  <c r="K157" i="11"/>
  <c r="J157" i="11"/>
  <c r="I157" i="11"/>
  <c r="H157" i="11"/>
  <c r="J156" i="11"/>
  <c r="K156" i="11" s="1"/>
  <c r="I156" i="11"/>
  <c r="H156" i="11"/>
  <c r="J155" i="11"/>
  <c r="K155" i="11" s="1"/>
  <c r="I155" i="11"/>
  <c r="H155" i="11"/>
  <c r="J154" i="11"/>
  <c r="K154" i="11" s="1"/>
  <c r="I154" i="11"/>
  <c r="H154" i="11"/>
  <c r="J153" i="11"/>
  <c r="K153" i="11" s="1"/>
  <c r="H153" i="11"/>
  <c r="I153" i="11" s="1"/>
  <c r="J152" i="11"/>
  <c r="K152" i="11" s="1"/>
  <c r="H152" i="11"/>
  <c r="I152" i="11" s="1"/>
  <c r="J151" i="11"/>
  <c r="I151" i="11"/>
  <c r="H151" i="11"/>
  <c r="K151" i="11" s="1"/>
  <c r="J150" i="11"/>
  <c r="K150" i="11" s="1"/>
  <c r="I150" i="11"/>
  <c r="H150" i="11"/>
  <c r="K149" i="11"/>
  <c r="J149" i="11"/>
  <c r="H149" i="11"/>
  <c r="I149" i="11" s="1"/>
  <c r="J148" i="11"/>
  <c r="H148" i="11"/>
  <c r="I148" i="11" s="1"/>
  <c r="J147" i="11"/>
  <c r="K147" i="11" s="1"/>
  <c r="I147" i="11"/>
  <c r="H147" i="11"/>
  <c r="J146" i="11"/>
  <c r="I146" i="11"/>
  <c r="H146" i="11"/>
  <c r="K145" i="11"/>
  <c r="J145" i="11"/>
  <c r="I145" i="11"/>
  <c r="H145" i="11"/>
  <c r="J144" i="11"/>
  <c r="H144" i="11"/>
  <c r="I144" i="11" s="1"/>
  <c r="J143" i="11"/>
  <c r="H143" i="11"/>
  <c r="J142" i="11"/>
  <c r="H142" i="11"/>
  <c r="I142" i="11" s="1"/>
  <c r="K141" i="11"/>
  <c r="J141" i="11"/>
  <c r="I141" i="11"/>
  <c r="H141" i="11"/>
  <c r="J140" i="11"/>
  <c r="K140" i="11" s="1"/>
  <c r="I140" i="11"/>
  <c r="H140" i="11"/>
  <c r="J139" i="11"/>
  <c r="H139" i="11"/>
  <c r="I139" i="11" s="1"/>
  <c r="J138" i="11"/>
  <c r="I138" i="11"/>
  <c r="H138" i="11"/>
  <c r="J137" i="11"/>
  <c r="K137" i="11" s="1"/>
  <c r="I137" i="11"/>
  <c r="H137" i="11"/>
  <c r="J136" i="11"/>
  <c r="H136" i="11"/>
  <c r="I136" i="11" s="1"/>
  <c r="J135" i="11"/>
  <c r="H135" i="11"/>
  <c r="J134" i="11"/>
  <c r="K134" i="11" s="1"/>
  <c r="I134" i="11"/>
  <c r="H134" i="11"/>
  <c r="J133" i="11"/>
  <c r="H133" i="11"/>
  <c r="I133" i="11" s="1"/>
  <c r="J132" i="11"/>
  <c r="H132" i="11"/>
  <c r="I132" i="11" s="1"/>
  <c r="J131" i="11"/>
  <c r="K131" i="11" s="1"/>
  <c r="I131" i="11"/>
  <c r="H131" i="11"/>
  <c r="J130" i="11"/>
  <c r="K130" i="11" s="1"/>
  <c r="I130" i="11"/>
  <c r="H130" i="11"/>
  <c r="K129" i="11"/>
  <c r="J129" i="11"/>
  <c r="I129" i="11"/>
  <c r="H129" i="11"/>
  <c r="J128" i="11"/>
  <c r="I128" i="11"/>
  <c r="H128" i="11"/>
  <c r="J127" i="11"/>
  <c r="K127" i="11" s="1"/>
  <c r="H127" i="11"/>
  <c r="I127" i="11" s="1"/>
  <c r="J126" i="11"/>
  <c r="H126" i="11"/>
  <c r="I126" i="11" s="1"/>
  <c r="J125" i="11"/>
  <c r="K125" i="11" s="1"/>
  <c r="I125" i="11"/>
  <c r="H125" i="11"/>
  <c r="J124" i="11"/>
  <c r="K124" i="11" s="1"/>
  <c r="I124" i="11"/>
  <c r="H124" i="11"/>
  <c r="K123" i="11"/>
  <c r="J123" i="11"/>
  <c r="I123" i="11"/>
  <c r="H123" i="11"/>
  <c r="J122" i="11"/>
  <c r="I122" i="11"/>
  <c r="H122" i="11"/>
  <c r="J121" i="11"/>
  <c r="K121" i="11" s="1"/>
  <c r="I121" i="11"/>
  <c r="H121" i="11"/>
  <c r="J120" i="11"/>
  <c r="K120" i="11" s="1"/>
  <c r="H120" i="11"/>
  <c r="I120" i="11" s="1"/>
  <c r="J119" i="11"/>
  <c r="I119" i="11"/>
  <c r="H119" i="11"/>
  <c r="K119" i="11" s="1"/>
  <c r="J118" i="11"/>
  <c r="K118" i="11" s="1"/>
  <c r="I118" i="11"/>
  <c r="H118" i="11"/>
  <c r="K117" i="11"/>
  <c r="J117" i="11"/>
  <c r="H117" i="11"/>
  <c r="I117" i="11" s="1"/>
  <c r="J116" i="11"/>
  <c r="K116" i="11" s="1"/>
  <c r="I116" i="11"/>
  <c r="H116" i="11"/>
  <c r="J115" i="11"/>
  <c r="K115" i="11" s="1"/>
  <c r="I115" i="11"/>
  <c r="H115" i="11"/>
  <c r="J114" i="11"/>
  <c r="H114" i="11"/>
  <c r="I114" i="11" s="1"/>
  <c r="K113" i="11"/>
  <c r="J113" i="11"/>
  <c r="I113" i="11"/>
  <c r="H113" i="11"/>
  <c r="J112" i="11"/>
  <c r="I112" i="11"/>
  <c r="H112" i="11"/>
  <c r="J111" i="11"/>
  <c r="H111" i="11"/>
  <c r="I111" i="11" s="1"/>
  <c r="J110" i="11"/>
  <c r="H110" i="11"/>
  <c r="I110" i="11" s="1"/>
  <c r="K109" i="11"/>
  <c r="J109" i="11"/>
  <c r="I109" i="11"/>
  <c r="H109" i="11"/>
  <c r="J108" i="11"/>
  <c r="K108" i="11" s="1"/>
  <c r="I108" i="11"/>
  <c r="H108" i="11"/>
  <c r="J107" i="11"/>
  <c r="K107" i="11" s="1"/>
  <c r="I107" i="11"/>
  <c r="H107" i="11"/>
  <c r="J106" i="11"/>
  <c r="I106" i="11"/>
  <c r="H106" i="11"/>
  <c r="J105" i="11"/>
  <c r="K105" i="11" s="1"/>
  <c r="H105" i="11"/>
  <c r="I105" i="11" s="1"/>
  <c r="J104" i="11"/>
  <c r="K104" i="11" s="1"/>
  <c r="H104" i="11"/>
  <c r="I104" i="11" s="1"/>
  <c r="J103" i="11"/>
  <c r="H103" i="11"/>
  <c r="K103" i="11" s="1"/>
  <c r="J102" i="11"/>
  <c r="K102" i="11" s="1"/>
  <c r="I102" i="11"/>
  <c r="H102" i="11"/>
  <c r="J101" i="11"/>
  <c r="H101" i="11"/>
  <c r="J100" i="11"/>
  <c r="K100" i="11" s="1"/>
  <c r="H100" i="11"/>
  <c r="I100" i="11" s="1"/>
  <c r="J99" i="11"/>
  <c r="K99" i="11" s="1"/>
  <c r="I99" i="11"/>
  <c r="H99" i="11"/>
  <c r="J98" i="11"/>
  <c r="H98" i="11"/>
  <c r="I98" i="11" s="1"/>
  <c r="K97" i="11"/>
  <c r="J97" i="11"/>
  <c r="I97" i="11"/>
  <c r="H97" i="11"/>
  <c r="J96" i="11"/>
  <c r="H96" i="11"/>
  <c r="I96" i="11" s="1"/>
  <c r="J95" i="11"/>
  <c r="K95" i="11" s="1"/>
  <c r="H95" i="11"/>
  <c r="I95" i="11" s="1"/>
  <c r="J94" i="11"/>
  <c r="H94" i="11"/>
  <c r="I94" i="11" s="1"/>
  <c r="K93" i="11"/>
  <c r="J93" i="11"/>
  <c r="I93" i="11"/>
  <c r="H93" i="11"/>
  <c r="J92" i="11"/>
  <c r="K92" i="11" s="1"/>
  <c r="I92" i="11"/>
  <c r="H92" i="11"/>
  <c r="K91" i="11"/>
  <c r="J91" i="11"/>
  <c r="H91" i="11"/>
  <c r="I91" i="11" s="1"/>
  <c r="J90" i="11"/>
  <c r="I90" i="11"/>
  <c r="H90" i="11"/>
  <c r="J89" i="11"/>
  <c r="I89" i="11"/>
  <c r="H89" i="11"/>
  <c r="J88" i="11"/>
  <c r="H88" i="11"/>
  <c r="I88" i="11" s="1"/>
  <c r="J87" i="11"/>
  <c r="H87" i="11"/>
  <c r="K87" i="11" s="1"/>
  <c r="J86" i="11"/>
  <c r="K86" i="11" s="1"/>
  <c r="I86" i="11"/>
  <c r="H86" i="11"/>
  <c r="J85" i="11"/>
  <c r="H85" i="11"/>
  <c r="J84" i="11"/>
  <c r="K84" i="11" s="1"/>
  <c r="I84" i="11"/>
  <c r="H84" i="11"/>
  <c r="J83" i="11"/>
  <c r="K83" i="11" s="1"/>
  <c r="I83" i="11"/>
  <c r="H83" i="11"/>
  <c r="J82" i="11"/>
  <c r="K82" i="11" s="1"/>
  <c r="H82" i="11"/>
  <c r="I82" i="11" s="1"/>
  <c r="K81" i="11"/>
  <c r="J81" i="11"/>
  <c r="I81" i="11"/>
  <c r="H81" i="11"/>
  <c r="J80" i="11"/>
  <c r="I80" i="11"/>
  <c r="H80" i="11"/>
  <c r="K79" i="11"/>
  <c r="J79" i="11"/>
  <c r="H79" i="11"/>
  <c r="I79" i="11" s="1"/>
  <c r="J78" i="11"/>
  <c r="H78" i="11"/>
  <c r="I78" i="11" s="1"/>
  <c r="J77" i="11"/>
  <c r="K77" i="11" s="1"/>
  <c r="I77" i="11"/>
  <c r="H77" i="11"/>
  <c r="J76" i="11"/>
  <c r="K76" i="11" s="1"/>
  <c r="I76" i="11"/>
  <c r="H76" i="11"/>
  <c r="J75" i="11"/>
  <c r="H75" i="11"/>
  <c r="J74" i="11"/>
  <c r="I74" i="11"/>
  <c r="H74" i="11"/>
  <c r="J73" i="11"/>
  <c r="K73" i="11" s="1"/>
  <c r="I73" i="11"/>
  <c r="H73" i="11"/>
  <c r="J72" i="11"/>
  <c r="H72" i="11"/>
  <c r="I72" i="11" s="1"/>
  <c r="J71" i="11"/>
  <c r="I71" i="11"/>
  <c r="H71" i="11"/>
  <c r="K71" i="11" s="1"/>
  <c r="J70" i="11"/>
  <c r="K70" i="11" s="1"/>
  <c r="I70" i="11"/>
  <c r="H70" i="11"/>
  <c r="J69" i="11"/>
  <c r="H69" i="11"/>
  <c r="J68" i="11"/>
  <c r="H68" i="11"/>
  <c r="I68" i="11" s="1"/>
  <c r="J67" i="11"/>
  <c r="K67" i="11" s="1"/>
  <c r="I67" i="11"/>
  <c r="H67" i="11"/>
  <c r="J66" i="11"/>
  <c r="H66" i="11"/>
  <c r="I66" i="11" s="1"/>
  <c r="K65" i="11"/>
  <c r="J65" i="11"/>
  <c r="I65" i="11"/>
  <c r="H65" i="11"/>
  <c r="J64" i="11"/>
  <c r="I64" i="11"/>
  <c r="H64" i="11"/>
  <c r="K63" i="11"/>
  <c r="J63" i="11"/>
  <c r="H63" i="11"/>
  <c r="I63" i="11" s="1"/>
  <c r="J62" i="11"/>
  <c r="H62" i="11"/>
  <c r="I62" i="11" s="1"/>
  <c r="J61" i="11"/>
  <c r="K61" i="11" s="1"/>
  <c r="I61" i="11"/>
  <c r="H61" i="11"/>
  <c r="J60" i="11"/>
  <c r="K60" i="11" s="1"/>
  <c r="I60" i="11"/>
  <c r="H60" i="11"/>
  <c r="J59" i="11"/>
  <c r="H59" i="11"/>
  <c r="I59" i="11" s="1"/>
  <c r="J58" i="11"/>
  <c r="K58" i="11" s="1"/>
  <c r="I58" i="11"/>
  <c r="H58" i="11"/>
  <c r="J57" i="11"/>
  <c r="H57" i="11"/>
  <c r="I57" i="11" s="1"/>
  <c r="J56" i="11"/>
  <c r="K56" i="11" s="1"/>
  <c r="H56" i="11"/>
  <c r="I56" i="11" s="1"/>
  <c r="J55" i="11"/>
  <c r="H55" i="11"/>
  <c r="J54" i="11"/>
  <c r="K54" i="11" s="1"/>
  <c r="I54" i="11"/>
  <c r="H54" i="11"/>
  <c r="K53" i="11"/>
  <c r="J53" i="11"/>
  <c r="H53" i="11"/>
  <c r="I53" i="11" s="1"/>
  <c r="J52" i="11"/>
  <c r="I52" i="11"/>
  <c r="H52" i="11"/>
  <c r="J51" i="11"/>
  <c r="K51" i="11" s="1"/>
  <c r="I51" i="11"/>
  <c r="H51" i="11"/>
  <c r="J50" i="11"/>
  <c r="K50" i="11" s="1"/>
  <c r="I50" i="11"/>
  <c r="H50" i="11"/>
  <c r="K49" i="11"/>
  <c r="J49" i="11"/>
  <c r="I49" i="11"/>
  <c r="H49" i="11"/>
  <c r="J48" i="11"/>
  <c r="I48" i="11"/>
  <c r="H48" i="11"/>
  <c r="J47" i="11"/>
  <c r="K47" i="11" s="1"/>
  <c r="H47" i="11"/>
  <c r="I47" i="11" s="1"/>
  <c r="J46" i="11"/>
  <c r="H46" i="11"/>
  <c r="I46" i="11" s="1"/>
  <c r="K45" i="11"/>
  <c r="J45" i="11"/>
  <c r="I45" i="11"/>
  <c r="H45" i="11"/>
  <c r="J44" i="11"/>
  <c r="K44" i="11" s="1"/>
  <c r="I44" i="11"/>
  <c r="H44" i="11"/>
  <c r="J43" i="11"/>
  <c r="K43" i="11" s="1"/>
  <c r="H43" i="11"/>
  <c r="I43" i="11" s="1"/>
  <c r="J42" i="11"/>
  <c r="K42" i="11" s="1"/>
  <c r="I42" i="11"/>
  <c r="H42" i="11"/>
  <c r="J41" i="11"/>
  <c r="I41" i="11"/>
  <c r="H41" i="11"/>
  <c r="J40" i="11"/>
  <c r="H40" i="11"/>
  <c r="I40" i="11" s="1"/>
  <c r="J39" i="11"/>
  <c r="I39" i="11"/>
  <c r="H39" i="11"/>
  <c r="K39" i="11" s="1"/>
  <c r="J38" i="11"/>
  <c r="K38" i="11" s="1"/>
  <c r="I38" i="11"/>
  <c r="H38" i="11"/>
  <c r="K37" i="11"/>
  <c r="J37" i="11"/>
  <c r="H37" i="11"/>
  <c r="I37" i="11" s="1"/>
  <c r="J36" i="11"/>
  <c r="K36" i="11" s="1"/>
  <c r="I36" i="11"/>
  <c r="H36" i="11"/>
  <c r="J35" i="11"/>
  <c r="K35" i="11" s="1"/>
  <c r="I35" i="11"/>
  <c r="H35" i="11"/>
  <c r="J34" i="11"/>
  <c r="K34" i="11" s="1"/>
  <c r="H34" i="11"/>
  <c r="I34" i="11" s="1"/>
  <c r="K33" i="11"/>
  <c r="J33" i="11"/>
  <c r="I33" i="11"/>
  <c r="H33" i="11"/>
  <c r="J32" i="11"/>
  <c r="K32" i="11" s="1"/>
  <c r="I32" i="11"/>
  <c r="H32" i="11"/>
  <c r="K31" i="11"/>
  <c r="J31" i="11"/>
  <c r="I31" i="11"/>
  <c r="H31" i="11"/>
  <c r="J30" i="11"/>
  <c r="K30" i="11" s="1"/>
  <c r="I30" i="11"/>
  <c r="H30" i="11"/>
  <c r="K29" i="11"/>
  <c r="J29" i="11"/>
  <c r="I29" i="11"/>
  <c r="H29" i="11"/>
  <c r="J28" i="11"/>
  <c r="K28" i="11" s="1"/>
  <c r="I28" i="11"/>
  <c r="H28" i="11"/>
  <c r="K27" i="11"/>
  <c r="J27" i="11"/>
  <c r="I27" i="11"/>
  <c r="H27" i="11"/>
  <c r="J26" i="11"/>
  <c r="H26" i="11"/>
  <c r="I26" i="11" s="1"/>
  <c r="K25" i="11"/>
  <c r="J25" i="11"/>
  <c r="I25" i="11"/>
  <c r="H25" i="11"/>
  <c r="J24" i="11"/>
  <c r="H24" i="11"/>
  <c r="I24" i="11" s="1"/>
  <c r="K23" i="11"/>
  <c r="J23" i="11"/>
  <c r="I23" i="11"/>
  <c r="H23" i="11"/>
  <c r="J22" i="11"/>
  <c r="K22" i="11" s="1"/>
  <c r="I22" i="11"/>
  <c r="H22" i="11"/>
  <c r="K21" i="11"/>
  <c r="J21" i="11"/>
  <c r="I21" i="11"/>
  <c r="H21" i="11"/>
  <c r="J20" i="11"/>
  <c r="I20" i="11"/>
  <c r="H20" i="11"/>
  <c r="K19" i="11"/>
  <c r="J19" i="11"/>
  <c r="I19" i="11"/>
  <c r="H19" i="11"/>
  <c r="J18" i="11"/>
  <c r="K18" i="11" s="1"/>
  <c r="H18" i="11"/>
  <c r="I18" i="11" s="1"/>
  <c r="K17" i="11"/>
  <c r="J17" i="11"/>
  <c r="I17" i="11"/>
  <c r="H17" i="11"/>
  <c r="J16" i="11"/>
  <c r="K16" i="11" s="1"/>
  <c r="I16" i="11"/>
  <c r="H16" i="11"/>
  <c r="K15" i="11"/>
  <c r="J15" i="11"/>
  <c r="I15" i="11"/>
  <c r="H15" i="11"/>
  <c r="J14" i="11"/>
  <c r="H14" i="11"/>
  <c r="I14" i="11" s="1"/>
  <c r="K13" i="11"/>
  <c r="J13" i="11"/>
  <c r="I13" i="11"/>
  <c r="H13" i="11"/>
  <c r="J12" i="11"/>
  <c r="H12" i="11"/>
  <c r="I12" i="11" s="1"/>
  <c r="K11" i="11"/>
  <c r="J11" i="11"/>
  <c r="I11" i="11"/>
  <c r="H11" i="11"/>
  <c r="J10" i="11"/>
  <c r="H10" i="11"/>
  <c r="I10" i="11" s="1"/>
  <c r="K9" i="11"/>
  <c r="J9" i="11"/>
  <c r="I9" i="11"/>
  <c r="H9" i="11"/>
  <c r="J8" i="11"/>
  <c r="H8" i="11"/>
  <c r="I8" i="11" s="1"/>
  <c r="H7" i="11"/>
  <c r="I7" i="11" s="1"/>
  <c r="K215" i="10"/>
  <c r="J215" i="10"/>
  <c r="I215" i="10"/>
  <c r="H215" i="10"/>
  <c r="J214" i="10"/>
  <c r="K214" i="10" s="1"/>
  <c r="I214" i="10"/>
  <c r="H214" i="10"/>
  <c r="J213" i="10"/>
  <c r="H213" i="10"/>
  <c r="I213" i="10" s="1"/>
  <c r="J212" i="10"/>
  <c r="K212" i="10" s="1"/>
  <c r="I212" i="10"/>
  <c r="H212" i="10"/>
  <c r="J211" i="10"/>
  <c r="K211" i="10" s="1"/>
  <c r="I211" i="10"/>
  <c r="H211" i="10"/>
  <c r="J210" i="10"/>
  <c r="K210" i="10" s="1"/>
  <c r="I210" i="10"/>
  <c r="H210" i="10"/>
  <c r="J209" i="10"/>
  <c r="H209" i="10"/>
  <c r="J208" i="10"/>
  <c r="K208" i="10" s="1"/>
  <c r="I208" i="10"/>
  <c r="H208" i="10"/>
  <c r="J207" i="10"/>
  <c r="K207" i="10" s="1"/>
  <c r="I207" i="10"/>
  <c r="H207" i="10"/>
  <c r="K206" i="10"/>
  <c r="J206" i="10"/>
  <c r="I206" i="10"/>
  <c r="H206" i="10"/>
  <c r="J205" i="10"/>
  <c r="K205" i="10" s="1"/>
  <c r="H205" i="10"/>
  <c r="I205" i="10" s="1"/>
  <c r="K204" i="10"/>
  <c r="J204" i="10"/>
  <c r="I204" i="10"/>
  <c r="H204" i="10"/>
  <c r="J203" i="10"/>
  <c r="K203" i="10" s="1"/>
  <c r="I203" i="10"/>
  <c r="H203" i="10"/>
  <c r="K202" i="10"/>
  <c r="J202" i="10"/>
  <c r="I202" i="10"/>
  <c r="H202" i="10"/>
  <c r="J201" i="10"/>
  <c r="K201" i="10" s="1"/>
  <c r="H201" i="10"/>
  <c r="I201" i="10" s="1"/>
  <c r="K200" i="10"/>
  <c r="J200" i="10"/>
  <c r="I200" i="10"/>
  <c r="H200" i="10"/>
  <c r="J199" i="10"/>
  <c r="I199" i="10"/>
  <c r="H199" i="10"/>
  <c r="K198" i="10"/>
  <c r="J198" i="10"/>
  <c r="I198" i="10"/>
  <c r="H198" i="10"/>
  <c r="J197" i="10"/>
  <c r="K197" i="10" s="1"/>
  <c r="H197" i="10"/>
  <c r="I197" i="10" s="1"/>
  <c r="K196" i="10"/>
  <c r="J196" i="10"/>
  <c r="I196" i="10"/>
  <c r="H196" i="10"/>
  <c r="J195" i="10"/>
  <c r="I195" i="10"/>
  <c r="H195" i="10"/>
  <c r="K194" i="10"/>
  <c r="J194" i="10"/>
  <c r="I194" i="10"/>
  <c r="H194" i="10"/>
  <c r="J193" i="10"/>
  <c r="H193" i="10"/>
  <c r="I193" i="10" s="1"/>
  <c r="K192" i="10"/>
  <c r="J192" i="10"/>
  <c r="I192" i="10"/>
  <c r="H192" i="10"/>
  <c r="J191" i="10"/>
  <c r="K191" i="10" s="1"/>
  <c r="I191" i="10"/>
  <c r="H191" i="10"/>
  <c r="K190" i="10"/>
  <c r="J190" i="10"/>
  <c r="I190" i="10"/>
  <c r="H190" i="10"/>
  <c r="J189" i="10"/>
  <c r="K189" i="10" s="1"/>
  <c r="H189" i="10"/>
  <c r="I189" i="10" s="1"/>
  <c r="K188" i="10"/>
  <c r="J188" i="10"/>
  <c r="I188" i="10"/>
  <c r="H188" i="10"/>
  <c r="J187" i="10"/>
  <c r="K187" i="10" s="1"/>
  <c r="I187" i="10"/>
  <c r="H187" i="10"/>
  <c r="K186" i="10"/>
  <c r="J186" i="10"/>
  <c r="I186" i="10"/>
  <c r="H186" i="10"/>
  <c r="J185" i="10"/>
  <c r="H185" i="10"/>
  <c r="I185" i="10" s="1"/>
  <c r="K184" i="10"/>
  <c r="J184" i="10"/>
  <c r="I184" i="10"/>
  <c r="H184" i="10"/>
  <c r="J183" i="10"/>
  <c r="K183" i="10" s="1"/>
  <c r="I183" i="10"/>
  <c r="H183" i="10"/>
  <c r="K182" i="10"/>
  <c r="J182" i="10"/>
  <c r="I182" i="10"/>
  <c r="H182" i="10"/>
  <c r="J181" i="10"/>
  <c r="H181" i="10"/>
  <c r="I181" i="10" s="1"/>
  <c r="K180" i="10"/>
  <c r="J180" i="10"/>
  <c r="I180" i="10"/>
  <c r="H180" i="10"/>
  <c r="J179" i="10"/>
  <c r="I179" i="10"/>
  <c r="H179" i="10"/>
  <c r="K178" i="10"/>
  <c r="J178" i="10"/>
  <c r="I178" i="10"/>
  <c r="H178" i="10"/>
  <c r="J177" i="10"/>
  <c r="H177" i="10"/>
  <c r="I177" i="10" s="1"/>
  <c r="K176" i="10"/>
  <c r="J176" i="10"/>
  <c r="I176" i="10"/>
  <c r="H176" i="10"/>
  <c r="J175" i="10"/>
  <c r="K175" i="10" s="1"/>
  <c r="I175" i="10"/>
  <c r="H175" i="10"/>
  <c r="K174" i="10"/>
  <c r="J174" i="10"/>
  <c r="I174" i="10"/>
  <c r="H174" i="10"/>
  <c r="J173" i="10"/>
  <c r="K173" i="10" s="1"/>
  <c r="H173" i="10"/>
  <c r="I173" i="10" s="1"/>
  <c r="K172" i="10"/>
  <c r="J172" i="10"/>
  <c r="I172" i="10"/>
  <c r="H172" i="10"/>
  <c r="J171" i="10"/>
  <c r="K171" i="10" s="1"/>
  <c r="I171" i="10"/>
  <c r="H171" i="10"/>
  <c r="K170" i="10"/>
  <c r="J170" i="10"/>
  <c r="I170" i="10"/>
  <c r="H170" i="10"/>
  <c r="J169" i="10"/>
  <c r="H169" i="10"/>
  <c r="I169" i="10" s="1"/>
  <c r="K168" i="10"/>
  <c r="J168" i="10"/>
  <c r="I168" i="10"/>
  <c r="H168" i="10"/>
  <c r="J167" i="10"/>
  <c r="K167" i="10" s="1"/>
  <c r="I167" i="10"/>
  <c r="H167" i="10"/>
  <c r="K166" i="10"/>
  <c r="J166" i="10"/>
  <c r="I166" i="10"/>
  <c r="H166" i="10"/>
  <c r="J165" i="10"/>
  <c r="I165" i="10"/>
  <c r="H165" i="10"/>
  <c r="K164" i="10"/>
  <c r="J164" i="10"/>
  <c r="I164" i="10"/>
  <c r="H164" i="10"/>
  <c r="J163" i="10"/>
  <c r="H163" i="10"/>
  <c r="I163" i="10" s="1"/>
  <c r="K162" i="10"/>
  <c r="J162" i="10"/>
  <c r="I162" i="10"/>
  <c r="H162" i="10"/>
  <c r="J161" i="10"/>
  <c r="H161" i="10"/>
  <c r="I161" i="10" s="1"/>
  <c r="K160" i="10"/>
  <c r="J160" i="10"/>
  <c r="I160" i="10"/>
  <c r="H160" i="10"/>
  <c r="J159" i="10"/>
  <c r="K159" i="10" s="1"/>
  <c r="I159" i="10"/>
  <c r="H159" i="10"/>
  <c r="K158" i="10"/>
  <c r="J158" i="10"/>
  <c r="I158" i="10"/>
  <c r="H158" i="10"/>
  <c r="J157" i="10"/>
  <c r="K157" i="10" s="1"/>
  <c r="H157" i="10"/>
  <c r="I157" i="10" s="1"/>
  <c r="K156" i="10"/>
  <c r="J156" i="10"/>
  <c r="I156" i="10"/>
  <c r="H156" i="10"/>
  <c r="J155" i="10"/>
  <c r="K155" i="10" s="1"/>
  <c r="I155" i="10"/>
  <c r="H155" i="10"/>
  <c r="K154" i="10"/>
  <c r="J154" i="10"/>
  <c r="I154" i="10"/>
  <c r="H154" i="10"/>
  <c r="J153" i="10"/>
  <c r="H153" i="10"/>
  <c r="I153" i="10" s="1"/>
  <c r="K152" i="10"/>
  <c r="J152" i="10"/>
  <c r="I152" i="10"/>
  <c r="H152" i="10"/>
  <c r="J151" i="10"/>
  <c r="H151" i="10"/>
  <c r="I151" i="10" s="1"/>
  <c r="K150" i="10"/>
  <c r="J150" i="10"/>
  <c r="I150" i="10"/>
  <c r="H150" i="10"/>
  <c r="J149" i="10"/>
  <c r="K149" i="10" s="1"/>
  <c r="H149" i="10"/>
  <c r="I149" i="10" s="1"/>
  <c r="K148" i="10"/>
  <c r="J148" i="10"/>
  <c r="I148" i="10"/>
  <c r="H148" i="10"/>
  <c r="J147" i="10"/>
  <c r="I147" i="10"/>
  <c r="H147" i="10"/>
  <c r="K146" i="10"/>
  <c r="J146" i="10"/>
  <c r="I146" i="10"/>
  <c r="H146" i="10"/>
  <c r="J145" i="10"/>
  <c r="H145" i="10"/>
  <c r="I145" i="10" s="1"/>
  <c r="K144" i="10"/>
  <c r="J144" i="10"/>
  <c r="I144" i="10"/>
  <c r="H144" i="10"/>
  <c r="J143" i="10"/>
  <c r="K143" i="10" s="1"/>
  <c r="I143" i="10"/>
  <c r="H143" i="10"/>
  <c r="K142" i="10"/>
  <c r="J142" i="10"/>
  <c r="I142" i="10"/>
  <c r="H142" i="10"/>
  <c r="J141" i="10"/>
  <c r="K141" i="10" s="1"/>
  <c r="H141" i="10"/>
  <c r="I141" i="10" s="1"/>
  <c r="K140" i="10"/>
  <c r="J140" i="10"/>
  <c r="I140" i="10"/>
  <c r="H140" i="10"/>
  <c r="J139" i="10"/>
  <c r="K139" i="10" s="1"/>
  <c r="I139" i="10"/>
  <c r="H139" i="10"/>
  <c r="K138" i="10"/>
  <c r="J138" i="10"/>
  <c r="I138" i="10"/>
  <c r="H138" i="10"/>
  <c r="J137" i="10"/>
  <c r="K137" i="10" s="1"/>
  <c r="H137" i="10"/>
  <c r="I137" i="10" s="1"/>
  <c r="K136" i="10"/>
  <c r="J136" i="10"/>
  <c r="I136" i="10"/>
  <c r="H136" i="10"/>
  <c r="J135" i="10"/>
  <c r="I135" i="10"/>
  <c r="H135" i="10"/>
  <c r="K134" i="10"/>
  <c r="J134" i="10"/>
  <c r="I134" i="10"/>
  <c r="H134" i="10"/>
  <c r="J133" i="10"/>
  <c r="H133" i="10"/>
  <c r="I133" i="10" s="1"/>
  <c r="K132" i="10"/>
  <c r="J132" i="10"/>
  <c r="I132" i="10"/>
  <c r="H132" i="10"/>
  <c r="J131" i="10"/>
  <c r="I131" i="10"/>
  <c r="H131" i="10"/>
  <c r="K130" i="10"/>
  <c r="J130" i="10"/>
  <c r="I130" i="10"/>
  <c r="H130" i="10"/>
  <c r="J129" i="10"/>
  <c r="H129" i="10"/>
  <c r="I129" i="10" s="1"/>
  <c r="K128" i="10"/>
  <c r="J128" i="10"/>
  <c r="I128" i="10"/>
  <c r="H128" i="10"/>
  <c r="J127" i="10"/>
  <c r="K127" i="10" s="1"/>
  <c r="I127" i="10"/>
  <c r="H127" i="10"/>
  <c r="K126" i="10"/>
  <c r="J126" i="10"/>
  <c r="I126" i="10"/>
  <c r="H126" i="10"/>
  <c r="J125" i="10"/>
  <c r="H125" i="10"/>
  <c r="I125" i="10" s="1"/>
  <c r="K124" i="10"/>
  <c r="J124" i="10"/>
  <c r="I124" i="10"/>
  <c r="H124" i="10"/>
  <c r="J123" i="10"/>
  <c r="K123" i="10" s="1"/>
  <c r="I123" i="10"/>
  <c r="H123" i="10"/>
  <c r="K122" i="10"/>
  <c r="J122" i="10"/>
  <c r="I122" i="10"/>
  <c r="H122" i="10"/>
  <c r="J121" i="10"/>
  <c r="K121" i="10" s="1"/>
  <c r="H121" i="10"/>
  <c r="I121" i="10" s="1"/>
  <c r="K120" i="10"/>
  <c r="J120" i="10"/>
  <c r="I120" i="10"/>
  <c r="H120" i="10"/>
  <c r="J119" i="10"/>
  <c r="K119" i="10" s="1"/>
  <c r="I119" i="10"/>
  <c r="H119" i="10"/>
  <c r="K118" i="10"/>
  <c r="J118" i="10"/>
  <c r="I118" i="10"/>
  <c r="H118" i="10"/>
  <c r="J117" i="10"/>
  <c r="H117" i="10"/>
  <c r="I117" i="10" s="1"/>
  <c r="K116" i="10"/>
  <c r="J116" i="10"/>
  <c r="I116" i="10"/>
  <c r="H116" i="10"/>
  <c r="J115" i="10"/>
  <c r="I115" i="10"/>
  <c r="H115" i="10"/>
  <c r="K114" i="10"/>
  <c r="J114" i="10"/>
  <c r="I114" i="10"/>
  <c r="H114" i="10"/>
  <c r="J113" i="10"/>
  <c r="K113" i="10" s="1"/>
  <c r="H113" i="10"/>
  <c r="I113" i="10" s="1"/>
  <c r="K112" i="10"/>
  <c r="J112" i="10"/>
  <c r="I112" i="10"/>
  <c r="H112" i="10"/>
  <c r="J111" i="10"/>
  <c r="K111" i="10" s="1"/>
  <c r="I111" i="10"/>
  <c r="H111" i="10"/>
  <c r="K110" i="10"/>
  <c r="J110" i="10"/>
  <c r="I110" i="10"/>
  <c r="H110" i="10"/>
  <c r="J109" i="10"/>
  <c r="H109" i="10"/>
  <c r="I109" i="10" s="1"/>
  <c r="K108" i="10"/>
  <c r="J108" i="10"/>
  <c r="I108" i="10"/>
  <c r="H108" i="10"/>
  <c r="J107" i="10"/>
  <c r="K107" i="10" s="1"/>
  <c r="I107" i="10"/>
  <c r="H107" i="10"/>
  <c r="K106" i="10"/>
  <c r="J106" i="10"/>
  <c r="I106" i="10"/>
  <c r="H106" i="10"/>
  <c r="J105" i="10"/>
  <c r="K105" i="10" s="1"/>
  <c r="H105" i="10"/>
  <c r="I105" i="10" s="1"/>
  <c r="K104" i="10"/>
  <c r="J104" i="10"/>
  <c r="I104" i="10"/>
  <c r="H104" i="10"/>
  <c r="J103" i="10"/>
  <c r="K103" i="10" s="1"/>
  <c r="I103" i="10"/>
  <c r="H103" i="10"/>
  <c r="K102" i="10"/>
  <c r="J102" i="10"/>
  <c r="I102" i="10"/>
  <c r="H102" i="10"/>
  <c r="J101" i="10"/>
  <c r="K101" i="10" s="1"/>
  <c r="H101" i="10"/>
  <c r="I101" i="10" s="1"/>
  <c r="K100" i="10"/>
  <c r="J100" i="10"/>
  <c r="I100" i="10"/>
  <c r="H100" i="10"/>
  <c r="J99" i="10"/>
  <c r="I99" i="10"/>
  <c r="H99" i="10"/>
  <c r="K98" i="10"/>
  <c r="J98" i="10"/>
  <c r="I98" i="10"/>
  <c r="H98" i="10"/>
  <c r="J97" i="10"/>
  <c r="K97" i="10" s="1"/>
  <c r="H97" i="10"/>
  <c r="I97" i="10" s="1"/>
  <c r="K96" i="10"/>
  <c r="J96" i="10"/>
  <c r="I96" i="10"/>
  <c r="H96" i="10"/>
  <c r="J95" i="10"/>
  <c r="K95" i="10" s="1"/>
  <c r="I95" i="10"/>
  <c r="H95" i="10"/>
  <c r="K94" i="10"/>
  <c r="J94" i="10"/>
  <c r="I94" i="10"/>
  <c r="H94" i="10"/>
  <c r="J93" i="10"/>
  <c r="H93" i="10"/>
  <c r="I93" i="10" s="1"/>
  <c r="K92" i="10"/>
  <c r="J92" i="10"/>
  <c r="I92" i="10"/>
  <c r="H92" i="10"/>
  <c r="J91" i="10"/>
  <c r="K91" i="10" s="1"/>
  <c r="I91" i="10"/>
  <c r="H91" i="10"/>
  <c r="K90" i="10"/>
  <c r="J90" i="10"/>
  <c r="I90" i="10"/>
  <c r="H90" i="10"/>
  <c r="J89" i="10"/>
  <c r="H89" i="10"/>
  <c r="I89" i="10" s="1"/>
  <c r="K88" i="10"/>
  <c r="J88" i="10"/>
  <c r="I88" i="10"/>
  <c r="H88" i="10"/>
  <c r="J87" i="10"/>
  <c r="I87" i="10"/>
  <c r="H87" i="10"/>
  <c r="K86" i="10"/>
  <c r="J86" i="10"/>
  <c r="I86" i="10"/>
  <c r="H86" i="10"/>
  <c r="J85" i="10"/>
  <c r="H85" i="10"/>
  <c r="I85" i="10" s="1"/>
  <c r="K84" i="10"/>
  <c r="J84" i="10"/>
  <c r="I84" i="10"/>
  <c r="H84" i="10"/>
  <c r="J83" i="10"/>
  <c r="I83" i="10"/>
  <c r="H83" i="10"/>
  <c r="K82" i="10"/>
  <c r="J82" i="10"/>
  <c r="I82" i="10"/>
  <c r="H82" i="10"/>
  <c r="J81" i="10"/>
  <c r="K81" i="10" s="1"/>
  <c r="H81" i="10"/>
  <c r="I81" i="10" s="1"/>
  <c r="K80" i="10"/>
  <c r="J80" i="10"/>
  <c r="I80" i="10"/>
  <c r="H80" i="10"/>
  <c r="J79" i="10"/>
  <c r="K79" i="10" s="1"/>
  <c r="I79" i="10"/>
  <c r="H79" i="10"/>
  <c r="K78" i="10"/>
  <c r="J78" i="10"/>
  <c r="I78" i="10"/>
  <c r="H78" i="10"/>
  <c r="J77" i="10"/>
  <c r="K77" i="10" s="1"/>
  <c r="H77" i="10"/>
  <c r="I77" i="10" s="1"/>
  <c r="K76" i="10"/>
  <c r="J76" i="10"/>
  <c r="I76" i="10"/>
  <c r="H76" i="10"/>
  <c r="J75" i="10"/>
  <c r="K75" i="10" s="1"/>
  <c r="I75" i="10"/>
  <c r="H75" i="10"/>
  <c r="K74" i="10"/>
  <c r="J74" i="10"/>
  <c r="I74" i="10"/>
  <c r="H74" i="10"/>
  <c r="J73" i="10"/>
  <c r="K73" i="10" s="1"/>
  <c r="H73" i="10"/>
  <c r="I73" i="10" s="1"/>
  <c r="K72" i="10"/>
  <c r="J72" i="10"/>
  <c r="I72" i="10"/>
  <c r="H72" i="10"/>
  <c r="J71" i="10"/>
  <c r="I71" i="10"/>
  <c r="H71" i="10"/>
  <c r="K70" i="10"/>
  <c r="J70" i="10"/>
  <c r="I70" i="10"/>
  <c r="H70" i="10"/>
  <c r="J69" i="10"/>
  <c r="K69" i="10" s="1"/>
  <c r="H69" i="10"/>
  <c r="I69" i="10" s="1"/>
  <c r="K68" i="10"/>
  <c r="J68" i="10"/>
  <c r="I68" i="10"/>
  <c r="H68" i="10"/>
  <c r="J67" i="10"/>
  <c r="I67" i="10"/>
  <c r="H67" i="10"/>
  <c r="K66" i="10"/>
  <c r="J66" i="10"/>
  <c r="I66" i="10"/>
  <c r="H66" i="10"/>
  <c r="J65" i="10"/>
  <c r="H65" i="10"/>
  <c r="I65" i="10" s="1"/>
  <c r="K64" i="10"/>
  <c r="J64" i="10"/>
  <c r="I64" i="10"/>
  <c r="H64" i="10"/>
  <c r="J63" i="10"/>
  <c r="K63" i="10" s="1"/>
  <c r="I63" i="10"/>
  <c r="H63" i="10"/>
  <c r="K62" i="10"/>
  <c r="J62" i="10"/>
  <c r="I62" i="10"/>
  <c r="H62" i="10"/>
  <c r="J61" i="10"/>
  <c r="H61" i="10"/>
  <c r="I61" i="10" s="1"/>
  <c r="K60" i="10"/>
  <c r="J60" i="10"/>
  <c r="I60" i="10"/>
  <c r="H60" i="10"/>
  <c r="J59" i="10"/>
  <c r="K59" i="10" s="1"/>
  <c r="I59" i="10"/>
  <c r="H59" i="10"/>
  <c r="K58" i="10"/>
  <c r="J58" i="10"/>
  <c r="I58" i="10"/>
  <c r="H58" i="10"/>
  <c r="J57" i="10"/>
  <c r="H57" i="10"/>
  <c r="I57" i="10" s="1"/>
  <c r="K56" i="10"/>
  <c r="J56" i="10"/>
  <c r="I56" i="10"/>
  <c r="H56" i="10"/>
  <c r="J55" i="10"/>
  <c r="K55" i="10" s="1"/>
  <c r="I55" i="10"/>
  <c r="H55" i="10"/>
  <c r="K54" i="10"/>
  <c r="J54" i="10"/>
  <c r="I54" i="10"/>
  <c r="H54" i="10"/>
  <c r="J53" i="10"/>
  <c r="H53" i="10"/>
  <c r="I53" i="10" s="1"/>
  <c r="K52" i="10"/>
  <c r="J52" i="10"/>
  <c r="I52" i="10"/>
  <c r="H52" i="10"/>
  <c r="J51" i="10"/>
  <c r="H51" i="10"/>
  <c r="I51" i="10" s="1"/>
  <c r="K50" i="10"/>
  <c r="J50" i="10"/>
  <c r="I50" i="10"/>
  <c r="H50" i="10"/>
  <c r="J49" i="10"/>
  <c r="K49" i="10" s="1"/>
  <c r="H49" i="10"/>
  <c r="I49" i="10" s="1"/>
  <c r="K48" i="10"/>
  <c r="J48" i="10"/>
  <c r="I48" i="10"/>
  <c r="H48" i="10"/>
  <c r="J47" i="10"/>
  <c r="K47" i="10" s="1"/>
  <c r="I47" i="10"/>
  <c r="H47" i="10"/>
  <c r="K46" i="10"/>
  <c r="J46" i="10"/>
  <c r="I46" i="10"/>
  <c r="H46" i="10"/>
  <c r="J45" i="10"/>
  <c r="H45" i="10"/>
  <c r="I45" i="10" s="1"/>
  <c r="K44" i="10"/>
  <c r="J44" i="10"/>
  <c r="I44" i="10"/>
  <c r="H44" i="10"/>
  <c r="J43" i="10"/>
  <c r="K43" i="10" s="1"/>
  <c r="I43" i="10"/>
  <c r="H43" i="10"/>
  <c r="K42" i="10"/>
  <c r="J42" i="10"/>
  <c r="I42" i="10"/>
  <c r="H42" i="10"/>
  <c r="J41" i="10"/>
  <c r="H41" i="10"/>
  <c r="I41" i="10" s="1"/>
  <c r="K40" i="10"/>
  <c r="J40" i="10"/>
  <c r="I40" i="10"/>
  <c r="H40" i="10"/>
  <c r="J39" i="10"/>
  <c r="H39" i="10"/>
  <c r="I39" i="10" s="1"/>
  <c r="K38" i="10"/>
  <c r="J38" i="10"/>
  <c r="I38" i="10"/>
  <c r="H38" i="10"/>
  <c r="J37" i="10"/>
  <c r="K37" i="10" s="1"/>
  <c r="I37" i="10"/>
  <c r="H37" i="10"/>
  <c r="K36" i="10"/>
  <c r="J36" i="10"/>
  <c r="I36" i="10"/>
  <c r="H36" i="10"/>
  <c r="J35" i="10"/>
  <c r="I35" i="10"/>
  <c r="H35" i="10"/>
  <c r="K34" i="10"/>
  <c r="J34" i="10"/>
  <c r="I34" i="10"/>
  <c r="H34" i="10"/>
  <c r="J33" i="10"/>
  <c r="K33" i="10" s="1"/>
  <c r="H33" i="10"/>
  <c r="I33" i="10" s="1"/>
  <c r="K32" i="10"/>
  <c r="J32" i="10"/>
  <c r="I32" i="10"/>
  <c r="H32" i="10"/>
  <c r="J31" i="10"/>
  <c r="K31" i="10" s="1"/>
  <c r="I31" i="10"/>
  <c r="H31" i="10"/>
  <c r="K30" i="10"/>
  <c r="J30" i="10"/>
  <c r="I30" i="10"/>
  <c r="H30" i="10"/>
  <c r="J29" i="10"/>
  <c r="K29" i="10" s="1"/>
  <c r="H29" i="10"/>
  <c r="I29" i="10" s="1"/>
  <c r="K28" i="10"/>
  <c r="J28" i="10"/>
  <c r="I28" i="10"/>
  <c r="H28" i="10"/>
  <c r="J27" i="10"/>
  <c r="K27" i="10" s="1"/>
  <c r="I27" i="10"/>
  <c r="H27" i="10"/>
  <c r="K26" i="10"/>
  <c r="J26" i="10"/>
  <c r="I26" i="10"/>
  <c r="H26" i="10"/>
  <c r="J25" i="10"/>
  <c r="K25" i="10" s="1"/>
  <c r="I25" i="10"/>
  <c r="H25" i="10"/>
  <c r="K24" i="10"/>
  <c r="J24" i="10"/>
  <c r="I24" i="10"/>
  <c r="H24" i="10"/>
  <c r="J23" i="10"/>
  <c r="I23" i="10"/>
  <c r="H23" i="10"/>
  <c r="K22" i="10"/>
  <c r="J22" i="10"/>
  <c r="I22" i="10"/>
  <c r="H22" i="10"/>
  <c r="J21" i="10"/>
  <c r="K21" i="10" s="1"/>
  <c r="H21" i="10"/>
  <c r="I21" i="10" s="1"/>
  <c r="K20" i="10"/>
  <c r="J20" i="10"/>
  <c r="I20" i="10"/>
  <c r="H20" i="10"/>
  <c r="J19" i="10"/>
  <c r="I19" i="10"/>
  <c r="H19" i="10"/>
  <c r="K18" i="10"/>
  <c r="J18" i="10"/>
  <c r="I18" i="10"/>
  <c r="H18" i="10"/>
  <c r="J17" i="10"/>
  <c r="K17" i="10" s="1"/>
  <c r="H17" i="10"/>
  <c r="I17" i="10" s="1"/>
  <c r="K16" i="10"/>
  <c r="J16" i="10"/>
  <c r="I16" i="10"/>
  <c r="H16" i="10"/>
  <c r="J15" i="10"/>
  <c r="K15" i="10" s="1"/>
  <c r="I15" i="10"/>
  <c r="H15" i="10"/>
  <c r="K14" i="10"/>
  <c r="J14" i="10"/>
  <c r="I14" i="10"/>
  <c r="H14" i="10"/>
  <c r="J13" i="10"/>
  <c r="K13" i="10" s="1"/>
  <c r="H13" i="10"/>
  <c r="I13" i="10" s="1"/>
  <c r="K12" i="10"/>
  <c r="J12" i="10"/>
  <c r="I12" i="10"/>
  <c r="H12" i="10"/>
  <c r="J11" i="10"/>
  <c r="K11" i="10" s="1"/>
  <c r="I11" i="10"/>
  <c r="H11" i="10"/>
  <c r="K10" i="10"/>
  <c r="J10" i="10"/>
  <c r="I10" i="10"/>
  <c r="H10" i="10"/>
  <c r="J9" i="10"/>
  <c r="H9" i="10"/>
  <c r="I9" i="10" s="1"/>
  <c r="K8" i="10"/>
  <c r="J8" i="10"/>
  <c r="I8" i="10"/>
  <c r="H8" i="10"/>
  <c r="H7" i="10"/>
  <c r="J215" i="9"/>
  <c r="K215" i="9" s="1"/>
  <c r="I215" i="9"/>
  <c r="H215" i="9"/>
  <c r="K214" i="9"/>
  <c r="J214" i="9"/>
  <c r="I214" i="9"/>
  <c r="H214" i="9"/>
  <c r="J213" i="9"/>
  <c r="K213" i="9" s="1"/>
  <c r="I213" i="9"/>
  <c r="H213" i="9"/>
  <c r="J212" i="9"/>
  <c r="K212" i="9" s="1"/>
  <c r="I212" i="9"/>
  <c r="H212" i="9"/>
  <c r="J211" i="9"/>
  <c r="K211" i="9" s="1"/>
  <c r="I211" i="9"/>
  <c r="H211" i="9"/>
  <c r="J210" i="9"/>
  <c r="H210" i="9"/>
  <c r="J209" i="9"/>
  <c r="K209" i="9" s="1"/>
  <c r="I209" i="9"/>
  <c r="H209" i="9"/>
  <c r="J208" i="9"/>
  <c r="K208" i="9" s="1"/>
  <c r="H208" i="9"/>
  <c r="I208" i="9" s="1"/>
  <c r="J207" i="9"/>
  <c r="K207" i="9" s="1"/>
  <c r="I207" i="9"/>
  <c r="H207" i="9"/>
  <c r="K206" i="9"/>
  <c r="J206" i="9"/>
  <c r="I206" i="9"/>
  <c r="H206" i="9"/>
  <c r="J205" i="9"/>
  <c r="K205" i="9" s="1"/>
  <c r="I205" i="9"/>
  <c r="H205" i="9"/>
  <c r="K204" i="9"/>
  <c r="J204" i="9"/>
  <c r="H204" i="9"/>
  <c r="I204" i="9" s="1"/>
  <c r="J203" i="9"/>
  <c r="K203" i="9" s="1"/>
  <c r="I203" i="9"/>
  <c r="H203" i="9"/>
  <c r="K202" i="9"/>
  <c r="J202" i="9"/>
  <c r="I202" i="9"/>
  <c r="H202" i="9"/>
  <c r="J201" i="9"/>
  <c r="K201" i="9" s="1"/>
  <c r="I201" i="9"/>
  <c r="H201" i="9"/>
  <c r="J200" i="9"/>
  <c r="K200" i="9" s="1"/>
  <c r="H200" i="9"/>
  <c r="I200" i="9" s="1"/>
  <c r="J199" i="9"/>
  <c r="K199" i="9" s="1"/>
  <c r="I199" i="9"/>
  <c r="H199" i="9"/>
  <c r="K198" i="9"/>
  <c r="J198" i="9"/>
  <c r="I198" i="9"/>
  <c r="H198" i="9"/>
  <c r="J197" i="9"/>
  <c r="K197" i="9" s="1"/>
  <c r="I197" i="9"/>
  <c r="H197" i="9"/>
  <c r="J196" i="9"/>
  <c r="I196" i="9"/>
  <c r="H196" i="9"/>
  <c r="J195" i="9"/>
  <c r="K195" i="9" s="1"/>
  <c r="I195" i="9"/>
  <c r="H195" i="9"/>
  <c r="J194" i="9"/>
  <c r="H194" i="9"/>
  <c r="J193" i="9"/>
  <c r="K193" i="9" s="1"/>
  <c r="I193" i="9"/>
  <c r="H193" i="9"/>
  <c r="J192" i="9"/>
  <c r="K192" i="9" s="1"/>
  <c r="H192" i="9"/>
  <c r="I192" i="9" s="1"/>
  <c r="J191" i="9"/>
  <c r="K191" i="9" s="1"/>
  <c r="I191" i="9"/>
  <c r="H191" i="9"/>
  <c r="K190" i="9"/>
  <c r="J190" i="9"/>
  <c r="I190" i="9"/>
  <c r="H190" i="9"/>
  <c r="J189" i="9"/>
  <c r="K189" i="9" s="1"/>
  <c r="I189" i="9"/>
  <c r="H189" i="9"/>
  <c r="J188" i="9"/>
  <c r="K188" i="9" s="1"/>
  <c r="H188" i="9"/>
  <c r="I188" i="9" s="1"/>
  <c r="J187" i="9"/>
  <c r="K187" i="9" s="1"/>
  <c r="I187" i="9"/>
  <c r="H187" i="9"/>
  <c r="K186" i="9"/>
  <c r="J186" i="9"/>
  <c r="I186" i="9"/>
  <c r="H186" i="9"/>
  <c r="J185" i="9"/>
  <c r="K185" i="9" s="1"/>
  <c r="I185" i="9"/>
  <c r="H185" i="9"/>
  <c r="J184" i="9"/>
  <c r="H184" i="9"/>
  <c r="I184" i="9" s="1"/>
  <c r="J183" i="9"/>
  <c r="K183" i="9" s="1"/>
  <c r="I183" i="9"/>
  <c r="H183" i="9"/>
  <c r="K182" i="9"/>
  <c r="J182" i="9"/>
  <c r="I182" i="9"/>
  <c r="H182" i="9"/>
  <c r="J181" i="9"/>
  <c r="K181" i="9" s="1"/>
  <c r="I181" i="9"/>
  <c r="H181" i="9"/>
  <c r="J180" i="9"/>
  <c r="K180" i="9" s="1"/>
  <c r="I180" i="9"/>
  <c r="H180" i="9"/>
  <c r="J179" i="9"/>
  <c r="K179" i="9" s="1"/>
  <c r="I179" i="9"/>
  <c r="H179" i="9"/>
  <c r="J178" i="9"/>
  <c r="H178" i="9"/>
  <c r="K178" i="9" s="1"/>
  <c r="J177" i="9"/>
  <c r="K177" i="9" s="1"/>
  <c r="I177" i="9"/>
  <c r="H177" i="9"/>
  <c r="J176" i="9"/>
  <c r="K176" i="9" s="1"/>
  <c r="H176" i="9"/>
  <c r="I176" i="9" s="1"/>
  <c r="J175" i="9"/>
  <c r="K175" i="9" s="1"/>
  <c r="I175" i="9"/>
  <c r="H175" i="9"/>
  <c r="K174" i="9"/>
  <c r="J174" i="9"/>
  <c r="I174" i="9"/>
  <c r="H174" i="9"/>
  <c r="J173" i="9"/>
  <c r="K173" i="9" s="1"/>
  <c r="I173" i="9"/>
  <c r="H173" i="9"/>
  <c r="J172" i="9"/>
  <c r="H172" i="9"/>
  <c r="I172" i="9" s="1"/>
  <c r="J171" i="9"/>
  <c r="K171" i="9" s="1"/>
  <c r="I171" i="9"/>
  <c r="H171" i="9"/>
  <c r="J170" i="9"/>
  <c r="K170" i="9" s="1"/>
  <c r="I170" i="9"/>
  <c r="H170" i="9"/>
  <c r="J169" i="9"/>
  <c r="K169" i="9" s="1"/>
  <c r="I169" i="9"/>
  <c r="H169" i="9"/>
  <c r="J168" i="9"/>
  <c r="I168" i="9"/>
  <c r="H168" i="9"/>
  <c r="K168" i="9" s="1"/>
  <c r="J167" i="9"/>
  <c r="K167" i="9" s="1"/>
  <c r="I167" i="9"/>
  <c r="H167" i="9"/>
  <c r="K166" i="9"/>
  <c r="J166" i="9"/>
  <c r="H166" i="9"/>
  <c r="I166" i="9" s="1"/>
  <c r="J165" i="9"/>
  <c r="K165" i="9" s="1"/>
  <c r="I165" i="9"/>
  <c r="H165" i="9"/>
  <c r="J164" i="9"/>
  <c r="I164" i="9"/>
  <c r="H164" i="9"/>
  <c r="J163" i="9"/>
  <c r="K163" i="9" s="1"/>
  <c r="I163" i="9"/>
  <c r="H163" i="9"/>
  <c r="J162" i="9"/>
  <c r="H162" i="9"/>
  <c r="J161" i="9"/>
  <c r="K161" i="9" s="1"/>
  <c r="I161" i="9"/>
  <c r="H161" i="9"/>
  <c r="J160" i="9"/>
  <c r="K160" i="9" s="1"/>
  <c r="H160" i="9"/>
  <c r="I160" i="9" s="1"/>
  <c r="J159" i="9"/>
  <c r="K159" i="9" s="1"/>
  <c r="I159" i="9"/>
  <c r="H159" i="9"/>
  <c r="K158" i="9"/>
  <c r="J158" i="9"/>
  <c r="I158" i="9"/>
  <c r="H158" i="9"/>
  <c r="J157" i="9"/>
  <c r="K157" i="9" s="1"/>
  <c r="I157" i="9"/>
  <c r="H157" i="9"/>
  <c r="K156" i="9"/>
  <c r="J156" i="9"/>
  <c r="H156" i="9"/>
  <c r="I156" i="9" s="1"/>
  <c r="J155" i="9"/>
  <c r="K155" i="9" s="1"/>
  <c r="I155" i="9"/>
  <c r="H155" i="9"/>
  <c r="K154" i="9"/>
  <c r="J154" i="9"/>
  <c r="I154" i="9"/>
  <c r="H154" i="9"/>
  <c r="J153" i="9"/>
  <c r="K153" i="9" s="1"/>
  <c r="I153" i="9"/>
  <c r="H153" i="9"/>
  <c r="J152" i="9"/>
  <c r="K152" i="9" s="1"/>
  <c r="H152" i="9"/>
  <c r="I152" i="9" s="1"/>
  <c r="J151" i="9"/>
  <c r="K151" i="9" s="1"/>
  <c r="I151" i="9"/>
  <c r="H151" i="9"/>
  <c r="K150" i="9"/>
  <c r="J150" i="9"/>
  <c r="I150" i="9"/>
  <c r="H150" i="9"/>
  <c r="J149" i="9"/>
  <c r="K149" i="9" s="1"/>
  <c r="I149" i="9"/>
  <c r="H149" i="9"/>
  <c r="J148" i="9"/>
  <c r="K148" i="9" s="1"/>
  <c r="I148" i="9"/>
  <c r="H148" i="9"/>
  <c r="J147" i="9"/>
  <c r="K147" i="9" s="1"/>
  <c r="I147" i="9"/>
  <c r="H147" i="9"/>
  <c r="J146" i="9"/>
  <c r="H146" i="9"/>
  <c r="J145" i="9"/>
  <c r="K145" i="9" s="1"/>
  <c r="I145" i="9"/>
  <c r="H145" i="9"/>
  <c r="J144" i="9"/>
  <c r="K144" i="9" s="1"/>
  <c r="H144" i="9"/>
  <c r="I144" i="9" s="1"/>
  <c r="J143" i="9"/>
  <c r="K143" i="9" s="1"/>
  <c r="I143" i="9"/>
  <c r="H143" i="9"/>
  <c r="K142" i="9"/>
  <c r="J142" i="9"/>
  <c r="I142" i="9"/>
  <c r="H142" i="9"/>
  <c r="J141" i="9"/>
  <c r="K141" i="9" s="1"/>
  <c r="I141" i="9"/>
  <c r="H141" i="9"/>
  <c r="K140" i="9"/>
  <c r="J140" i="9"/>
  <c r="H140" i="9"/>
  <c r="I140" i="9" s="1"/>
  <c r="J139" i="9"/>
  <c r="K139" i="9" s="1"/>
  <c r="I139" i="9"/>
  <c r="H139" i="9"/>
  <c r="K138" i="9"/>
  <c r="J138" i="9"/>
  <c r="I138" i="9"/>
  <c r="H138" i="9"/>
  <c r="J137" i="9"/>
  <c r="K137" i="9" s="1"/>
  <c r="I137" i="9"/>
  <c r="H137" i="9"/>
  <c r="J136" i="9"/>
  <c r="K136" i="9" s="1"/>
  <c r="H136" i="9"/>
  <c r="I136" i="9" s="1"/>
  <c r="J135" i="9"/>
  <c r="K135" i="9" s="1"/>
  <c r="I135" i="9"/>
  <c r="H135" i="9"/>
  <c r="K134" i="9"/>
  <c r="J134" i="9"/>
  <c r="I134" i="9"/>
  <c r="H134" i="9"/>
  <c r="J133" i="9"/>
  <c r="K133" i="9" s="1"/>
  <c r="I133" i="9"/>
  <c r="H133" i="9"/>
  <c r="J132" i="9"/>
  <c r="I132" i="9"/>
  <c r="H132" i="9"/>
  <c r="J131" i="9"/>
  <c r="K131" i="9" s="1"/>
  <c r="I131" i="9"/>
  <c r="H131" i="9"/>
  <c r="J130" i="9"/>
  <c r="H130" i="9"/>
  <c r="J129" i="9"/>
  <c r="K129" i="9" s="1"/>
  <c r="I129" i="9"/>
  <c r="H129" i="9"/>
  <c r="J128" i="9"/>
  <c r="K128" i="9" s="1"/>
  <c r="H128" i="9"/>
  <c r="I128" i="9" s="1"/>
  <c r="J127" i="9"/>
  <c r="K127" i="9" s="1"/>
  <c r="I127" i="9"/>
  <c r="H127" i="9"/>
  <c r="K126" i="9"/>
  <c r="J126" i="9"/>
  <c r="I126" i="9"/>
  <c r="H126" i="9"/>
  <c r="J125" i="9"/>
  <c r="K125" i="9" s="1"/>
  <c r="I125" i="9"/>
  <c r="H125" i="9"/>
  <c r="J124" i="9"/>
  <c r="H124" i="9"/>
  <c r="I124" i="9" s="1"/>
  <c r="J123" i="9"/>
  <c r="K123" i="9" s="1"/>
  <c r="I123" i="9"/>
  <c r="H123" i="9"/>
  <c r="K122" i="9"/>
  <c r="J122" i="9"/>
  <c r="I122" i="9"/>
  <c r="H122" i="9"/>
  <c r="J121" i="9"/>
  <c r="K121" i="9" s="1"/>
  <c r="I121" i="9"/>
  <c r="H121" i="9"/>
  <c r="J120" i="9"/>
  <c r="H120" i="9"/>
  <c r="I120" i="9" s="1"/>
  <c r="J119" i="9"/>
  <c r="K119" i="9" s="1"/>
  <c r="I119" i="9"/>
  <c r="H119" i="9"/>
  <c r="K118" i="9"/>
  <c r="J118" i="9"/>
  <c r="I118" i="9"/>
  <c r="H118" i="9"/>
  <c r="J117" i="9"/>
  <c r="K117" i="9" s="1"/>
  <c r="I117" i="9"/>
  <c r="H117" i="9"/>
  <c r="J116" i="9"/>
  <c r="K116" i="9" s="1"/>
  <c r="I116" i="9"/>
  <c r="H116" i="9"/>
  <c r="J115" i="9"/>
  <c r="K115" i="9" s="1"/>
  <c r="I115" i="9"/>
  <c r="H115" i="9"/>
  <c r="J114" i="9"/>
  <c r="H114" i="9"/>
  <c r="J113" i="9"/>
  <c r="K113" i="9" s="1"/>
  <c r="I113" i="9"/>
  <c r="H113" i="9"/>
  <c r="J112" i="9"/>
  <c r="K112" i="9" s="1"/>
  <c r="H112" i="9"/>
  <c r="I112" i="9" s="1"/>
  <c r="J111" i="9"/>
  <c r="K111" i="9" s="1"/>
  <c r="I111" i="9"/>
  <c r="H111" i="9"/>
  <c r="K110" i="9"/>
  <c r="J110" i="9"/>
  <c r="I110" i="9"/>
  <c r="H110" i="9"/>
  <c r="J109" i="9"/>
  <c r="K109" i="9" s="1"/>
  <c r="I109" i="9"/>
  <c r="H109" i="9"/>
  <c r="K108" i="9"/>
  <c r="J108" i="9"/>
  <c r="H108" i="9"/>
  <c r="I108" i="9" s="1"/>
  <c r="J107" i="9"/>
  <c r="K107" i="9" s="1"/>
  <c r="I107" i="9"/>
  <c r="H107" i="9"/>
  <c r="J106" i="9"/>
  <c r="K106" i="9" s="1"/>
  <c r="I106" i="9"/>
  <c r="H106" i="9"/>
  <c r="J105" i="9"/>
  <c r="K105" i="9" s="1"/>
  <c r="I105" i="9"/>
  <c r="H105" i="9"/>
  <c r="J104" i="9"/>
  <c r="I104" i="9"/>
  <c r="H104" i="9"/>
  <c r="K104" i="9" s="1"/>
  <c r="J103" i="9"/>
  <c r="K103" i="9" s="1"/>
  <c r="I103" i="9"/>
  <c r="H103" i="9"/>
  <c r="J102" i="9"/>
  <c r="H102" i="9"/>
  <c r="I102" i="9" s="1"/>
  <c r="J101" i="9"/>
  <c r="K101" i="9" s="1"/>
  <c r="I101" i="9"/>
  <c r="H101" i="9"/>
  <c r="J100" i="9"/>
  <c r="I100" i="9"/>
  <c r="H100" i="9"/>
  <c r="J99" i="9"/>
  <c r="K99" i="9" s="1"/>
  <c r="I99" i="9"/>
  <c r="H99" i="9"/>
  <c r="J98" i="9"/>
  <c r="H98" i="9"/>
  <c r="J97" i="9"/>
  <c r="K97" i="9" s="1"/>
  <c r="I97" i="9"/>
  <c r="H97" i="9"/>
  <c r="J96" i="9"/>
  <c r="K96" i="9" s="1"/>
  <c r="H96" i="9"/>
  <c r="I96" i="9" s="1"/>
  <c r="J95" i="9"/>
  <c r="K95" i="9" s="1"/>
  <c r="I95" i="9"/>
  <c r="H95" i="9"/>
  <c r="K94" i="9"/>
  <c r="J94" i="9"/>
  <c r="I94" i="9"/>
  <c r="H94" i="9"/>
  <c r="J93" i="9"/>
  <c r="K93" i="9" s="1"/>
  <c r="I93" i="9"/>
  <c r="H93" i="9"/>
  <c r="J92" i="9"/>
  <c r="H92" i="9"/>
  <c r="J91" i="9"/>
  <c r="K91" i="9" s="1"/>
  <c r="I91" i="9"/>
  <c r="H91" i="9"/>
  <c r="K90" i="9"/>
  <c r="J90" i="9"/>
  <c r="I90" i="9"/>
  <c r="H90" i="9"/>
  <c r="J89" i="9"/>
  <c r="K89" i="9" s="1"/>
  <c r="I89" i="9"/>
  <c r="H89" i="9"/>
  <c r="J88" i="9"/>
  <c r="H88" i="9"/>
  <c r="I88" i="9" s="1"/>
  <c r="J87" i="9"/>
  <c r="K87" i="9" s="1"/>
  <c r="I87" i="9"/>
  <c r="H87" i="9"/>
  <c r="K86" i="9"/>
  <c r="J86" i="9"/>
  <c r="I86" i="9"/>
  <c r="H86" i="9"/>
  <c r="J85" i="9"/>
  <c r="K85" i="9" s="1"/>
  <c r="I85" i="9"/>
  <c r="H85" i="9"/>
  <c r="J84" i="9"/>
  <c r="K84" i="9" s="1"/>
  <c r="I84" i="9"/>
  <c r="H84" i="9"/>
  <c r="J83" i="9"/>
  <c r="K83" i="9" s="1"/>
  <c r="I83" i="9"/>
  <c r="H83" i="9"/>
  <c r="J82" i="9"/>
  <c r="H82" i="9"/>
  <c r="J81" i="9"/>
  <c r="K81" i="9" s="1"/>
  <c r="I81" i="9"/>
  <c r="H81" i="9"/>
  <c r="J80" i="9"/>
  <c r="K80" i="9" s="1"/>
  <c r="H80" i="9"/>
  <c r="I80" i="9" s="1"/>
  <c r="J79" i="9"/>
  <c r="K79" i="9" s="1"/>
  <c r="I79" i="9"/>
  <c r="H79" i="9"/>
  <c r="K78" i="9"/>
  <c r="J78" i="9"/>
  <c r="I78" i="9"/>
  <c r="H78" i="9"/>
  <c r="J77" i="9"/>
  <c r="K77" i="9" s="1"/>
  <c r="I77" i="9"/>
  <c r="H77" i="9"/>
  <c r="K76" i="9"/>
  <c r="J76" i="9"/>
  <c r="H76" i="9"/>
  <c r="I76" i="9" s="1"/>
  <c r="J75" i="9"/>
  <c r="K75" i="9" s="1"/>
  <c r="I75" i="9"/>
  <c r="H75" i="9"/>
  <c r="K74" i="9"/>
  <c r="J74" i="9"/>
  <c r="I74" i="9"/>
  <c r="H74" i="9"/>
  <c r="J73" i="9"/>
  <c r="K73" i="9" s="1"/>
  <c r="I73" i="9"/>
  <c r="H73" i="9"/>
  <c r="J72" i="9"/>
  <c r="H72" i="9"/>
  <c r="I72" i="9" s="1"/>
  <c r="J71" i="9"/>
  <c r="K71" i="9" s="1"/>
  <c r="I71" i="9"/>
  <c r="H71" i="9"/>
  <c r="K70" i="9"/>
  <c r="J70" i="9"/>
  <c r="I70" i="9"/>
  <c r="H70" i="9"/>
  <c r="J69" i="9"/>
  <c r="K69" i="9" s="1"/>
  <c r="I69" i="9"/>
  <c r="H69" i="9"/>
  <c r="J68" i="9"/>
  <c r="I68" i="9"/>
  <c r="H68" i="9"/>
  <c r="J67" i="9"/>
  <c r="K67" i="9" s="1"/>
  <c r="I67" i="9"/>
  <c r="H67" i="9"/>
  <c r="J66" i="9"/>
  <c r="H66" i="9"/>
  <c r="J65" i="9"/>
  <c r="K65" i="9" s="1"/>
  <c r="I65" i="9"/>
  <c r="H65" i="9"/>
  <c r="J64" i="9"/>
  <c r="K64" i="9" s="1"/>
  <c r="H64" i="9"/>
  <c r="I64" i="9" s="1"/>
  <c r="J63" i="9"/>
  <c r="K63" i="9" s="1"/>
  <c r="I63" i="9"/>
  <c r="H63" i="9"/>
  <c r="K62" i="9"/>
  <c r="J62" i="9"/>
  <c r="I62" i="9"/>
  <c r="H62" i="9"/>
  <c r="J61" i="9"/>
  <c r="K61" i="9" s="1"/>
  <c r="I61" i="9"/>
  <c r="H61" i="9"/>
  <c r="J60" i="9"/>
  <c r="H60" i="9"/>
  <c r="I60" i="9" s="1"/>
  <c r="J59" i="9"/>
  <c r="K59" i="9" s="1"/>
  <c r="I59" i="9"/>
  <c r="H59" i="9"/>
  <c r="K58" i="9"/>
  <c r="J58" i="9"/>
  <c r="I58" i="9"/>
  <c r="H58" i="9"/>
  <c r="J57" i="9"/>
  <c r="K57" i="9" s="1"/>
  <c r="I57" i="9"/>
  <c r="H57" i="9"/>
  <c r="J56" i="9"/>
  <c r="H56" i="9"/>
  <c r="I56" i="9" s="1"/>
  <c r="J55" i="9"/>
  <c r="K55" i="9" s="1"/>
  <c r="I55" i="9"/>
  <c r="H55" i="9"/>
  <c r="K54" i="9"/>
  <c r="J54" i="9"/>
  <c r="I54" i="9"/>
  <c r="H54" i="9"/>
  <c r="J53" i="9"/>
  <c r="K53" i="9" s="1"/>
  <c r="I53" i="9"/>
  <c r="H53" i="9"/>
  <c r="J52" i="9"/>
  <c r="K52" i="9" s="1"/>
  <c r="I52" i="9"/>
  <c r="H52" i="9"/>
  <c r="J51" i="9"/>
  <c r="K51" i="9" s="1"/>
  <c r="I51" i="9"/>
  <c r="H51" i="9"/>
  <c r="J50" i="9"/>
  <c r="I50" i="9"/>
  <c r="H50" i="9"/>
  <c r="K50" i="9" s="1"/>
  <c r="J49" i="9"/>
  <c r="K49" i="9" s="1"/>
  <c r="I49" i="9"/>
  <c r="H49" i="9"/>
  <c r="J48" i="9"/>
  <c r="K48" i="9" s="1"/>
  <c r="H48" i="9"/>
  <c r="I48" i="9" s="1"/>
  <c r="J47" i="9"/>
  <c r="K47" i="9" s="1"/>
  <c r="I47" i="9"/>
  <c r="H47" i="9"/>
  <c r="K46" i="9"/>
  <c r="J46" i="9"/>
  <c r="I46" i="9"/>
  <c r="H46" i="9"/>
  <c r="J45" i="9"/>
  <c r="K45" i="9" s="1"/>
  <c r="I45" i="9"/>
  <c r="H45" i="9"/>
  <c r="J44" i="9"/>
  <c r="H44" i="9"/>
  <c r="J43" i="9"/>
  <c r="K43" i="9" s="1"/>
  <c r="I43" i="9"/>
  <c r="H43" i="9"/>
  <c r="J42" i="9"/>
  <c r="K42" i="9" s="1"/>
  <c r="I42" i="9"/>
  <c r="H42" i="9"/>
  <c r="J41" i="9"/>
  <c r="K41" i="9" s="1"/>
  <c r="I41" i="9"/>
  <c r="H41" i="9"/>
  <c r="J40" i="9"/>
  <c r="H40" i="9"/>
  <c r="J39" i="9"/>
  <c r="K39" i="9" s="1"/>
  <c r="I39" i="9"/>
  <c r="H39" i="9"/>
  <c r="J38" i="9"/>
  <c r="H38" i="9"/>
  <c r="J37" i="9"/>
  <c r="K37" i="9" s="1"/>
  <c r="I37" i="9"/>
  <c r="H37" i="9"/>
  <c r="J36" i="9"/>
  <c r="I36" i="9"/>
  <c r="H36" i="9"/>
  <c r="J35" i="9"/>
  <c r="K35" i="9" s="1"/>
  <c r="I35" i="9"/>
  <c r="H35" i="9"/>
  <c r="J34" i="9"/>
  <c r="H34" i="9"/>
  <c r="J33" i="9"/>
  <c r="K33" i="9" s="1"/>
  <c r="I33" i="9"/>
  <c r="H33" i="9"/>
  <c r="J32" i="9"/>
  <c r="K32" i="9" s="1"/>
  <c r="H32" i="9"/>
  <c r="I32" i="9" s="1"/>
  <c r="J31" i="9"/>
  <c r="K31" i="9" s="1"/>
  <c r="I31" i="9"/>
  <c r="H31" i="9"/>
  <c r="K30" i="9"/>
  <c r="J30" i="9"/>
  <c r="I30" i="9"/>
  <c r="H30" i="9"/>
  <c r="J29" i="9"/>
  <c r="K29" i="9" s="1"/>
  <c r="I29" i="9"/>
  <c r="H29" i="9"/>
  <c r="J28" i="9"/>
  <c r="H28" i="9"/>
  <c r="J27" i="9"/>
  <c r="K27" i="9" s="1"/>
  <c r="I27" i="9"/>
  <c r="H27" i="9"/>
  <c r="K26" i="9"/>
  <c r="J26" i="9"/>
  <c r="I26" i="9"/>
  <c r="H26" i="9"/>
  <c r="J25" i="9"/>
  <c r="K25" i="9" s="1"/>
  <c r="I25" i="9"/>
  <c r="H25" i="9"/>
  <c r="J24" i="9"/>
  <c r="K24" i="9" s="1"/>
  <c r="H24" i="9"/>
  <c r="I24" i="9" s="1"/>
  <c r="J23" i="9"/>
  <c r="K23" i="9" s="1"/>
  <c r="I23" i="9"/>
  <c r="H23" i="9"/>
  <c r="K22" i="9"/>
  <c r="J22" i="9"/>
  <c r="I22" i="9"/>
  <c r="H22" i="9"/>
  <c r="J21" i="9"/>
  <c r="K21" i="9" s="1"/>
  <c r="I21" i="9"/>
  <c r="H21" i="9"/>
  <c r="J20" i="9"/>
  <c r="K20" i="9" s="1"/>
  <c r="I20" i="9"/>
  <c r="H20" i="9"/>
  <c r="J19" i="9"/>
  <c r="K19" i="9" s="1"/>
  <c r="I19" i="9"/>
  <c r="H19" i="9"/>
  <c r="J18" i="9"/>
  <c r="H18" i="9"/>
  <c r="J17" i="9"/>
  <c r="K17" i="9" s="1"/>
  <c r="I17" i="9"/>
  <c r="H17" i="9"/>
  <c r="J16" i="9"/>
  <c r="K16" i="9" s="1"/>
  <c r="H16" i="9"/>
  <c r="I16" i="9" s="1"/>
  <c r="J15" i="9"/>
  <c r="K15" i="9" s="1"/>
  <c r="I15" i="9"/>
  <c r="H15" i="9"/>
  <c r="K14" i="9"/>
  <c r="J14" i="9"/>
  <c r="I14" i="9"/>
  <c r="H14" i="9"/>
  <c r="J13" i="9"/>
  <c r="K13" i="9" s="1"/>
  <c r="I13" i="9"/>
  <c r="H13" i="9"/>
  <c r="K12" i="9"/>
  <c r="J12" i="9"/>
  <c r="H12" i="9"/>
  <c r="I12" i="9" s="1"/>
  <c r="J11" i="9"/>
  <c r="K11" i="9" s="1"/>
  <c r="I11" i="9"/>
  <c r="H11" i="9"/>
  <c r="K10" i="9"/>
  <c r="J10" i="9"/>
  <c r="I10" i="9"/>
  <c r="H10" i="9"/>
  <c r="J9" i="9"/>
  <c r="K9" i="9" s="1"/>
  <c r="I9" i="9"/>
  <c r="H9" i="9"/>
  <c r="J8" i="9"/>
  <c r="K8" i="9" s="1"/>
  <c r="H8" i="9"/>
  <c r="I8" i="9" s="1"/>
  <c r="I7" i="9"/>
  <c r="H7" i="9"/>
  <c r="K7" i="9" s="1"/>
  <c r="J215" i="8"/>
  <c r="K215" i="8" s="1"/>
  <c r="I215" i="8"/>
  <c r="H215" i="8"/>
  <c r="K214" i="8"/>
  <c r="J214" i="8"/>
  <c r="H214" i="8"/>
  <c r="I214" i="8" s="1"/>
  <c r="J213" i="8"/>
  <c r="K213" i="8" s="1"/>
  <c r="I213" i="8"/>
  <c r="H213" i="8"/>
  <c r="K212" i="8"/>
  <c r="J212" i="8"/>
  <c r="H212" i="8"/>
  <c r="I212" i="8" s="1"/>
  <c r="K211" i="8"/>
  <c r="J211" i="8"/>
  <c r="I211" i="8"/>
  <c r="H211" i="8"/>
  <c r="K210" i="8"/>
  <c r="J210" i="8"/>
  <c r="H210" i="8"/>
  <c r="I210" i="8" s="1"/>
  <c r="J209" i="8"/>
  <c r="K209" i="8" s="1"/>
  <c r="I209" i="8"/>
  <c r="H209" i="8"/>
  <c r="J208" i="8"/>
  <c r="H208" i="8"/>
  <c r="K207" i="8"/>
  <c r="J207" i="8"/>
  <c r="I207" i="8"/>
  <c r="H207" i="8"/>
  <c r="J206" i="8"/>
  <c r="H206" i="8"/>
  <c r="I206" i="8" s="1"/>
  <c r="J205" i="8"/>
  <c r="K205" i="8" s="1"/>
  <c r="I205" i="8"/>
  <c r="H205" i="8"/>
  <c r="J204" i="8"/>
  <c r="H204" i="8"/>
  <c r="K203" i="8"/>
  <c r="J203" i="8"/>
  <c r="I203" i="8"/>
  <c r="H203" i="8"/>
  <c r="J202" i="8"/>
  <c r="H202" i="8"/>
  <c r="J201" i="8"/>
  <c r="K201" i="8" s="1"/>
  <c r="I201" i="8"/>
  <c r="H201" i="8"/>
  <c r="K200" i="8"/>
  <c r="J200" i="8"/>
  <c r="H200" i="8"/>
  <c r="I200" i="8" s="1"/>
  <c r="K199" i="8"/>
  <c r="J199" i="8"/>
  <c r="I199" i="8"/>
  <c r="H199" i="8"/>
  <c r="J198" i="8"/>
  <c r="H198" i="8"/>
  <c r="J197" i="8"/>
  <c r="K197" i="8" s="1"/>
  <c r="I197" i="8"/>
  <c r="H197" i="8"/>
  <c r="K196" i="8"/>
  <c r="J196" i="8"/>
  <c r="H196" i="8"/>
  <c r="I196" i="8" s="1"/>
  <c r="K195" i="8"/>
  <c r="J195" i="8"/>
  <c r="I195" i="8"/>
  <c r="H195" i="8"/>
  <c r="J194" i="8"/>
  <c r="H194" i="8"/>
  <c r="I194" i="8" s="1"/>
  <c r="J193" i="8"/>
  <c r="K193" i="8" s="1"/>
  <c r="I193" i="8"/>
  <c r="H193" i="8"/>
  <c r="K192" i="8"/>
  <c r="J192" i="8"/>
  <c r="H192" i="8"/>
  <c r="I192" i="8" s="1"/>
  <c r="K191" i="8"/>
  <c r="J191" i="8"/>
  <c r="I191" i="8"/>
  <c r="H191" i="8"/>
  <c r="J190" i="8"/>
  <c r="H190" i="8"/>
  <c r="J189" i="8"/>
  <c r="K189" i="8" s="1"/>
  <c r="I189" i="8"/>
  <c r="H189" i="8"/>
  <c r="J188" i="8"/>
  <c r="H188" i="8"/>
  <c r="J187" i="8"/>
  <c r="K187" i="8" s="1"/>
  <c r="I187" i="8"/>
  <c r="H187" i="8"/>
  <c r="J186" i="8"/>
  <c r="H186" i="8"/>
  <c r="K185" i="8"/>
  <c r="J185" i="8"/>
  <c r="I185" i="8"/>
  <c r="H185" i="8"/>
  <c r="K184" i="8"/>
  <c r="J184" i="8"/>
  <c r="H184" i="8"/>
  <c r="I184" i="8" s="1"/>
  <c r="J183" i="8"/>
  <c r="K183" i="8" s="1"/>
  <c r="I183" i="8"/>
  <c r="H183" i="8"/>
  <c r="J182" i="8"/>
  <c r="H182" i="8"/>
  <c r="I182" i="8" s="1"/>
  <c r="J181" i="8"/>
  <c r="K181" i="8" s="1"/>
  <c r="I181" i="8"/>
  <c r="H181" i="8"/>
  <c r="K180" i="8"/>
  <c r="J180" i="8"/>
  <c r="H180" i="8"/>
  <c r="I180" i="8" s="1"/>
  <c r="K179" i="8"/>
  <c r="J179" i="8"/>
  <c r="I179" i="8"/>
  <c r="H179" i="8"/>
  <c r="J178" i="8"/>
  <c r="H178" i="8"/>
  <c r="I178" i="8" s="1"/>
  <c r="J177" i="8"/>
  <c r="K177" i="8" s="1"/>
  <c r="I177" i="8"/>
  <c r="H177" i="8"/>
  <c r="K176" i="8"/>
  <c r="J176" i="8"/>
  <c r="H176" i="8"/>
  <c r="I176" i="8" s="1"/>
  <c r="K175" i="8"/>
  <c r="J175" i="8"/>
  <c r="I175" i="8"/>
  <c r="H175" i="8"/>
  <c r="J174" i="8"/>
  <c r="H174" i="8"/>
  <c r="K173" i="8"/>
  <c r="J173" i="8"/>
  <c r="I173" i="8"/>
  <c r="H173" i="8"/>
  <c r="J172" i="8"/>
  <c r="H172" i="8"/>
  <c r="K171" i="8"/>
  <c r="J171" i="8"/>
  <c r="I171" i="8"/>
  <c r="H171" i="8"/>
  <c r="K170" i="8"/>
  <c r="J170" i="8"/>
  <c r="H170" i="8"/>
  <c r="I170" i="8" s="1"/>
  <c r="J169" i="8"/>
  <c r="K169" i="8" s="1"/>
  <c r="I169" i="8"/>
  <c r="H169" i="8"/>
  <c r="K168" i="8"/>
  <c r="J168" i="8"/>
  <c r="H168" i="8"/>
  <c r="I168" i="8" s="1"/>
  <c r="K167" i="8"/>
  <c r="J167" i="8"/>
  <c r="I167" i="8"/>
  <c r="H167" i="8"/>
  <c r="K166" i="8"/>
  <c r="J166" i="8"/>
  <c r="H166" i="8"/>
  <c r="I166" i="8" s="1"/>
  <c r="J165" i="8"/>
  <c r="K165" i="8" s="1"/>
  <c r="I165" i="8"/>
  <c r="H165" i="8"/>
  <c r="K164" i="8"/>
  <c r="J164" i="8"/>
  <c r="H164" i="8"/>
  <c r="I164" i="8" s="1"/>
  <c r="K163" i="8"/>
  <c r="J163" i="8"/>
  <c r="I163" i="8"/>
  <c r="H163" i="8"/>
  <c r="J162" i="8"/>
  <c r="H162" i="8"/>
  <c r="J161" i="8"/>
  <c r="K161" i="8" s="1"/>
  <c r="I161" i="8"/>
  <c r="H161" i="8"/>
  <c r="J160" i="8"/>
  <c r="H160" i="8"/>
  <c r="I160" i="8" s="1"/>
  <c r="K159" i="8"/>
  <c r="J159" i="8"/>
  <c r="I159" i="8"/>
  <c r="H159" i="8"/>
  <c r="K158" i="8"/>
  <c r="J158" i="8"/>
  <c r="H158" i="8"/>
  <c r="I158" i="8" s="1"/>
  <c r="J157" i="8"/>
  <c r="K157" i="8" s="1"/>
  <c r="I157" i="8"/>
  <c r="H157" i="8"/>
  <c r="J156" i="8"/>
  <c r="H156" i="8"/>
  <c r="J155" i="8"/>
  <c r="K155" i="8" s="1"/>
  <c r="I155" i="8"/>
  <c r="H155" i="8"/>
  <c r="K154" i="8"/>
  <c r="J154" i="8"/>
  <c r="H154" i="8"/>
  <c r="I154" i="8" s="1"/>
  <c r="K153" i="8"/>
  <c r="J153" i="8"/>
  <c r="I153" i="8"/>
  <c r="H153" i="8"/>
  <c r="K152" i="8"/>
  <c r="J152" i="8"/>
  <c r="H152" i="8"/>
  <c r="I152" i="8" s="1"/>
  <c r="J151" i="8"/>
  <c r="K151" i="8" s="1"/>
  <c r="I151" i="8"/>
  <c r="H151" i="8"/>
  <c r="J150" i="8"/>
  <c r="H150" i="8"/>
  <c r="J149" i="8"/>
  <c r="K149" i="8" s="1"/>
  <c r="I149" i="8"/>
  <c r="H149" i="8"/>
  <c r="K148" i="8"/>
  <c r="J148" i="8"/>
  <c r="H148" i="8"/>
  <c r="I148" i="8" s="1"/>
  <c r="K147" i="8"/>
  <c r="J147" i="8"/>
  <c r="I147" i="8"/>
  <c r="H147" i="8"/>
  <c r="J146" i="8"/>
  <c r="H146" i="8"/>
  <c r="J145" i="8"/>
  <c r="K145" i="8" s="1"/>
  <c r="I145" i="8"/>
  <c r="H145" i="8"/>
  <c r="K144" i="8"/>
  <c r="J144" i="8"/>
  <c r="H144" i="8"/>
  <c r="I144" i="8" s="1"/>
  <c r="K143" i="8"/>
  <c r="J143" i="8"/>
  <c r="I143" i="8"/>
  <c r="H143" i="8"/>
  <c r="J142" i="8"/>
  <c r="H142" i="8"/>
  <c r="I142" i="8" s="1"/>
  <c r="K141" i="8"/>
  <c r="J141" i="8"/>
  <c r="I141" i="8"/>
  <c r="H141" i="8"/>
  <c r="J140" i="8"/>
  <c r="H140" i="8"/>
  <c r="K139" i="8"/>
  <c r="J139" i="8"/>
  <c r="I139" i="8"/>
  <c r="H139" i="8"/>
  <c r="J138" i="8"/>
  <c r="H138" i="8"/>
  <c r="J137" i="8"/>
  <c r="K137" i="8" s="1"/>
  <c r="I137" i="8"/>
  <c r="H137" i="8"/>
  <c r="K136" i="8"/>
  <c r="J136" i="8"/>
  <c r="H136" i="8"/>
  <c r="I136" i="8" s="1"/>
  <c r="K135" i="8"/>
  <c r="J135" i="8"/>
  <c r="I135" i="8"/>
  <c r="H135" i="8"/>
  <c r="J134" i="8"/>
  <c r="H134" i="8"/>
  <c r="J133" i="8"/>
  <c r="K133" i="8" s="1"/>
  <c r="I133" i="8"/>
  <c r="H133" i="8"/>
  <c r="K132" i="8"/>
  <c r="J132" i="8"/>
  <c r="H132" i="8"/>
  <c r="I132" i="8" s="1"/>
  <c r="K131" i="8"/>
  <c r="J131" i="8"/>
  <c r="I131" i="8"/>
  <c r="H131" i="8"/>
  <c r="J130" i="8"/>
  <c r="H130" i="8"/>
  <c r="I130" i="8" s="1"/>
  <c r="J129" i="8"/>
  <c r="K129" i="8" s="1"/>
  <c r="I129" i="8"/>
  <c r="H129" i="8"/>
  <c r="J128" i="8"/>
  <c r="H128" i="8"/>
  <c r="K127" i="8"/>
  <c r="J127" i="8"/>
  <c r="I127" i="8"/>
  <c r="H127" i="8"/>
  <c r="K126" i="8"/>
  <c r="J126" i="8"/>
  <c r="H126" i="8"/>
  <c r="I126" i="8" s="1"/>
  <c r="K125" i="8"/>
  <c r="J125" i="8"/>
  <c r="I125" i="8"/>
  <c r="H125" i="8"/>
  <c r="J124" i="8"/>
  <c r="H124" i="8"/>
  <c r="J123" i="8"/>
  <c r="K123" i="8" s="1"/>
  <c r="I123" i="8"/>
  <c r="H123" i="8"/>
  <c r="K122" i="8"/>
  <c r="J122" i="8"/>
  <c r="H122" i="8"/>
  <c r="I122" i="8" s="1"/>
  <c r="K121" i="8"/>
  <c r="J121" i="8"/>
  <c r="I121" i="8"/>
  <c r="H121" i="8"/>
  <c r="K120" i="8"/>
  <c r="J120" i="8"/>
  <c r="H120" i="8"/>
  <c r="I120" i="8" s="1"/>
  <c r="J119" i="8"/>
  <c r="K119" i="8" s="1"/>
  <c r="I119" i="8"/>
  <c r="H119" i="8"/>
  <c r="K118" i="8"/>
  <c r="J118" i="8"/>
  <c r="H118" i="8"/>
  <c r="I118" i="8" s="1"/>
  <c r="J117" i="8"/>
  <c r="K117" i="8" s="1"/>
  <c r="I117" i="8"/>
  <c r="H117" i="8"/>
  <c r="K116" i="8"/>
  <c r="J116" i="8"/>
  <c r="H116" i="8"/>
  <c r="I116" i="8" s="1"/>
  <c r="K115" i="8"/>
  <c r="J115" i="8"/>
  <c r="I115" i="8"/>
  <c r="H115" i="8"/>
  <c r="J114" i="8"/>
  <c r="H114" i="8"/>
  <c r="J113" i="8"/>
  <c r="K113" i="8" s="1"/>
  <c r="I113" i="8"/>
  <c r="H113" i="8"/>
  <c r="J112" i="8"/>
  <c r="H112" i="8"/>
  <c r="I112" i="8" s="1"/>
  <c r="K111" i="8"/>
  <c r="J111" i="8"/>
  <c r="I111" i="8"/>
  <c r="H111" i="8"/>
  <c r="K110" i="8"/>
  <c r="J110" i="8"/>
  <c r="H110" i="8"/>
  <c r="I110" i="8" s="1"/>
  <c r="K109" i="8"/>
  <c r="J109" i="8"/>
  <c r="I109" i="8"/>
  <c r="H109" i="8"/>
  <c r="J108" i="8"/>
  <c r="H108" i="8"/>
  <c r="K107" i="8"/>
  <c r="J107" i="8"/>
  <c r="I107" i="8"/>
  <c r="H107" i="8"/>
  <c r="K106" i="8"/>
  <c r="J106" i="8"/>
  <c r="H106" i="8"/>
  <c r="I106" i="8" s="1"/>
  <c r="K105" i="8"/>
  <c r="J105" i="8"/>
  <c r="I105" i="8"/>
  <c r="H105" i="8"/>
  <c r="K104" i="8"/>
  <c r="J104" i="8"/>
  <c r="H104" i="8"/>
  <c r="I104" i="8" s="1"/>
  <c r="J103" i="8"/>
  <c r="K103" i="8" s="1"/>
  <c r="I103" i="8"/>
  <c r="H103" i="8"/>
  <c r="J102" i="8"/>
  <c r="H102" i="8"/>
  <c r="J101" i="8"/>
  <c r="K101" i="8" s="1"/>
  <c r="I101" i="8"/>
  <c r="H101" i="8"/>
  <c r="K100" i="8"/>
  <c r="J100" i="8"/>
  <c r="H100" i="8"/>
  <c r="I100" i="8" s="1"/>
  <c r="K99" i="8"/>
  <c r="J99" i="8"/>
  <c r="I99" i="8"/>
  <c r="H99" i="8"/>
  <c r="K98" i="8"/>
  <c r="J98" i="8"/>
  <c r="H98" i="8"/>
  <c r="I98" i="8" s="1"/>
  <c r="J97" i="8"/>
  <c r="K97" i="8" s="1"/>
  <c r="I97" i="8"/>
  <c r="H97" i="8"/>
  <c r="J96" i="8"/>
  <c r="H96" i="8"/>
  <c r="K95" i="8"/>
  <c r="J95" i="8"/>
  <c r="I95" i="8"/>
  <c r="H95" i="8"/>
  <c r="K94" i="8"/>
  <c r="J94" i="8"/>
  <c r="H94" i="8"/>
  <c r="I94" i="8" s="1"/>
  <c r="K93" i="8"/>
  <c r="J93" i="8"/>
  <c r="I93" i="8"/>
  <c r="H93" i="8"/>
  <c r="J92" i="8"/>
  <c r="H92" i="8"/>
  <c r="K91" i="8"/>
  <c r="J91" i="8"/>
  <c r="I91" i="8"/>
  <c r="H91" i="8"/>
  <c r="J90" i="8"/>
  <c r="H90" i="8"/>
  <c r="I90" i="8" s="1"/>
  <c r="J89" i="8"/>
  <c r="K89" i="8" s="1"/>
  <c r="I89" i="8"/>
  <c r="H89" i="8"/>
  <c r="K88" i="8"/>
  <c r="J88" i="8"/>
  <c r="H88" i="8"/>
  <c r="I88" i="8" s="1"/>
  <c r="J87" i="8"/>
  <c r="K87" i="8" s="1"/>
  <c r="I87" i="8"/>
  <c r="H87" i="8"/>
  <c r="K86" i="8"/>
  <c r="J86" i="8"/>
  <c r="H86" i="8"/>
  <c r="I86" i="8" s="1"/>
  <c r="J85" i="8"/>
  <c r="K85" i="8" s="1"/>
  <c r="I85" i="8"/>
  <c r="H85" i="8"/>
  <c r="K84" i="8"/>
  <c r="J84" i="8"/>
  <c r="H84" i="8"/>
  <c r="I84" i="8" s="1"/>
  <c r="K83" i="8"/>
  <c r="J83" i="8"/>
  <c r="I83" i="8"/>
  <c r="H83" i="8"/>
  <c r="J82" i="8"/>
  <c r="H82" i="8"/>
  <c r="J81" i="8"/>
  <c r="K81" i="8" s="1"/>
  <c r="I81" i="8"/>
  <c r="H81" i="8"/>
  <c r="J80" i="8"/>
  <c r="H80" i="8"/>
  <c r="I80" i="8" s="1"/>
  <c r="K79" i="8"/>
  <c r="J79" i="8"/>
  <c r="I79" i="8"/>
  <c r="H79" i="8"/>
  <c r="J78" i="8"/>
  <c r="H78" i="8"/>
  <c r="I78" i="8" s="1"/>
  <c r="K77" i="8"/>
  <c r="J77" i="8"/>
  <c r="I77" i="8"/>
  <c r="H77" i="8"/>
  <c r="J76" i="8"/>
  <c r="H76" i="8"/>
  <c r="K75" i="8"/>
  <c r="J75" i="8"/>
  <c r="I75" i="8"/>
  <c r="H75" i="8"/>
  <c r="J74" i="8"/>
  <c r="H74" i="8"/>
  <c r="J73" i="8"/>
  <c r="K73" i="8" s="1"/>
  <c r="I73" i="8"/>
  <c r="H73" i="8"/>
  <c r="K72" i="8"/>
  <c r="J72" i="8"/>
  <c r="H72" i="8"/>
  <c r="I72" i="8" s="1"/>
  <c r="K71" i="8"/>
  <c r="J71" i="8"/>
  <c r="I71" i="8"/>
  <c r="H71" i="8"/>
  <c r="J70" i="8"/>
  <c r="H70" i="8"/>
  <c r="I70" i="8" s="1"/>
  <c r="J69" i="8"/>
  <c r="K69" i="8" s="1"/>
  <c r="I69" i="8"/>
  <c r="H69" i="8"/>
  <c r="K68" i="8"/>
  <c r="J68" i="8"/>
  <c r="H68" i="8"/>
  <c r="I68" i="8" s="1"/>
  <c r="K67" i="8"/>
  <c r="J67" i="8"/>
  <c r="I67" i="8"/>
  <c r="H67" i="8"/>
  <c r="J66" i="8"/>
  <c r="H66" i="8"/>
  <c r="I66" i="8" s="1"/>
  <c r="J65" i="8"/>
  <c r="K65" i="8" s="1"/>
  <c r="I65" i="8"/>
  <c r="H65" i="8"/>
  <c r="K64" i="8"/>
  <c r="J64" i="8"/>
  <c r="H64" i="8"/>
  <c r="I64" i="8" s="1"/>
  <c r="K63" i="8"/>
  <c r="J63" i="8"/>
  <c r="I63" i="8"/>
  <c r="H63" i="8"/>
  <c r="K62" i="8"/>
  <c r="J62" i="8"/>
  <c r="H62" i="8"/>
  <c r="I62" i="8" s="1"/>
  <c r="J61" i="8"/>
  <c r="K61" i="8" s="1"/>
  <c r="I61" i="8"/>
  <c r="H61" i="8"/>
  <c r="J60" i="8"/>
  <c r="H60" i="8"/>
  <c r="K59" i="8"/>
  <c r="J59" i="8"/>
  <c r="I59" i="8"/>
  <c r="H59" i="8"/>
  <c r="J58" i="8"/>
  <c r="H58" i="8"/>
  <c r="K57" i="8"/>
  <c r="J57" i="8"/>
  <c r="I57" i="8"/>
  <c r="H57" i="8"/>
  <c r="K56" i="8"/>
  <c r="J56" i="8"/>
  <c r="H56" i="8"/>
  <c r="I56" i="8" s="1"/>
  <c r="J55" i="8"/>
  <c r="K55" i="8" s="1"/>
  <c r="I55" i="8"/>
  <c r="H55" i="8"/>
  <c r="J54" i="8"/>
  <c r="H54" i="8"/>
  <c r="I54" i="8" s="1"/>
  <c r="J53" i="8"/>
  <c r="K53" i="8" s="1"/>
  <c r="I53" i="8"/>
  <c r="H53" i="8"/>
  <c r="K52" i="8"/>
  <c r="J52" i="8"/>
  <c r="H52" i="8"/>
  <c r="I52" i="8" s="1"/>
  <c r="K51" i="8"/>
  <c r="J51" i="8"/>
  <c r="I51" i="8"/>
  <c r="H51" i="8"/>
  <c r="K50" i="8"/>
  <c r="J50" i="8"/>
  <c r="H50" i="8"/>
  <c r="I50" i="8" s="1"/>
  <c r="J49" i="8"/>
  <c r="K49" i="8" s="1"/>
  <c r="I49" i="8"/>
  <c r="H49" i="8"/>
  <c r="K48" i="8"/>
  <c r="J48" i="8"/>
  <c r="H48" i="8"/>
  <c r="I48" i="8" s="1"/>
  <c r="K47" i="8"/>
  <c r="J47" i="8"/>
  <c r="I47" i="8"/>
  <c r="H47" i="8"/>
  <c r="J46" i="8"/>
  <c r="H46" i="8"/>
  <c r="K45" i="8"/>
  <c r="J45" i="8"/>
  <c r="I45" i="8"/>
  <c r="H45" i="8"/>
  <c r="J44" i="8"/>
  <c r="H44" i="8"/>
  <c r="J43" i="8"/>
  <c r="K43" i="8" s="1"/>
  <c r="I43" i="8"/>
  <c r="H43" i="8"/>
  <c r="J42" i="8"/>
  <c r="H42" i="8"/>
  <c r="I42" i="8" s="1"/>
  <c r="J41" i="8"/>
  <c r="K41" i="8" s="1"/>
  <c r="I41" i="8"/>
  <c r="H41" i="8"/>
  <c r="K40" i="8"/>
  <c r="J40" i="8"/>
  <c r="H40" i="8"/>
  <c r="I40" i="8" s="1"/>
  <c r="K39" i="8"/>
  <c r="J39" i="8"/>
  <c r="I39" i="8"/>
  <c r="H39" i="8"/>
  <c r="K38" i="8"/>
  <c r="J38" i="8"/>
  <c r="H38" i="8"/>
  <c r="I38" i="8" s="1"/>
  <c r="J37" i="8"/>
  <c r="K37" i="8" s="1"/>
  <c r="I37" i="8"/>
  <c r="H37" i="8"/>
  <c r="K36" i="8"/>
  <c r="J36" i="8"/>
  <c r="H36" i="8"/>
  <c r="I36" i="8" s="1"/>
  <c r="K35" i="8"/>
  <c r="J35" i="8"/>
  <c r="I35" i="8"/>
  <c r="H35" i="8"/>
  <c r="J34" i="8"/>
  <c r="H34" i="8"/>
  <c r="J33" i="8"/>
  <c r="K33" i="8" s="1"/>
  <c r="I33" i="8"/>
  <c r="H33" i="8"/>
  <c r="J32" i="8"/>
  <c r="H32" i="8"/>
  <c r="I32" i="8" s="1"/>
  <c r="K31" i="8"/>
  <c r="J31" i="8"/>
  <c r="I31" i="8"/>
  <c r="H31" i="8"/>
  <c r="K30" i="8"/>
  <c r="J30" i="8"/>
  <c r="H30" i="8"/>
  <c r="I30" i="8" s="1"/>
  <c r="J29" i="8"/>
  <c r="K29" i="8" s="1"/>
  <c r="I29" i="8"/>
  <c r="H29" i="8"/>
  <c r="J28" i="8"/>
  <c r="H28" i="8"/>
  <c r="J27" i="8"/>
  <c r="K27" i="8" s="1"/>
  <c r="I27" i="8"/>
  <c r="H27" i="8"/>
  <c r="J26" i="8"/>
  <c r="H26" i="8"/>
  <c r="I26" i="8" s="1"/>
  <c r="K25" i="8"/>
  <c r="J25" i="8"/>
  <c r="I25" i="8"/>
  <c r="H25" i="8"/>
  <c r="K24" i="8"/>
  <c r="J24" i="8"/>
  <c r="H24" i="8"/>
  <c r="I24" i="8" s="1"/>
  <c r="K23" i="8"/>
  <c r="J23" i="8"/>
  <c r="I23" i="8"/>
  <c r="H23" i="8"/>
  <c r="J22" i="8"/>
  <c r="H22" i="8"/>
  <c r="J21" i="8"/>
  <c r="K21" i="8" s="1"/>
  <c r="I21" i="8"/>
  <c r="H21" i="8"/>
  <c r="K20" i="8"/>
  <c r="J20" i="8"/>
  <c r="H20" i="8"/>
  <c r="I20" i="8" s="1"/>
  <c r="K19" i="8"/>
  <c r="J19" i="8"/>
  <c r="I19" i="8"/>
  <c r="H19" i="8"/>
  <c r="K18" i="8"/>
  <c r="J18" i="8"/>
  <c r="H18" i="8"/>
  <c r="I18" i="8" s="1"/>
  <c r="J17" i="8"/>
  <c r="K17" i="8" s="1"/>
  <c r="I17" i="8"/>
  <c r="H17" i="8"/>
  <c r="J16" i="8"/>
  <c r="H16" i="8"/>
  <c r="I16" i="8" s="1"/>
  <c r="K15" i="8"/>
  <c r="J15" i="8"/>
  <c r="I15" i="8"/>
  <c r="H15" i="8"/>
  <c r="K14" i="8"/>
  <c r="J14" i="8"/>
  <c r="H14" i="8"/>
  <c r="I14" i="8" s="1"/>
  <c r="K13" i="8"/>
  <c r="J13" i="8"/>
  <c r="I13" i="8"/>
  <c r="H13" i="8"/>
  <c r="J12" i="8"/>
  <c r="H12" i="8"/>
  <c r="K11" i="8"/>
  <c r="J11" i="8"/>
  <c r="I11" i="8"/>
  <c r="H11" i="8"/>
  <c r="J10" i="8"/>
  <c r="H10" i="8"/>
  <c r="J9" i="8"/>
  <c r="K9" i="8" s="1"/>
  <c r="I9" i="8"/>
  <c r="H9" i="8"/>
  <c r="K8" i="8"/>
  <c r="J8" i="8"/>
  <c r="H8" i="8"/>
  <c r="I8" i="8" s="1"/>
  <c r="K7" i="8"/>
  <c r="H7" i="8"/>
  <c r="I7" i="8" s="1"/>
  <c r="J215" i="7"/>
  <c r="H215" i="7"/>
  <c r="J214" i="7"/>
  <c r="K214" i="7" s="1"/>
  <c r="H214" i="7"/>
  <c r="I214" i="7" s="1"/>
  <c r="J213" i="7"/>
  <c r="H213" i="7"/>
  <c r="J212" i="7"/>
  <c r="K212" i="7" s="1"/>
  <c r="H212" i="7"/>
  <c r="I212" i="7" s="1"/>
  <c r="J211" i="7"/>
  <c r="I211" i="7"/>
  <c r="H211" i="7"/>
  <c r="K211" i="7" s="1"/>
  <c r="K210" i="7"/>
  <c r="J210" i="7"/>
  <c r="H210" i="7"/>
  <c r="I210" i="7" s="1"/>
  <c r="J209" i="7"/>
  <c r="H209" i="7"/>
  <c r="J208" i="7"/>
  <c r="K208" i="7" s="1"/>
  <c r="H208" i="7"/>
  <c r="I208" i="7" s="1"/>
  <c r="K207" i="7"/>
  <c r="J207" i="7"/>
  <c r="I207" i="7"/>
  <c r="H207" i="7"/>
  <c r="J206" i="7"/>
  <c r="H206" i="7"/>
  <c r="I206" i="7" s="1"/>
  <c r="J205" i="7"/>
  <c r="H205" i="7"/>
  <c r="J204" i="7"/>
  <c r="K204" i="7" s="1"/>
  <c r="H204" i="7"/>
  <c r="I204" i="7" s="1"/>
  <c r="K203" i="7"/>
  <c r="J203" i="7"/>
  <c r="I203" i="7"/>
  <c r="H203" i="7"/>
  <c r="J202" i="7"/>
  <c r="H202" i="7"/>
  <c r="K201" i="7"/>
  <c r="J201" i="7"/>
  <c r="H201" i="7"/>
  <c r="I201" i="7" s="1"/>
  <c r="J200" i="7"/>
  <c r="K200" i="7" s="1"/>
  <c r="H200" i="7"/>
  <c r="I200" i="7" s="1"/>
  <c r="J199" i="7"/>
  <c r="I199" i="7"/>
  <c r="H199" i="7"/>
  <c r="K199" i="7" s="1"/>
  <c r="J198" i="7"/>
  <c r="H198" i="7"/>
  <c r="I198" i="7" s="1"/>
  <c r="J197" i="7"/>
  <c r="I197" i="7"/>
  <c r="H197" i="7"/>
  <c r="K197" i="7" s="1"/>
  <c r="J196" i="7"/>
  <c r="K196" i="7" s="1"/>
  <c r="H196" i="7"/>
  <c r="I196" i="7" s="1"/>
  <c r="K195" i="7"/>
  <c r="J195" i="7"/>
  <c r="I195" i="7"/>
  <c r="H195" i="7"/>
  <c r="J194" i="7"/>
  <c r="K194" i="7" s="1"/>
  <c r="H194" i="7"/>
  <c r="I194" i="7" s="1"/>
  <c r="J193" i="7"/>
  <c r="H193" i="7"/>
  <c r="J192" i="7"/>
  <c r="H192" i="7"/>
  <c r="I192" i="7" s="1"/>
  <c r="K191" i="7"/>
  <c r="J191" i="7"/>
  <c r="I191" i="7"/>
  <c r="H191" i="7"/>
  <c r="K190" i="7"/>
  <c r="J190" i="7"/>
  <c r="H190" i="7"/>
  <c r="I190" i="7" s="1"/>
  <c r="K189" i="7"/>
  <c r="J189" i="7"/>
  <c r="H189" i="7"/>
  <c r="I189" i="7" s="1"/>
  <c r="J188" i="7"/>
  <c r="K188" i="7" s="1"/>
  <c r="H188" i="7"/>
  <c r="I188" i="7" s="1"/>
  <c r="K187" i="7"/>
  <c r="J187" i="7"/>
  <c r="I187" i="7"/>
  <c r="H187" i="7"/>
  <c r="J186" i="7"/>
  <c r="H186" i="7"/>
  <c r="J185" i="7"/>
  <c r="H185" i="7"/>
  <c r="J184" i="7"/>
  <c r="K184" i="7" s="1"/>
  <c r="H184" i="7"/>
  <c r="I184" i="7" s="1"/>
  <c r="K183" i="7"/>
  <c r="J183" i="7"/>
  <c r="H183" i="7"/>
  <c r="I183" i="7" s="1"/>
  <c r="J182" i="7"/>
  <c r="H182" i="7"/>
  <c r="I182" i="7" s="1"/>
  <c r="J181" i="7"/>
  <c r="H181" i="7"/>
  <c r="J180" i="7"/>
  <c r="H180" i="7"/>
  <c r="I180" i="7" s="1"/>
  <c r="J179" i="7"/>
  <c r="I179" i="7"/>
  <c r="H179" i="7"/>
  <c r="K179" i="7" s="1"/>
  <c r="J178" i="7"/>
  <c r="K178" i="7" s="1"/>
  <c r="H178" i="7"/>
  <c r="I178" i="7" s="1"/>
  <c r="J177" i="7"/>
  <c r="H177" i="7"/>
  <c r="J176" i="7"/>
  <c r="H176" i="7"/>
  <c r="I176" i="7" s="1"/>
  <c r="J175" i="7"/>
  <c r="H175" i="7"/>
  <c r="I175" i="7" s="1"/>
  <c r="J174" i="7"/>
  <c r="H174" i="7"/>
  <c r="I174" i="7" s="1"/>
  <c r="J173" i="7"/>
  <c r="H173" i="7"/>
  <c r="J172" i="7"/>
  <c r="H172" i="7"/>
  <c r="I172" i="7" s="1"/>
  <c r="J171" i="7"/>
  <c r="I171" i="7"/>
  <c r="H171" i="7"/>
  <c r="K171" i="7" s="1"/>
  <c r="J170" i="7"/>
  <c r="H170" i="7"/>
  <c r="I170" i="7" s="1"/>
  <c r="J169" i="7"/>
  <c r="H169" i="7"/>
  <c r="J168" i="7"/>
  <c r="K168" i="7" s="1"/>
  <c r="H168" i="7"/>
  <c r="I168" i="7" s="1"/>
  <c r="K167" i="7"/>
  <c r="J167" i="7"/>
  <c r="H167" i="7"/>
  <c r="I167" i="7" s="1"/>
  <c r="J166" i="7"/>
  <c r="H166" i="7"/>
  <c r="I166" i="7" s="1"/>
  <c r="J165" i="7"/>
  <c r="H165" i="7"/>
  <c r="J164" i="7"/>
  <c r="H164" i="7"/>
  <c r="I164" i="7" s="1"/>
  <c r="J163" i="7"/>
  <c r="I163" i="7"/>
  <c r="H163" i="7"/>
  <c r="K163" i="7" s="1"/>
  <c r="J162" i="7"/>
  <c r="K162" i="7" s="1"/>
  <c r="H162" i="7"/>
  <c r="I162" i="7" s="1"/>
  <c r="J161" i="7"/>
  <c r="H161" i="7"/>
  <c r="J160" i="7"/>
  <c r="H160" i="7"/>
  <c r="I160" i="7" s="1"/>
  <c r="K159" i="7"/>
  <c r="J159" i="7"/>
  <c r="H159" i="7"/>
  <c r="I159" i="7" s="1"/>
  <c r="J158" i="7"/>
  <c r="H158" i="7"/>
  <c r="I158" i="7" s="1"/>
  <c r="J157" i="7"/>
  <c r="H157" i="7"/>
  <c r="J156" i="7"/>
  <c r="H156" i="7"/>
  <c r="I156" i="7" s="1"/>
  <c r="J155" i="7"/>
  <c r="I155" i="7"/>
  <c r="H155" i="7"/>
  <c r="K155" i="7" s="1"/>
  <c r="J154" i="7"/>
  <c r="H154" i="7"/>
  <c r="I154" i="7" s="1"/>
  <c r="J153" i="7"/>
  <c r="H153" i="7"/>
  <c r="J152" i="7"/>
  <c r="K152" i="7" s="1"/>
  <c r="H152" i="7"/>
  <c r="I152" i="7" s="1"/>
  <c r="K151" i="7"/>
  <c r="J151" i="7"/>
  <c r="H151" i="7"/>
  <c r="I151" i="7" s="1"/>
  <c r="J150" i="7"/>
  <c r="H150" i="7"/>
  <c r="I150" i="7" s="1"/>
  <c r="J149" i="7"/>
  <c r="H149" i="7"/>
  <c r="J148" i="7"/>
  <c r="H148" i="7"/>
  <c r="I148" i="7" s="1"/>
  <c r="J147" i="7"/>
  <c r="I147" i="7"/>
  <c r="H147" i="7"/>
  <c r="K147" i="7" s="1"/>
  <c r="J146" i="7"/>
  <c r="K146" i="7" s="1"/>
  <c r="H146" i="7"/>
  <c r="I146" i="7" s="1"/>
  <c r="J145" i="7"/>
  <c r="H145" i="7"/>
  <c r="J144" i="7"/>
  <c r="H144" i="7"/>
  <c r="I144" i="7" s="1"/>
  <c r="J143" i="7"/>
  <c r="H143" i="7"/>
  <c r="J142" i="7"/>
  <c r="H142" i="7"/>
  <c r="I142" i="7" s="1"/>
  <c r="J141" i="7"/>
  <c r="H141" i="7"/>
  <c r="J140" i="7"/>
  <c r="H140" i="7"/>
  <c r="I140" i="7" s="1"/>
  <c r="J139" i="7"/>
  <c r="I139" i="7"/>
  <c r="H139" i="7"/>
  <c r="K139" i="7" s="1"/>
  <c r="J138" i="7"/>
  <c r="H138" i="7"/>
  <c r="I138" i="7" s="1"/>
  <c r="J137" i="7"/>
  <c r="H137" i="7"/>
  <c r="J136" i="7"/>
  <c r="K136" i="7" s="1"/>
  <c r="H136" i="7"/>
  <c r="I136" i="7" s="1"/>
  <c r="K135" i="7"/>
  <c r="J135" i="7"/>
  <c r="H135" i="7"/>
  <c r="I135" i="7" s="1"/>
  <c r="J134" i="7"/>
  <c r="H134" i="7"/>
  <c r="I134" i="7" s="1"/>
  <c r="J133" i="7"/>
  <c r="H133" i="7"/>
  <c r="J132" i="7"/>
  <c r="H132" i="7"/>
  <c r="I132" i="7" s="1"/>
  <c r="J131" i="7"/>
  <c r="I131" i="7"/>
  <c r="H131" i="7"/>
  <c r="K131" i="7" s="1"/>
  <c r="J130" i="7"/>
  <c r="K130" i="7" s="1"/>
  <c r="H130" i="7"/>
  <c r="I130" i="7" s="1"/>
  <c r="J129" i="7"/>
  <c r="H129" i="7"/>
  <c r="J128" i="7"/>
  <c r="H128" i="7"/>
  <c r="I128" i="7" s="1"/>
  <c r="J127" i="7"/>
  <c r="H127" i="7"/>
  <c r="I127" i="7" s="1"/>
  <c r="J126" i="7"/>
  <c r="H126" i="7"/>
  <c r="I126" i="7" s="1"/>
  <c r="J125" i="7"/>
  <c r="I125" i="7"/>
  <c r="H125" i="7"/>
  <c r="K125" i="7" s="1"/>
  <c r="J124" i="7"/>
  <c r="H124" i="7"/>
  <c r="I124" i="7" s="1"/>
  <c r="J123" i="7"/>
  <c r="I123" i="7"/>
  <c r="H123" i="7"/>
  <c r="J122" i="7"/>
  <c r="H122" i="7"/>
  <c r="I122" i="7" s="1"/>
  <c r="J121" i="7"/>
  <c r="K121" i="7" s="1"/>
  <c r="H121" i="7"/>
  <c r="I121" i="7" s="1"/>
  <c r="J120" i="7"/>
  <c r="K120" i="7" s="1"/>
  <c r="H120" i="7"/>
  <c r="I120" i="7" s="1"/>
  <c r="K119" i="7"/>
  <c r="J119" i="7"/>
  <c r="H119" i="7"/>
  <c r="I119" i="7" s="1"/>
  <c r="J118" i="7"/>
  <c r="H118" i="7"/>
  <c r="I118" i="7" s="1"/>
  <c r="J117" i="7"/>
  <c r="K117" i="7" s="1"/>
  <c r="H117" i="7"/>
  <c r="I117" i="7" s="1"/>
  <c r="J116" i="7"/>
  <c r="H116" i="7"/>
  <c r="I116" i="7" s="1"/>
  <c r="J115" i="7"/>
  <c r="K115" i="7" s="1"/>
  <c r="I115" i="7"/>
  <c r="H115" i="7"/>
  <c r="J114" i="7"/>
  <c r="K114" i="7" s="1"/>
  <c r="H114" i="7"/>
  <c r="I114" i="7" s="1"/>
  <c r="J113" i="7"/>
  <c r="K113" i="7" s="1"/>
  <c r="H113" i="7"/>
  <c r="I113" i="7" s="1"/>
  <c r="J112" i="7"/>
  <c r="H112" i="7"/>
  <c r="I112" i="7" s="1"/>
  <c r="K111" i="7"/>
  <c r="J111" i="7"/>
  <c r="H111" i="7"/>
  <c r="I111" i="7" s="1"/>
  <c r="J110" i="7"/>
  <c r="H110" i="7"/>
  <c r="I110" i="7" s="1"/>
  <c r="J109" i="7"/>
  <c r="I109" i="7"/>
  <c r="H109" i="7"/>
  <c r="K109" i="7" s="1"/>
  <c r="J108" i="7"/>
  <c r="H108" i="7"/>
  <c r="I108" i="7" s="1"/>
  <c r="J107" i="7"/>
  <c r="I107" i="7"/>
  <c r="H107" i="7"/>
  <c r="J106" i="7"/>
  <c r="H106" i="7"/>
  <c r="I106" i="7" s="1"/>
  <c r="J105" i="7"/>
  <c r="K105" i="7" s="1"/>
  <c r="H105" i="7"/>
  <c r="I105" i="7" s="1"/>
  <c r="J104" i="7"/>
  <c r="K104" i="7" s="1"/>
  <c r="H104" i="7"/>
  <c r="I104" i="7" s="1"/>
  <c r="K103" i="7"/>
  <c r="J103" i="7"/>
  <c r="H103" i="7"/>
  <c r="I103" i="7" s="1"/>
  <c r="J102" i="7"/>
  <c r="H102" i="7"/>
  <c r="I102" i="7" s="1"/>
  <c r="J101" i="7"/>
  <c r="H101" i="7"/>
  <c r="I101" i="7" s="1"/>
  <c r="J100" i="7"/>
  <c r="H100" i="7"/>
  <c r="I100" i="7" s="1"/>
  <c r="J99" i="7"/>
  <c r="K99" i="7" s="1"/>
  <c r="I99" i="7"/>
  <c r="H99" i="7"/>
  <c r="J98" i="7"/>
  <c r="K98" i="7" s="1"/>
  <c r="H98" i="7"/>
  <c r="I98" i="7" s="1"/>
  <c r="J97" i="7"/>
  <c r="K97" i="7" s="1"/>
  <c r="H97" i="7"/>
  <c r="I97" i="7" s="1"/>
  <c r="J96" i="7"/>
  <c r="H96" i="7"/>
  <c r="I96" i="7" s="1"/>
  <c r="K95" i="7"/>
  <c r="J95" i="7"/>
  <c r="H95" i="7"/>
  <c r="I95" i="7" s="1"/>
  <c r="J94" i="7"/>
  <c r="H94" i="7"/>
  <c r="I94" i="7" s="1"/>
  <c r="J93" i="7"/>
  <c r="I93" i="7"/>
  <c r="H93" i="7"/>
  <c r="K93" i="7" s="1"/>
  <c r="J92" i="7"/>
  <c r="H92" i="7"/>
  <c r="I92" i="7" s="1"/>
  <c r="J91" i="7"/>
  <c r="I91" i="7"/>
  <c r="H91" i="7"/>
  <c r="J90" i="7"/>
  <c r="H90" i="7"/>
  <c r="I90" i="7" s="1"/>
  <c r="J89" i="7"/>
  <c r="K89" i="7" s="1"/>
  <c r="H89" i="7"/>
  <c r="I89" i="7" s="1"/>
  <c r="J88" i="7"/>
  <c r="K88" i="7" s="1"/>
  <c r="H88" i="7"/>
  <c r="I88" i="7" s="1"/>
  <c r="K87" i="7"/>
  <c r="J87" i="7"/>
  <c r="H87" i="7"/>
  <c r="I87" i="7" s="1"/>
  <c r="J86" i="7"/>
  <c r="H86" i="7"/>
  <c r="I86" i="7" s="1"/>
  <c r="J85" i="7"/>
  <c r="K85" i="7" s="1"/>
  <c r="H85" i="7"/>
  <c r="I85" i="7" s="1"/>
  <c r="J84" i="7"/>
  <c r="H84" i="7"/>
  <c r="I84" i="7" s="1"/>
  <c r="J83" i="7"/>
  <c r="K83" i="7" s="1"/>
  <c r="I83" i="7"/>
  <c r="H83" i="7"/>
  <c r="K82" i="7"/>
  <c r="J82" i="7"/>
  <c r="H82" i="7"/>
  <c r="I82" i="7" s="1"/>
  <c r="J81" i="7"/>
  <c r="H81" i="7"/>
  <c r="K81" i="7" s="1"/>
  <c r="J80" i="7"/>
  <c r="K80" i="7" s="1"/>
  <c r="H80" i="7"/>
  <c r="I80" i="7" s="1"/>
  <c r="J79" i="7"/>
  <c r="K79" i="7" s="1"/>
  <c r="H79" i="7"/>
  <c r="I79" i="7" s="1"/>
  <c r="J78" i="7"/>
  <c r="K78" i="7" s="1"/>
  <c r="H78" i="7"/>
  <c r="I78" i="7" s="1"/>
  <c r="K77" i="7"/>
  <c r="J77" i="7"/>
  <c r="I77" i="7"/>
  <c r="H77" i="7"/>
  <c r="J76" i="7"/>
  <c r="H76" i="7"/>
  <c r="J75" i="7"/>
  <c r="H75" i="7"/>
  <c r="J74" i="7"/>
  <c r="H74" i="7"/>
  <c r="I74" i="7" s="1"/>
  <c r="K73" i="7"/>
  <c r="J73" i="7"/>
  <c r="I73" i="7"/>
  <c r="H73" i="7"/>
  <c r="K72" i="7"/>
  <c r="J72" i="7"/>
  <c r="H72" i="7"/>
  <c r="I72" i="7" s="1"/>
  <c r="J71" i="7"/>
  <c r="H71" i="7"/>
  <c r="I71" i="7" s="1"/>
  <c r="J70" i="7"/>
  <c r="K70" i="7" s="1"/>
  <c r="H70" i="7"/>
  <c r="I70" i="7" s="1"/>
  <c r="K69" i="7"/>
  <c r="J69" i="7"/>
  <c r="I69" i="7"/>
  <c r="H69" i="7"/>
  <c r="J68" i="7"/>
  <c r="H68" i="7"/>
  <c r="J67" i="7"/>
  <c r="K67" i="7" s="1"/>
  <c r="I67" i="7"/>
  <c r="H67" i="7"/>
  <c r="K66" i="7"/>
  <c r="J66" i="7"/>
  <c r="H66" i="7"/>
  <c r="I66" i="7" s="1"/>
  <c r="K65" i="7"/>
  <c r="J65" i="7"/>
  <c r="H65" i="7"/>
  <c r="I65" i="7" s="1"/>
  <c r="J64" i="7"/>
  <c r="K64" i="7" s="1"/>
  <c r="H64" i="7"/>
  <c r="I64" i="7" s="1"/>
  <c r="J63" i="7"/>
  <c r="H63" i="7"/>
  <c r="I63" i="7" s="1"/>
  <c r="J62" i="7"/>
  <c r="H62" i="7"/>
  <c r="I62" i="7" s="1"/>
  <c r="K61" i="7"/>
  <c r="J61" i="7"/>
  <c r="I61" i="7"/>
  <c r="H61" i="7"/>
  <c r="K60" i="7"/>
  <c r="J60" i="7"/>
  <c r="H60" i="7"/>
  <c r="I60" i="7" s="1"/>
  <c r="J59" i="7"/>
  <c r="H59" i="7"/>
  <c r="I59" i="7" s="1"/>
  <c r="J58" i="7"/>
  <c r="K58" i="7" s="1"/>
  <c r="H58" i="7"/>
  <c r="I58" i="7" s="1"/>
  <c r="K57" i="7"/>
  <c r="J57" i="7"/>
  <c r="I57" i="7"/>
  <c r="H57" i="7"/>
  <c r="J56" i="7"/>
  <c r="H56" i="7"/>
  <c r="I56" i="7" s="1"/>
  <c r="J55" i="7"/>
  <c r="K55" i="7" s="1"/>
  <c r="I55" i="7"/>
  <c r="H55" i="7"/>
  <c r="J54" i="7"/>
  <c r="K54" i="7" s="1"/>
  <c r="H54" i="7"/>
  <c r="I54" i="7" s="1"/>
  <c r="J53" i="7"/>
  <c r="H53" i="7"/>
  <c r="I53" i="7" s="1"/>
  <c r="J52" i="7"/>
  <c r="H52" i="7"/>
  <c r="J51" i="7"/>
  <c r="I51" i="7"/>
  <c r="H51" i="7"/>
  <c r="J50" i="7"/>
  <c r="K50" i="7" s="1"/>
  <c r="H50" i="7"/>
  <c r="I50" i="7" s="1"/>
  <c r="J49" i="7"/>
  <c r="H49" i="7"/>
  <c r="J48" i="7"/>
  <c r="H48" i="7"/>
  <c r="J47" i="7"/>
  <c r="K47" i="7" s="1"/>
  <c r="H47" i="7"/>
  <c r="I47" i="7" s="1"/>
  <c r="K46" i="7"/>
  <c r="J46" i="7"/>
  <c r="H46" i="7"/>
  <c r="I46" i="7" s="1"/>
  <c r="K45" i="7"/>
  <c r="J45" i="7"/>
  <c r="I45" i="7"/>
  <c r="H45" i="7"/>
  <c r="J44" i="7"/>
  <c r="K44" i="7" s="1"/>
  <c r="H44" i="7"/>
  <c r="I44" i="7" s="1"/>
  <c r="K43" i="7"/>
  <c r="J43" i="7"/>
  <c r="H43" i="7"/>
  <c r="I43" i="7" s="1"/>
  <c r="J42" i="7"/>
  <c r="K42" i="7" s="1"/>
  <c r="H42" i="7"/>
  <c r="I42" i="7" s="1"/>
  <c r="J41" i="7"/>
  <c r="K41" i="7" s="1"/>
  <c r="I41" i="7"/>
  <c r="H41" i="7"/>
  <c r="J40" i="7"/>
  <c r="H40" i="7"/>
  <c r="K39" i="7"/>
  <c r="J39" i="7"/>
  <c r="I39" i="7"/>
  <c r="H39" i="7"/>
  <c r="J38" i="7"/>
  <c r="K38" i="7" s="1"/>
  <c r="H38" i="7"/>
  <c r="I38" i="7" s="1"/>
  <c r="J37" i="7"/>
  <c r="K37" i="7" s="1"/>
  <c r="I37" i="7"/>
  <c r="H37" i="7"/>
  <c r="J36" i="7"/>
  <c r="K36" i="7" s="1"/>
  <c r="H36" i="7"/>
  <c r="I36" i="7" s="1"/>
  <c r="K35" i="7"/>
  <c r="J35" i="7"/>
  <c r="H35" i="7"/>
  <c r="I35" i="7" s="1"/>
  <c r="J34" i="7"/>
  <c r="K34" i="7" s="1"/>
  <c r="H34" i="7"/>
  <c r="I34" i="7" s="1"/>
  <c r="K33" i="7"/>
  <c r="J33" i="7"/>
  <c r="I33" i="7"/>
  <c r="H33" i="7"/>
  <c r="J32" i="7"/>
  <c r="H32" i="7"/>
  <c r="I32" i="7" s="1"/>
  <c r="K31" i="7"/>
  <c r="J31" i="7"/>
  <c r="I31" i="7"/>
  <c r="H31" i="7"/>
  <c r="J30" i="7"/>
  <c r="K30" i="7" s="1"/>
  <c r="H30" i="7"/>
  <c r="I30" i="7" s="1"/>
  <c r="J29" i="7"/>
  <c r="K29" i="7" s="1"/>
  <c r="I29" i="7"/>
  <c r="H29" i="7"/>
  <c r="J28" i="7"/>
  <c r="K28" i="7" s="1"/>
  <c r="H28" i="7"/>
  <c r="I28" i="7" s="1"/>
  <c r="J27" i="7"/>
  <c r="H27" i="7"/>
  <c r="I27" i="7" s="1"/>
  <c r="J26" i="7"/>
  <c r="K26" i="7" s="1"/>
  <c r="H26" i="7"/>
  <c r="I26" i="7" s="1"/>
  <c r="K25" i="7"/>
  <c r="J25" i="7"/>
  <c r="I25" i="7"/>
  <c r="H25" i="7"/>
  <c r="J24" i="7"/>
  <c r="H24" i="7"/>
  <c r="I24" i="7" s="1"/>
  <c r="K23" i="7"/>
  <c r="J23" i="7"/>
  <c r="I23" i="7"/>
  <c r="H23" i="7"/>
  <c r="J22" i="7"/>
  <c r="K22" i="7" s="1"/>
  <c r="H22" i="7"/>
  <c r="I22" i="7" s="1"/>
  <c r="J21" i="7"/>
  <c r="K21" i="7" s="1"/>
  <c r="I21" i="7"/>
  <c r="H21" i="7"/>
  <c r="J20" i="7"/>
  <c r="K20" i="7" s="1"/>
  <c r="H20" i="7"/>
  <c r="I20" i="7" s="1"/>
  <c r="J19" i="7"/>
  <c r="H19" i="7"/>
  <c r="J18" i="7"/>
  <c r="K18" i="7" s="1"/>
  <c r="H18" i="7"/>
  <c r="I18" i="7" s="1"/>
  <c r="K17" i="7"/>
  <c r="J17" i="7"/>
  <c r="I17" i="7"/>
  <c r="H17" i="7"/>
  <c r="J16" i="7"/>
  <c r="H16" i="7"/>
  <c r="I16" i="7" s="1"/>
  <c r="K15" i="7"/>
  <c r="J15" i="7"/>
  <c r="I15" i="7"/>
  <c r="H15" i="7"/>
  <c r="J14" i="7"/>
  <c r="K14" i="7" s="1"/>
  <c r="H14" i="7"/>
  <c r="I14" i="7" s="1"/>
  <c r="J13" i="7"/>
  <c r="K13" i="7" s="1"/>
  <c r="I13" i="7"/>
  <c r="H13" i="7"/>
  <c r="J12" i="7"/>
  <c r="K12" i="7" s="1"/>
  <c r="H12" i="7"/>
  <c r="I12" i="7" s="1"/>
  <c r="K11" i="7"/>
  <c r="J11" i="7"/>
  <c r="H11" i="7"/>
  <c r="I11" i="7" s="1"/>
  <c r="J10" i="7"/>
  <c r="K10" i="7" s="1"/>
  <c r="H10" i="7"/>
  <c r="I10" i="7" s="1"/>
  <c r="K9" i="7"/>
  <c r="J9" i="7"/>
  <c r="I9" i="7"/>
  <c r="H9" i="7"/>
  <c r="J8" i="7"/>
  <c r="H8" i="7"/>
  <c r="I8" i="7" s="1"/>
  <c r="K7" i="7"/>
  <c r="H7" i="7"/>
  <c r="I7" i="7" s="1"/>
  <c r="K218" i="6"/>
  <c r="K217" i="6"/>
  <c r="K216" i="6"/>
  <c r="K215" i="6"/>
  <c r="I215" i="6"/>
  <c r="H215" i="6"/>
  <c r="K214" i="6"/>
  <c r="H214" i="6"/>
  <c r="I214" i="6" s="1"/>
  <c r="I213" i="6"/>
  <c r="H213" i="6"/>
  <c r="K213" i="6" s="1"/>
  <c r="H212" i="6"/>
  <c r="I211" i="6"/>
  <c r="H211" i="6"/>
  <c r="K211" i="6" s="1"/>
  <c r="K210" i="6"/>
  <c r="I210" i="6"/>
  <c r="H210" i="6"/>
  <c r="K209" i="6"/>
  <c r="I209" i="6"/>
  <c r="H209" i="6"/>
  <c r="H208" i="6"/>
  <c r="K207" i="6"/>
  <c r="I207" i="6"/>
  <c r="H207" i="6"/>
  <c r="H206" i="6"/>
  <c r="I205" i="6"/>
  <c r="H205" i="6"/>
  <c r="K205" i="6" s="1"/>
  <c r="K204" i="6"/>
  <c r="H204" i="6"/>
  <c r="I204" i="6" s="1"/>
  <c r="I203" i="6"/>
  <c r="H203" i="6"/>
  <c r="K203" i="6" s="1"/>
  <c r="K202" i="6"/>
  <c r="I202" i="6"/>
  <c r="H202" i="6"/>
  <c r="K201" i="6"/>
  <c r="I201" i="6"/>
  <c r="H201" i="6"/>
  <c r="K200" i="6"/>
  <c r="H200" i="6"/>
  <c r="I200" i="6" s="1"/>
  <c r="K199" i="6"/>
  <c r="I199" i="6"/>
  <c r="H199" i="6"/>
  <c r="K198" i="6"/>
  <c r="H198" i="6"/>
  <c r="I198" i="6" s="1"/>
  <c r="I197" i="6"/>
  <c r="H197" i="6"/>
  <c r="K197" i="6" s="1"/>
  <c r="I196" i="6"/>
  <c r="H196" i="6"/>
  <c r="K196" i="6" s="1"/>
  <c r="I195" i="6"/>
  <c r="H195" i="6"/>
  <c r="K195" i="6" s="1"/>
  <c r="K194" i="6"/>
  <c r="I194" i="6"/>
  <c r="H194" i="6"/>
  <c r="K193" i="6"/>
  <c r="I193" i="6"/>
  <c r="H193" i="6"/>
  <c r="H192" i="6"/>
  <c r="K191" i="6"/>
  <c r="I191" i="6"/>
  <c r="H191" i="6"/>
  <c r="H190" i="6"/>
  <c r="I189" i="6"/>
  <c r="H189" i="6"/>
  <c r="K189" i="6" s="1"/>
  <c r="K188" i="6"/>
  <c r="H188" i="6"/>
  <c r="I188" i="6" s="1"/>
  <c r="I187" i="6"/>
  <c r="H187" i="6"/>
  <c r="K187" i="6" s="1"/>
  <c r="K186" i="6"/>
  <c r="I186" i="6"/>
  <c r="H186" i="6"/>
  <c r="K185" i="6"/>
  <c r="I185" i="6"/>
  <c r="H185" i="6"/>
  <c r="K184" i="6"/>
  <c r="H184" i="6"/>
  <c r="I184" i="6" s="1"/>
  <c r="K183" i="6"/>
  <c r="I183" i="6"/>
  <c r="H183" i="6"/>
  <c r="K182" i="6"/>
  <c r="H182" i="6"/>
  <c r="I182" i="6" s="1"/>
  <c r="I181" i="6"/>
  <c r="H181" i="6"/>
  <c r="K181" i="6" s="1"/>
  <c r="H180" i="6"/>
  <c r="I179" i="6"/>
  <c r="H179" i="6"/>
  <c r="K179" i="6" s="1"/>
  <c r="K178" i="6"/>
  <c r="I178" i="6"/>
  <c r="H178" i="6"/>
  <c r="K177" i="6"/>
  <c r="I177" i="6"/>
  <c r="H177" i="6"/>
  <c r="H176" i="6"/>
  <c r="K175" i="6"/>
  <c r="I175" i="6"/>
  <c r="H175" i="6"/>
  <c r="H174" i="6"/>
  <c r="I173" i="6"/>
  <c r="H173" i="6"/>
  <c r="K173" i="6" s="1"/>
  <c r="K172" i="6"/>
  <c r="H172" i="6"/>
  <c r="I172" i="6" s="1"/>
  <c r="I171" i="6"/>
  <c r="H171" i="6"/>
  <c r="K171" i="6" s="1"/>
  <c r="K170" i="6"/>
  <c r="I170" i="6"/>
  <c r="H170" i="6"/>
  <c r="K169" i="6"/>
  <c r="I169" i="6"/>
  <c r="H169" i="6"/>
  <c r="K168" i="6"/>
  <c r="H168" i="6"/>
  <c r="I168" i="6" s="1"/>
  <c r="K167" i="6"/>
  <c r="I167" i="6"/>
  <c r="H167" i="6"/>
  <c r="K166" i="6"/>
  <c r="H166" i="6"/>
  <c r="I166" i="6" s="1"/>
  <c r="I165" i="6"/>
  <c r="H165" i="6"/>
  <c r="K165" i="6" s="1"/>
  <c r="H164" i="6"/>
  <c r="I163" i="6"/>
  <c r="H163" i="6"/>
  <c r="K163" i="6" s="1"/>
  <c r="K162" i="6"/>
  <c r="I162" i="6"/>
  <c r="H162" i="6"/>
  <c r="K161" i="6"/>
  <c r="I161" i="6"/>
  <c r="H161" i="6"/>
  <c r="H160" i="6"/>
  <c r="K159" i="6"/>
  <c r="I159" i="6"/>
  <c r="H159" i="6"/>
  <c r="H158" i="6"/>
  <c r="I157" i="6"/>
  <c r="H157" i="6"/>
  <c r="K157" i="6" s="1"/>
  <c r="K156" i="6"/>
  <c r="H156" i="6"/>
  <c r="I156" i="6" s="1"/>
  <c r="I155" i="6"/>
  <c r="H155" i="6"/>
  <c r="K155" i="6" s="1"/>
  <c r="K154" i="6"/>
  <c r="I154" i="6"/>
  <c r="H154" i="6"/>
  <c r="K153" i="6"/>
  <c r="I153" i="6"/>
  <c r="H153" i="6"/>
  <c r="K152" i="6"/>
  <c r="H152" i="6"/>
  <c r="I152" i="6" s="1"/>
  <c r="K151" i="6"/>
  <c r="I151" i="6"/>
  <c r="H151" i="6"/>
  <c r="K150" i="6"/>
  <c r="H150" i="6"/>
  <c r="I150" i="6" s="1"/>
  <c r="I149" i="6"/>
  <c r="H149" i="6"/>
  <c r="K149" i="6" s="1"/>
  <c r="H148" i="6"/>
  <c r="I147" i="6"/>
  <c r="H147" i="6"/>
  <c r="K147" i="6" s="1"/>
  <c r="K146" i="6"/>
  <c r="I146" i="6"/>
  <c r="H146" i="6"/>
  <c r="K145" i="6"/>
  <c r="I145" i="6"/>
  <c r="H145" i="6"/>
  <c r="H144" i="6"/>
  <c r="K143" i="6"/>
  <c r="I143" i="6"/>
  <c r="H143" i="6"/>
  <c r="H142" i="6"/>
  <c r="I141" i="6"/>
  <c r="H141" i="6"/>
  <c r="K141" i="6" s="1"/>
  <c r="K140" i="6"/>
  <c r="H140" i="6"/>
  <c r="I140" i="6" s="1"/>
  <c r="I139" i="6"/>
  <c r="H139" i="6"/>
  <c r="K139" i="6" s="1"/>
  <c r="K138" i="6"/>
  <c r="I138" i="6"/>
  <c r="H138" i="6"/>
  <c r="K137" i="6"/>
  <c r="I137" i="6"/>
  <c r="H137" i="6"/>
  <c r="K136" i="6"/>
  <c r="H136" i="6"/>
  <c r="I136" i="6" s="1"/>
  <c r="K135" i="6"/>
  <c r="I135" i="6"/>
  <c r="H135" i="6"/>
  <c r="K134" i="6"/>
  <c r="H134" i="6"/>
  <c r="I134" i="6" s="1"/>
  <c r="I133" i="6"/>
  <c r="H133" i="6"/>
  <c r="K133" i="6" s="1"/>
  <c r="H132" i="6"/>
  <c r="K132" i="6" s="1"/>
  <c r="I131" i="6"/>
  <c r="H131" i="6"/>
  <c r="K131" i="6" s="1"/>
  <c r="K130" i="6"/>
  <c r="I130" i="6"/>
  <c r="H130" i="6"/>
  <c r="K129" i="6"/>
  <c r="I129" i="6"/>
  <c r="H129" i="6"/>
  <c r="H128" i="6"/>
  <c r="K127" i="6"/>
  <c r="I127" i="6"/>
  <c r="H127" i="6"/>
  <c r="H126" i="6"/>
  <c r="H125" i="6"/>
  <c r="I125" i="6" s="1"/>
  <c r="K124" i="6"/>
  <c r="I124" i="6"/>
  <c r="H124" i="6"/>
  <c r="K123" i="6"/>
  <c r="H123" i="6"/>
  <c r="I123" i="6" s="1"/>
  <c r="H122" i="6"/>
  <c r="H121" i="6"/>
  <c r="I120" i="6"/>
  <c r="H120" i="6"/>
  <c r="K120" i="6" s="1"/>
  <c r="H119" i="6"/>
  <c r="K118" i="6"/>
  <c r="I118" i="6"/>
  <c r="H118" i="6"/>
  <c r="H117" i="6"/>
  <c r="H116" i="6"/>
  <c r="K115" i="6"/>
  <c r="H115" i="6"/>
  <c r="I115" i="6" s="1"/>
  <c r="I114" i="6"/>
  <c r="H114" i="6"/>
  <c r="K114" i="6" s="1"/>
  <c r="K113" i="6"/>
  <c r="I113" i="6"/>
  <c r="H113" i="6"/>
  <c r="I112" i="6"/>
  <c r="H112" i="6"/>
  <c r="K112" i="6" s="1"/>
  <c r="K111" i="6"/>
  <c r="I111" i="6"/>
  <c r="H111" i="6"/>
  <c r="K110" i="6"/>
  <c r="I110" i="6"/>
  <c r="H110" i="6"/>
  <c r="H109" i="6"/>
  <c r="I109" i="6" s="1"/>
  <c r="K108" i="6"/>
  <c r="I108" i="6"/>
  <c r="H108" i="6"/>
  <c r="K107" i="6"/>
  <c r="H107" i="6"/>
  <c r="I107" i="6" s="1"/>
  <c r="H106" i="6"/>
  <c r="K105" i="6"/>
  <c r="I105" i="6"/>
  <c r="H105" i="6"/>
  <c r="I104" i="6"/>
  <c r="H104" i="6"/>
  <c r="K104" i="6" s="1"/>
  <c r="H103" i="6"/>
  <c r="K102" i="6"/>
  <c r="I102" i="6"/>
  <c r="H102" i="6"/>
  <c r="H101" i="6"/>
  <c r="H100" i="6"/>
  <c r="K99" i="6"/>
  <c r="H99" i="6"/>
  <c r="I99" i="6" s="1"/>
  <c r="I98" i="6"/>
  <c r="H98" i="6"/>
  <c r="K98" i="6" s="1"/>
  <c r="K97" i="6"/>
  <c r="I97" i="6"/>
  <c r="H97" i="6"/>
  <c r="I96" i="6"/>
  <c r="H96" i="6"/>
  <c r="K96" i="6" s="1"/>
  <c r="K95" i="6"/>
  <c r="I95" i="6"/>
  <c r="H95" i="6"/>
  <c r="K94" i="6"/>
  <c r="I94" i="6"/>
  <c r="H94" i="6"/>
  <c r="H93" i="6"/>
  <c r="K92" i="6"/>
  <c r="I92" i="6"/>
  <c r="H92" i="6"/>
  <c r="K91" i="6"/>
  <c r="H91" i="6"/>
  <c r="I91" i="6" s="1"/>
  <c r="H90" i="6"/>
  <c r="I89" i="6"/>
  <c r="H89" i="6"/>
  <c r="K89" i="6" s="1"/>
  <c r="I88" i="6"/>
  <c r="H88" i="6"/>
  <c r="K88" i="6" s="1"/>
  <c r="H87" i="6"/>
  <c r="K86" i="6"/>
  <c r="I86" i="6"/>
  <c r="H86" i="6"/>
  <c r="H85" i="6"/>
  <c r="H84" i="6"/>
  <c r="K83" i="6"/>
  <c r="H83" i="6"/>
  <c r="I83" i="6" s="1"/>
  <c r="I82" i="6"/>
  <c r="H82" i="6"/>
  <c r="K82" i="6" s="1"/>
  <c r="K81" i="6"/>
  <c r="I81" i="6"/>
  <c r="H81" i="6"/>
  <c r="I80" i="6"/>
  <c r="H80" i="6"/>
  <c r="K80" i="6" s="1"/>
  <c r="K79" i="6"/>
  <c r="I79" i="6"/>
  <c r="H79" i="6"/>
  <c r="K78" i="6"/>
  <c r="I78" i="6"/>
  <c r="H78" i="6"/>
  <c r="H77" i="6"/>
  <c r="K76" i="6"/>
  <c r="I76" i="6"/>
  <c r="H76" i="6"/>
  <c r="K75" i="6"/>
  <c r="H75" i="6"/>
  <c r="I75" i="6" s="1"/>
  <c r="H74" i="6"/>
  <c r="I73" i="6"/>
  <c r="H73" i="6"/>
  <c r="K73" i="6" s="1"/>
  <c r="I72" i="6"/>
  <c r="H72" i="6"/>
  <c r="K72" i="6" s="1"/>
  <c r="H71" i="6"/>
  <c r="K70" i="6"/>
  <c r="I70" i="6"/>
  <c r="H70" i="6"/>
  <c r="H69" i="6"/>
  <c r="H68" i="6"/>
  <c r="H67" i="6"/>
  <c r="I66" i="6"/>
  <c r="H66" i="6"/>
  <c r="K66" i="6" s="1"/>
  <c r="K65" i="6"/>
  <c r="I65" i="6"/>
  <c r="H65" i="6"/>
  <c r="I64" i="6"/>
  <c r="H64" i="6"/>
  <c r="K64" i="6" s="1"/>
  <c r="K63" i="6"/>
  <c r="I63" i="6"/>
  <c r="H63" i="6"/>
  <c r="K62" i="6"/>
  <c r="I62" i="6"/>
  <c r="H62" i="6"/>
  <c r="K61" i="6"/>
  <c r="H61" i="6"/>
  <c r="I61" i="6" s="1"/>
  <c r="K60" i="6"/>
  <c r="I60" i="6"/>
  <c r="H60" i="6"/>
  <c r="K59" i="6"/>
  <c r="H59" i="6"/>
  <c r="I59" i="6" s="1"/>
  <c r="H58" i="6"/>
  <c r="H57" i="6"/>
  <c r="I56" i="6"/>
  <c r="H56" i="6"/>
  <c r="K56" i="6" s="1"/>
  <c r="H55" i="6"/>
  <c r="K54" i="6"/>
  <c r="I54" i="6"/>
  <c r="H54" i="6"/>
  <c r="H53" i="6"/>
  <c r="H52" i="6"/>
  <c r="K51" i="6"/>
  <c r="H51" i="6"/>
  <c r="I51" i="6" s="1"/>
  <c r="I50" i="6"/>
  <c r="H50" i="6"/>
  <c r="K50" i="6" s="1"/>
  <c r="K49" i="6"/>
  <c r="I49" i="6"/>
  <c r="H49" i="6"/>
  <c r="I48" i="6"/>
  <c r="H48" i="6"/>
  <c r="K48" i="6" s="1"/>
  <c r="K47" i="6"/>
  <c r="I47" i="6"/>
  <c r="H47" i="6"/>
  <c r="K46" i="6"/>
  <c r="I46" i="6"/>
  <c r="H46" i="6"/>
  <c r="K45" i="6"/>
  <c r="H45" i="6"/>
  <c r="I45" i="6" s="1"/>
  <c r="K44" i="6"/>
  <c r="I44" i="6"/>
  <c r="H44" i="6"/>
  <c r="K43" i="6"/>
  <c r="H43" i="6"/>
  <c r="I43" i="6" s="1"/>
  <c r="H42" i="6"/>
  <c r="K41" i="6"/>
  <c r="I41" i="6"/>
  <c r="H41" i="6"/>
  <c r="I40" i="6"/>
  <c r="H40" i="6"/>
  <c r="K40" i="6" s="1"/>
  <c r="H39" i="6"/>
  <c r="K38" i="6"/>
  <c r="I38" i="6"/>
  <c r="H38" i="6"/>
  <c r="H37" i="6"/>
  <c r="H36" i="6"/>
  <c r="K35" i="6"/>
  <c r="H35" i="6"/>
  <c r="I35" i="6" s="1"/>
  <c r="I34" i="6"/>
  <c r="H34" i="6"/>
  <c r="K34" i="6" s="1"/>
  <c r="K33" i="6"/>
  <c r="I33" i="6"/>
  <c r="H33" i="6"/>
  <c r="I32" i="6"/>
  <c r="H32" i="6"/>
  <c r="K32" i="6" s="1"/>
  <c r="K31" i="6"/>
  <c r="I31" i="6"/>
  <c r="H31" i="6"/>
  <c r="K30" i="6"/>
  <c r="I30" i="6"/>
  <c r="H30" i="6"/>
  <c r="H29" i="6"/>
  <c r="K28" i="6"/>
  <c r="I28" i="6"/>
  <c r="H28" i="6"/>
  <c r="K27" i="6"/>
  <c r="H27" i="6"/>
  <c r="I27" i="6" s="1"/>
  <c r="H26" i="6"/>
  <c r="I25" i="6"/>
  <c r="H25" i="6"/>
  <c r="K25" i="6" s="1"/>
  <c r="I24" i="6"/>
  <c r="H24" i="6"/>
  <c r="K24" i="6" s="1"/>
  <c r="H23" i="6"/>
  <c r="K22" i="6"/>
  <c r="I22" i="6"/>
  <c r="H22" i="6"/>
  <c r="H21" i="6"/>
  <c r="H20" i="6"/>
  <c r="K19" i="6"/>
  <c r="H19" i="6"/>
  <c r="I19" i="6" s="1"/>
  <c r="I18" i="6"/>
  <c r="H18" i="6"/>
  <c r="K18" i="6" s="1"/>
  <c r="K17" i="6"/>
  <c r="I17" i="6"/>
  <c r="H17" i="6"/>
  <c r="I16" i="6"/>
  <c r="H16" i="6"/>
  <c r="K16" i="6" s="1"/>
  <c r="K15" i="6"/>
  <c r="I15" i="6"/>
  <c r="H15" i="6"/>
  <c r="K14" i="6"/>
  <c r="I14" i="6"/>
  <c r="H14" i="6"/>
  <c r="H13" i="6"/>
  <c r="K12" i="6"/>
  <c r="I12" i="6"/>
  <c r="H12" i="6"/>
  <c r="K11" i="6"/>
  <c r="H11" i="6"/>
  <c r="I11" i="6" s="1"/>
  <c r="H10" i="6"/>
  <c r="I9" i="6"/>
  <c r="H9" i="6"/>
  <c r="K9" i="6" s="1"/>
  <c r="I8" i="6"/>
  <c r="H8" i="6"/>
  <c r="K8" i="6" s="1"/>
  <c r="H7" i="6"/>
  <c r="G215" i="5"/>
  <c r="H215" i="5" s="1"/>
  <c r="E215" i="5"/>
  <c r="F215" i="5" s="1"/>
  <c r="G214" i="5"/>
  <c r="E214" i="5"/>
  <c r="G213" i="5"/>
  <c r="H213" i="5" s="1"/>
  <c r="E213" i="5"/>
  <c r="F213" i="5" s="1"/>
  <c r="G212" i="5"/>
  <c r="E212" i="5"/>
  <c r="F212" i="5" s="1"/>
  <c r="G211" i="5"/>
  <c r="E211" i="5"/>
  <c r="F211" i="5" s="1"/>
  <c r="G210" i="5"/>
  <c r="H210" i="5" s="1"/>
  <c r="E210" i="5"/>
  <c r="F210" i="5" s="1"/>
  <c r="G209" i="5"/>
  <c r="E209" i="5"/>
  <c r="F209" i="5" s="1"/>
  <c r="G208" i="5"/>
  <c r="E208" i="5"/>
  <c r="F208" i="5" s="1"/>
  <c r="G207" i="5"/>
  <c r="E207" i="5"/>
  <c r="F207" i="5" s="1"/>
  <c r="G206" i="5"/>
  <c r="E206" i="5"/>
  <c r="F206" i="5" s="1"/>
  <c r="G205" i="5"/>
  <c r="E205" i="5"/>
  <c r="F205" i="5" s="1"/>
  <c r="G204" i="5"/>
  <c r="H204" i="5" s="1"/>
  <c r="E204" i="5"/>
  <c r="F204" i="5" s="1"/>
  <c r="G203" i="5"/>
  <c r="E203" i="5"/>
  <c r="F203" i="5" s="1"/>
  <c r="G202" i="5"/>
  <c r="E202" i="5"/>
  <c r="F202" i="5" s="1"/>
  <c r="G201" i="5"/>
  <c r="E201" i="5"/>
  <c r="F201" i="5" s="1"/>
  <c r="G200" i="5"/>
  <c r="E200" i="5"/>
  <c r="F200" i="5" s="1"/>
  <c r="G199" i="5"/>
  <c r="E199" i="5"/>
  <c r="F199" i="5" s="1"/>
  <c r="G198" i="5"/>
  <c r="E198" i="5"/>
  <c r="F198" i="5" s="1"/>
  <c r="G197" i="5"/>
  <c r="E197" i="5"/>
  <c r="F197" i="5" s="1"/>
  <c r="G196" i="5"/>
  <c r="E196" i="5"/>
  <c r="F196" i="5" s="1"/>
  <c r="G195" i="5"/>
  <c r="E195" i="5"/>
  <c r="F195" i="5" s="1"/>
  <c r="G194" i="5"/>
  <c r="H194" i="5" s="1"/>
  <c r="E194" i="5"/>
  <c r="F194" i="5" s="1"/>
  <c r="G193" i="5"/>
  <c r="E193" i="5"/>
  <c r="F193" i="5" s="1"/>
  <c r="G192" i="5"/>
  <c r="E192" i="5"/>
  <c r="F192" i="5" s="1"/>
  <c r="G191" i="5"/>
  <c r="E191" i="5"/>
  <c r="F191" i="5" s="1"/>
  <c r="G190" i="5"/>
  <c r="E190" i="5"/>
  <c r="F190" i="5" s="1"/>
  <c r="G189" i="5"/>
  <c r="E189" i="5"/>
  <c r="F189" i="5" s="1"/>
  <c r="G188" i="5"/>
  <c r="E188" i="5"/>
  <c r="F188" i="5" s="1"/>
  <c r="G187" i="5"/>
  <c r="E187" i="5"/>
  <c r="F187" i="5" s="1"/>
  <c r="G186" i="5"/>
  <c r="E186" i="5"/>
  <c r="F186" i="5" s="1"/>
  <c r="G185" i="5"/>
  <c r="E185" i="5"/>
  <c r="F185" i="5" s="1"/>
  <c r="G184" i="5"/>
  <c r="E184" i="5"/>
  <c r="F184" i="5" s="1"/>
  <c r="G183" i="5"/>
  <c r="E183" i="5"/>
  <c r="F183" i="5" s="1"/>
  <c r="G182" i="5"/>
  <c r="E182" i="5"/>
  <c r="G181" i="5"/>
  <c r="E181" i="5"/>
  <c r="F181" i="5" s="1"/>
  <c r="G180" i="5"/>
  <c r="E180" i="5"/>
  <c r="F180" i="5" s="1"/>
  <c r="G179" i="5"/>
  <c r="E179" i="5"/>
  <c r="F179" i="5" s="1"/>
  <c r="G178" i="5"/>
  <c r="E178" i="5"/>
  <c r="F178" i="5" s="1"/>
  <c r="G177" i="5"/>
  <c r="E177" i="5"/>
  <c r="F177" i="5" s="1"/>
  <c r="G176" i="5"/>
  <c r="F176" i="5"/>
  <c r="E176" i="5"/>
  <c r="G175" i="5"/>
  <c r="E175" i="5"/>
  <c r="F175" i="5" s="1"/>
  <c r="G174" i="5"/>
  <c r="E174" i="5"/>
  <c r="F174" i="5" s="1"/>
  <c r="G173" i="5"/>
  <c r="E173" i="5"/>
  <c r="F173" i="5" s="1"/>
  <c r="H172" i="5"/>
  <c r="G172" i="5"/>
  <c r="E172" i="5"/>
  <c r="F172" i="5" s="1"/>
  <c r="G171" i="5"/>
  <c r="E171" i="5"/>
  <c r="F171" i="5" s="1"/>
  <c r="G170" i="5"/>
  <c r="E170" i="5"/>
  <c r="F170" i="5" s="1"/>
  <c r="G169" i="5"/>
  <c r="E169" i="5"/>
  <c r="F169" i="5" s="1"/>
  <c r="G168" i="5"/>
  <c r="E168" i="5"/>
  <c r="F168" i="5" s="1"/>
  <c r="G167" i="5"/>
  <c r="E167" i="5"/>
  <c r="F167" i="5" s="1"/>
  <c r="G166" i="5"/>
  <c r="E166" i="5"/>
  <c r="F166" i="5" s="1"/>
  <c r="G165" i="5"/>
  <c r="E165" i="5"/>
  <c r="F165" i="5" s="1"/>
  <c r="G164" i="5"/>
  <c r="H164" i="5" s="1"/>
  <c r="E164" i="5"/>
  <c r="F164" i="5" s="1"/>
  <c r="G163" i="5"/>
  <c r="E163" i="5"/>
  <c r="F163" i="5" s="1"/>
  <c r="G162" i="5"/>
  <c r="H162" i="5" s="1"/>
  <c r="F162" i="5"/>
  <c r="E162" i="5"/>
  <c r="G161" i="5"/>
  <c r="E161" i="5"/>
  <c r="F161" i="5" s="1"/>
  <c r="G160" i="5"/>
  <c r="H160" i="5" s="1"/>
  <c r="E160" i="5"/>
  <c r="F160" i="5" s="1"/>
  <c r="G159" i="5"/>
  <c r="E159" i="5"/>
  <c r="F159" i="5" s="1"/>
  <c r="H158" i="5"/>
  <c r="G158" i="5"/>
  <c r="E158" i="5"/>
  <c r="F158" i="5" s="1"/>
  <c r="G157" i="5"/>
  <c r="E157" i="5"/>
  <c r="F157" i="5" s="1"/>
  <c r="G156" i="5"/>
  <c r="E156" i="5"/>
  <c r="F156" i="5" s="1"/>
  <c r="G155" i="5"/>
  <c r="E155" i="5"/>
  <c r="F155" i="5" s="1"/>
  <c r="G154" i="5"/>
  <c r="E154" i="5"/>
  <c r="F154" i="5" s="1"/>
  <c r="G153" i="5"/>
  <c r="E153" i="5"/>
  <c r="F153" i="5" s="1"/>
  <c r="G152" i="5"/>
  <c r="E152" i="5"/>
  <c r="F152" i="5" s="1"/>
  <c r="G151" i="5"/>
  <c r="E151" i="5"/>
  <c r="F151" i="5" s="1"/>
  <c r="G150" i="5"/>
  <c r="E150" i="5"/>
  <c r="G149" i="5"/>
  <c r="E149" i="5"/>
  <c r="F149" i="5" s="1"/>
  <c r="G148" i="5"/>
  <c r="E148" i="5"/>
  <c r="F148" i="5" s="1"/>
  <c r="G147" i="5"/>
  <c r="E147" i="5"/>
  <c r="F147" i="5" s="1"/>
  <c r="G146" i="5"/>
  <c r="E146" i="5"/>
  <c r="F146" i="5" s="1"/>
  <c r="G145" i="5"/>
  <c r="E145" i="5"/>
  <c r="F145" i="5" s="1"/>
  <c r="G144" i="5"/>
  <c r="E144" i="5"/>
  <c r="F144" i="5" s="1"/>
  <c r="G143" i="5"/>
  <c r="E143" i="5"/>
  <c r="F143" i="5" s="1"/>
  <c r="G142" i="5"/>
  <c r="E142" i="5"/>
  <c r="F142" i="5" s="1"/>
  <c r="G141" i="5"/>
  <c r="E141" i="5"/>
  <c r="F141" i="5" s="1"/>
  <c r="G140" i="5"/>
  <c r="E140" i="5"/>
  <c r="F140" i="5" s="1"/>
  <c r="G139" i="5"/>
  <c r="E139" i="5"/>
  <c r="F139" i="5" s="1"/>
  <c r="G138" i="5"/>
  <c r="H138" i="5" s="1"/>
  <c r="E138" i="5"/>
  <c r="F138" i="5" s="1"/>
  <c r="G137" i="5"/>
  <c r="E137" i="5"/>
  <c r="F137" i="5" s="1"/>
  <c r="G136" i="5"/>
  <c r="E136" i="5"/>
  <c r="F136" i="5" s="1"/>
  <c r="G135" i="5"/>
  <c r="H135" i="5" s="1"/>
  <c r="E135" i="5"/>
  <c r="F135" i="5" s="1"/>
  <c r="G134" i="5"/>
  <c r="E134" i="5"/>
  <c r="F134" i="5" s="1"/>
  <c r="G133" i="5"/>
  <c r="H133" i="5" s="1"/>
  <c r="E133" i="5"/>
  <c r="F133" i="5" s="1"/>
  <c r="G132" i="5"/>
  <c r="E132" i="5"/>
  <c r="F132" i="5" s="1"/>
  <c r="G131" i="5"/>
  <c r="E131" i="5"/>
  <c r="F131" i="5" s="1"/>
  <c r="G130" i="5"/>
  <c r="H130" i="5" s="1"/>
  <c r="E130" i="5"/>
  <c r="F130" i="5" s="1"/>
  <c r="G129" i="5"/>
  <c r="H129" i="5" s="1"/>
  <c r="E129" i="5"/>
  <c r="F129" i="5" s="1"/>
  <c r="G128" i="5"/>
  <c r="E128" i="5"/>
  <c r="F128" i="5" s="1"/>
  <c r="G127" i="5"/>
  <c r="H127" i="5" s="1"/>
  <c r="E127" i="5"/>
  <c r="F127" i="5" s="1"/>
  <c r="G126" i="5"/>
  <c r="H126" i="5" s="1"/>
  <c r="E126" i="5"/>
  <c r="F126" i="5" s="1"/>
  <c r="G125" i="5"/>
  <c r="E125" i="5"/>
  <c r="F125" i="5" s="1"/>
  <c r="G124" i="5"/>
  <c r="H124" i="5" s="1"/>
  <c r="E124" i="5"/>
  <c r="F124" i="5" s="1"/>
  <c r="G123" i="5"/>
  <c r="E123" i="5"/>
  <c r="F123" i="5" s="1"/>
  <c r="G122" i="5"/>
  <c r="H122" i="5" s="1"/>
  <c r="E122" i="5"/>
  <c r="F122" i="5" s="1"/>
  <c r="G121" i="5"/>
  <c r="E121" i="5"/>
  <c r="F121" i="5" s="1"/>
  <c r="G120" i="5"/>
  <c r="E120" i="5"/>
  <c r="F120" i="5" s="1"/>
  <c r="G119" i="5"/>
  <c r="E119" i="5"/>
  <c r="F119" i="5" s="1"/>
  <c r="G118" i="5"/>
  <c r="E118" i="5"/>
  <c r="G117" i="5"/>
  <c r="E117" i="5"/>
  <c r="F117" i="5" s="1"/>
  <c r="G116" i="5"/>
  <c r="H116" i="5" s="1"/>
  <c r="E116" i="5"/>
  <c r="F116" i="5" s="1"/>
  <c r="G115" i="5"/>
  <c r="E115" i="5"/>
  <c r="F115" i="5" s="1"/>
  <c r="G114" i="5"/>
  <c r="H114" i="5" s="1"/>
  <c r="E114" i="5"/>
  <c r="F114" i="5" s="1"/>
  <c r="G113" i="5"/>
  <c r="E113" i="5"/>
  <c r="F113" i="5" s="1"/>
  <c r="G112" i="5"/>
  <c r="E112" i="5"/>
  <c r="F112" i="5" s="1"/>
  <c r="G111" i="5"/>
  <c r="E111" i="5"/>
  <c r="F111" i="5" s="1"/>
  <c r="G110" i="5"/>
  <c r="E110" i="5"/>
  <c r="F110" i="5" s="1"/>
  <c r="G109" i="5"/>
  <c r="E109" i="5"/>
  <c r="F109" i="5" s="1"/>
  <c r="G108" i="5"/>
  <c r="E108" i="5"/>
  <c r="F108" i="5" s="1"/>
  <c r="G107" i="5"/>
  <c r="E107" i="5"/>
  <c r="F107" i="5" s="1"/>
  <c r="G106" i="5"/>
  <c r="E106" i="5"/>
  <c r="F106" i="5" s="1"/>
  <c r="G105" i="5"/>
  <c r="E105" i="5"/>
  <c r="F105" i="5" s="1"/>
  <c r="G104" i="5"/>
  <c r="E104" i="5"/>
  <c r="F104" i="5" s="1"/>
  <c r="G103" i="5"/>
  <c r="E103" i="5"/>
  <c r="F103" i="5" s="1"/>
  <c r="G102" i="5"/>
  <c r="E102" i="5"/>
  <c r="F102" i="5" s="1"/>
  <c r="G101" i="5"/>
  <c r="E101" i="5"/>
  <c r="F101" i="5" s="1"/>
  <c r="G100" i="5"/>
  <c r="H100" i="5" s="1"/>
  <c r="E100" i="5"/>
  <c r="F100" i="5" s="1"/>
  <c r="G99" i="5"/>
  <c r="E99" i="5"/>
  <c r="F99" i="5" s="1"/>
  <c r="G98" i="5"/>
  <c r="E98" i="5"/>
  <c r="F98" i="5" s="1"/>
  <c r="G97" i="5"/>
  <c r="E97" i="5"/>
  <c r="F97" i="5" s="1"/>
  <c r="G96" i="5"/>
  <c r="E96" i="5"/>
  <c r="F96" i="5" s="1"/>
  <c r="G95" i="5"/>
  <c r="E95" i="5"/>
  <c r="F95" i="5" s="1"/>
  <c r="G94" i="5"/>
  <c r="H94" i="5" s="1"/>
  <c r="E94" i="5"/>
  <c r="F94" i="5" s="1"/>
  <c r="G93" i="5"/>
  <c r="E93" i="5"/>
  <c r="F93" i="5" s="1"/>
  <c r="G92" i="5"/>
  <c r="H92" i="5" s="1"/>
  <c r="E92" i="5"/>
  <c r="F92" i="5" s="1"/>
  <c r="G91" i="5"/>
  <c r="E91" i="5"/>
  <c r="F91" i="5" s="1"/>
  <c r="G90" i="5"/>
  <c r="H90" i="5" s="1"/>
  <c r="E90" i="5"/>
  <c r="F90" i="5" s="1"/>
  <c r="G89" i="5"/>
  <c r="E89" i="5"/>
  <c r="F89" i="5" s="1"/>
  <c r="G88" i="5"/>
  <c r="E88" i="5"/>
  <c r="F88" i="5" s="1"/>
  <c r="G87" i="5"/>
  <c r="E87" i="5"/>
  <c r="F87" i="5" s="1"/>
  <c r="G86" i="5"/>
  <c r="E86" i="5"/>
  <c r="G85" i="5"/>
  <c r="E85" i="5"/>
  <c r="F85" i="5" s="1"/>
  <c r="G84" i="5"/>
  <c r="H84" i="5" s="1"/>
  <c r="E84" i="5"/>
  <c r="F84" i="5" s="1"/>
  <c r="G83" i="5"/>
  <c r="E83" i="5"/>
  <c r="F83" i="5" s="1"/>
  <c r="G82" i="5"/>
  <c r="H82" i="5" s="1"/>
  <c r="E82" i="5"/>
  <c r="F82" i="5" s="1"/>
  <c r="G81" i="5"/>
  <c r="E81" i="5"/>
  <c r="F81" i="5" s="1"/>
  <c r="G80" i="5"/>
  <c r="E80" i="5"/>
  <c r="F80" i="5" s="1"/>
  <c r="G79" i="5"/>
  <c r="E79" i="5"/>
  <c r="F79" i="5" s="1"/>
  <c r="G78" i="5"/>
  <c r="E78" i="5"/>
  <c r="F78" i="5" s="1"/>
  <c r="G77" i="5"/>
  <c r="E77" i="5"/>
  <c r="F77" i="5" s="1"/>
  <c r="G76" i="5"/>
  <c r="H76" i="5" s="1"/>
  <c r="E76" i="5"/>
  <c r="F76" i="5" s="1"/>
  <c r="G75" i="5"/>
  <c r="E75" i="5"/>
  <c r="F75" i="5" s="1"/>
  <c r="G74" i="5"/>
  <c r="H74" i="5" s="1"/>
  <c r="E74" i="5"/>
  <c r="F74" i="5" s="1"/>
  <c r="G73" i="5"/>
  <c r="E73" i="5"/>
  <c r="F73" i="5" s="1"/>
  <c r="G72" i="5"/>
  <c r="E72" i="5"/>
  <c r="F72" i="5" s="1"/>
  <c r="G71" i="5"/>
  <c r="E71" i="5"/>
  <c r="F71" i="5" s="1"/>
  <c r="G70" i="5"/>
  <c r="E70" i="5"/>
  <c r="F70" i="5" s="1"/>
  <c r="G69" i="5"/>
  <c r="E69" i="5"/>
  <c r="F69" i="5" s="1"/>
  <c r="G68" i="5"/>
  <c r="E68" i="5"/>
  <c r="F68" i="5" s="1"/>
  <c r="G67" i="5"/>
  <c r="E67" i="5"/>
  <c r="F67" i="5" s="1"/>
  <c r="G66" i="5"/>
  <c r="E66" i="5"/>
  <c r="F66" i="5" s="1"/>
  <c r="G65" i="5"/>
  <c r="E65" i="5"/>
  <c r="F65" i="5" s="1"/>
  <c r="G64" i="5"/>
  <c r="E64" i="5"/>
  <c r="F64" i="5" s="1"/>
  <c r="G63" i="5"/>
  <c r="E63" i="5"/>
  <c r="F63" i="5" s="1"/>
  <c r="G62" i="5"/>
  <c r="E62" i="5"/>
  <c r="F62" i="5" s="1"/>
  <c r="G61" i="5"/>
  <c r="E61" i="5"/>
  <c r="F61" i="5" s="1"/>
  <c r="G60" i="5"/>
  <c r="F60" i="5"/>
  <c r="E60" i="5"/>
  <c r="G59" i="5"/>
  <c r="E59" i="5"/>
  <c r="F59" i="5" s="1"/>
  <c r="G58" i="5"/>
  <c r="E58" i="5"/>
  <c r="F58" i="5" s="1"/>
  <c r="G57" i="5"/>
  <c r="E57" i="5"/>
  <c r="F57" i="5" s="1"/>
  <c r="G56" i="5"/>
  <c r="E56" i="5"/>
  <c r="F56" i="5" s="1"/>
  <c r="G55" i="5"/>
  <c r="E55" i="5"/>
  <c r="F55" i="5" s="1"/>
  <c r="G54" i="5"/>
  <c r="E54" i="5"/>
  <c r="G53" i="5"/>
  <c r="E53" i="5"/>
  <c r="F53" i="5" s="1"/>
  <c r="G52" i="5"/>
  <c r="F52" i="5"/>
  <c r="E52" i="5"/>
  <c r="G51" i="5"/>
  <c r="E51" i="5"/>
  <c r="F51" i="5" s="1"/>
  <c r="H50" i="5"/>
  <c r="G50" i="5"/>
  <c r="E50" i="5"/>
  <c r="F50" i="5" s="1"/>
  <c r="G49" i="5"/>
  <c r="E49" i="5"/>
  <c r="F49" i="5" s="1"/>
  <c r="G48" i="5"/>
  <c r="E48" i="5"/>
  <c r="F48" i="5" s="1"/>
  <c r="G47" i="5"/>
  <c r="E47" i="5"/>
  <c r="F47" i="5" s="1"/>
  <c r="G46" i="5"/>
  <c r="E46" i="5"/>
  <c r="F46" i="5" s="1"/>
  <c r="G45" i="5"/>
  <c r="E45" i="5"/>
  <c r="F45" i="5" s="1"/>
  <c r="G44" i="5"/>
  <c r="E44" i="5"/>
  <c r="F44" i="5" s="1"/>
  <c r="G43" i="5"/>
  <c r="E43" i="5"/>
  <c r="F43" i="5" s="1"/>
  <c r="G42" i="5"/>
  <c r="E42" i="5"/>
  <c r="F42" i="5" s="1"/>
  <c r="G41" i="5"/>
  <c r="E41" i="5"/>
  <c r="F41" i="5" s="1"/>
  <c r="G40" i="5"/>
  <c r="E40" i="5"/>
  <c r="F40" i="5" s="1"/>
  <c r="G39" i="5"/>
  <c r="E39" i="5"/>
  <c r="F39" i="5" s="1"/>
  <c r="G38" i="5"/>
  <c r="E38" i="5"/>
  <c r="F38" i="5" s="1"/>
  <c r="G37" i="5"/>
  <c r="E37" i="5"/>
  <c r="F37" i="5" s="1"/>
  <c r="G36" i="5"/>
  <c r="E36" i="5"/>
  <c r="F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G31" i="5"/>
  <c r="E31" i="5"/>
  <c r="F31" i="5" s="1"/>
  <c r="G30" i="5"/>
  <c r="E30" i="5"/>
  <c r="F30" i="5" s="1"/>
  <c r="G29" i="5"/>
  <c r="E29" i="5"/>
  <c r="F29" i="5" s="1"/>
  <c r="G28" i="5"/>
  <c r="H28" i="5" s="1"/>
  <c r="E28" i="5"/>
  <c r="F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G23" i="5"/>
  <c r="E23" i="5"/>
  <c r="F23" i="5" s="1"/>
  <c r="G22" i="5"/>
  <c r="E22" i="5"/>
  <c r="G21" i="5"/>
  <c r="E21" i="5"/>
  <c r="F21" i="5" s="1"/>
  <c r="G20" i="5"/>
  <c r="H20" i="5" s="1"/>
  <c r="E20" i="5"/>
  <c r="F20" i="5" s="1"/>
  <c r="G19" i="5"/>
  <c r="E19" i="5"/>
  <c r="F19" i="5" s="1"/>
  <c r="G18" i="5"/>
  <c r="H18" i="5" s="1"/>
  <c r="E18" i="5"/>
  <c r="F18" i="5" s="1"/>
  <c r="G17" i="5"/>
  <c r="E17" i="5"/>
  <c r="F17" i="5" s="1"/>
  <c r="G16" i="5"/>
  <c r="E16" i="5"/>
  <c r="F16" i="5" s="1"/>
  <c r="G15" i="5"/>
  <c r="E15" i="5"/>
  <c r="F15" i="5" s="1"/>
  <c r="G14" i="5"/>
  <c r="E14" i="5"/>
  <c r="F14" i="5" s="1"/>
  <c r="G13" i="5"/>
  <c r="E13" i="5"/>
  <c r="F13" i="5" s="1"/>
  <c r="G12" i="5"/>
  <c r="E12" i="5"/>
  <c r="F12" i="5" s="1"/>
  <c r="G11" i="5"/>
  <c r="E11" i="5"/>
  <c r="F11" i="5" s="1"/>
  <c r="G10" i="5"/>
  <c r="H10" i="5" s="1"/>
  <c r="F10" i="5"/>
  <c r="E10" i="5"/>
  <c r="G9" i="5"/>
  <c r="E9" i="5"/>
  <c r="F9" i="5" s="1"/>
  <c r="G8" i="5"/>
  <c r="H8" i="5" s="1"/>
  <c r="E8" i="5"/>
  <c r="F8" i="5" s="1"/>
  <c r="E7" i="5"/>
  <c r="H7" i="5" s="1"/>
  <c r="J215" i="4"/>
  <c r="K215" i="4" s="1"/>
  <c r="I215" i="4"/>
  <c r="H215" i="4"/>
  <c r="K214" i="4"/>
  <c r="J214" i="4"/>
  <c r="I214" i="4"/>
  <c r="H214" i="4"/>
  <c r="J213" i="4"/>
  <c r="K213" i="4" s="1"/>
  <c r="I213" i="4"/>
  <c r="H213" i="4"/>
  <c r="K212" i="4"/>
  <c r="J212" i="4"/>
  <c r="I212" i="4"/>
  <c r="H212" i="4"/>
  <c r="J211" i="4"/>
  <c r="K211" i="4" s="1"/>
  <c r="I211" i="4"/>
  <c r="H211" i="4"/>
  <c r="K210" i="4"/>
  <c r="J210" i="4"/>
  <c r="I210" i="4"/>
  <c r="H210" i="4"/>
  <c r="J209" i="4"/>
  <c r="K209" i="4" s="1"/>
  <c r="I209" i="4"/>
  <c r="H209" i="4"/>
  <c r="K208" i="4"/>
  <c r="J208" i="4"/>
  <c r="I208" i="4"/>
  <c r="H208" i="4"/>
  <c r="J207" i="4"/>
  <c r="K207" i="4" s="1"/>
  <c r="I207" i="4"/>
  <c r="H207" i="4"/>
  <c r="K206" i="4"/>
  <c r="J206" i="4"/>
  <c r="I206" i="4"/>
  <c r="H206" i="4"/>
  <c r="J205" i="4"/>
  <c r="K205" i="4" s="1"/>
  <c r="I205" i="4"/>
  <c r="H205" i="4"/>
  <c r="K204" i="4"/>
  <c r="J204" i="4"/>
  <c r="I204" i="4"/>
  <c r="H204" i="4"/>
  <c r="J203" i="4"/>
  <c r="K203" i="4" s="1"/>
  <c r="I203" i="4"/>
  <c r="H203" i="4"/>
  <c r="K202" i="4"/>
  <c r="J202" i="4"/>
  <c r="I202" i="4"/>
  <c r="H202" i="4"/>
  <c r="J201" i="4"/>
  <c r="K201" i="4" s="1"/>
  <c r="I201" i="4"/>
  <c r="H201" i="4"/>
  <c r="K200" i="4"/>
  <c r="J200" i="4"/>
  <c r="I200" i="4"/>
  <c r="H200" i="4"/>
  <c r="J199" i="4"/>
  <c r="K199" i="4" s="1"/>
  <c r="I199" i="4"/>
  <c r="H199" i="4"/>
  <c r="K198" i="4"/>
  <c r="J198" i="4"/>
  <c r="I198" i="4"/>
  <c r="H198" i="4"/>
  <c r="J197" i="4"/>
  <c r="K197" i="4" s="1"/>
  <c r="I197" i="4"/>
  <c r="H197" i="4"/>
  <c r="K196" i="4"/>
  <c r="J196" i="4"/>
  <c r="I196" i="4"/>
  <c r="H196" i="4"/>
  <c r="J195" i="4"/>
  <c r="K195" i="4" s="1"/>
  <c r="I195" i="4"/>
  <c r="H195" i="4"/>
  <c r="K194" i="4"/>
  <c r="J194" i="4"/>
  <c r="I194" i="4"/>
  <c r="H194" i="4"/>
  <c r="J193" i="4"/>
  <c r="K193" i="4" s="1"/>
  <c r="I193" i="4"/>
  <c r="H193" i="4"/>
  <c r="K192" i="4"/>
  <c r="J192" i="4"/>
  <c r="I192" i="4"/>
  <c r="H192" i="4"/>
  <c r="J191" i="4"/>
  <c r="K191" i="4" s="1"/>
  <c r="I191" i="4"/>
  <c r="H191" i="4"/>
  <c r="K190" i="4"/>
  <c r="J190" i="4"/>
  <c r="I190" i="4"/>
  <c r="H190" i="4"/>
  <c r="J189" i="4"/>
  <c r="K189" i="4" s="1"/>
  <c r="I189" i="4"/>
  <c r="H189" i="4"/>
  <c r="K188" i="4"/>
  <c r="J188" i="4"/>
  <c r="I188" i="4"/>
  <c r="H188" i="4"/>
  <c r="J187" i="4"/>
  <c r="K187" i="4" s="1"/>
  <c r="I187" i="4"/>
  <c r="H187" i="4"/>
  <c r="K186" i="4"/>
  <c r="J186" i="4"/>
  <c r="I186" i="4"/>
  <c r="H186" i="4"/>
  <c r="J185" i="4"/>
  <c r="K185" i="4" s="1"/>
  <c r="I185" i="4"/>
  <c r="H185" i="4"/>
  <c r="K184" i="4"/>
  <c r="J184" i="4"/>
  <c r="I184" i="4"/>
  <c r="H184" i="4"/>
  <c r="J183" i="4"/>
  <c r="K183" i="4" s="1"/>
  <c r="I183" i="4"/>
  <c r="H183" i="4"/>
  <c r="K182" i="4"/>
  <c r="J182" i="4"/>
  <c r="I182" i="4"/>
  <c r="H182" i="4"/>
  <c r="J181" i="4"/>
  <c r="K181" i="4" s="1"/>
  <c r="I181" i="4"/>
  <c r="H181" i="4"/>
  <c r="K180" i="4"/>
  <c r="J180" i="4"/>
  <c r="I180" i="4"/>
  <c r="H180" i="4"/>
  <c r="J179" i="4"/>
  <c r="K179" i="4" s="1"/>
  <c r="I179" i="4"/>
  <c r="H179" i="4"/>
  <c r="K178" i="4"/>
  <c r="J178" i="4"/>
  <c r="I178" i="4"/>
  <c r="H178" i="4"/>
  <c r="J177" i="4"/>
  <c r="K177" i="4" s="1"/>
  <c r="I177" i="4"/>
  <c r="H177" i="4"/>
  <c r="K176" i="4"/>
  <c r="J176" i="4"/>
  <c r="I176" i="4"/>
  <c r="H176" i="4"/>
  <c r="J175" i="4"/>
  <c r="K175" i="4" s="1"/>
  <c r="I175" i="4"/>
  <c r="H175" i="4"/>
  <c r="K174" i="4"/>
  <c r="J174" i="4"/>
  <c r="I174" i="4"/>
  <c r="H174" i="4"/>
  <c r="J173" i="4"/>
  <c r="K173" i="4" s="1"/>
  <c r="I173" i="4"/>
  <c r="H173" i="4"/>
  <c r="K172" i="4"/>
  <c r="J172" i="4"/>
  <c r="I172" i="4"/>
  <c r="H172" i="4"/>
  <c r="J171" i="4"/>
  <c r="K171" i="4" s="1"/>
  <c r="I171" i="4"/>
  <c r="H171" i="4"/>
  <c r="K170" i="4"/>
  <c r="J170" i="4"/>
  <c r="I170" i="4"/>
  <c r="H170" i="4"/>
  <c r="J169" i="4"/>
  <c r="K169" i="4" s="1"/>
  <c r="I169" i="4"/>
  <c r="H169" i="4"/>
  <c r="K168" i="4"/>
  <c r="J168" i="4"/>
  <c r="I168" i="4"/>
  <c r="H168" i="4"/>
  <c r="J167" i="4"/>
  <c r="K167" i="4" s="1"/>
  <c r="I167" i="4"/>
  <c r="H167" i="4"/>
  <c r="K166" i="4"/>
  <c r="J166" i="4"/>
  <c r="I166" i="4"/>
  <c r="H166" i="4"/>
  <c r="J165" i="4"/>
  <c r="K165" i="4" s="1"/>
  <c r="I165" i="4"/>
  <c r="H165" i="4"/>
  <c r="K164" i="4"/>
  <c r="J164" i="4"/>
  <c r="I164" i="4"/>
  <c r="H164" i="4"/>
  <c r="J163" i="4"/>
  <c r="K163" i="4" s="1"/>
  <c r="I163" i="4"/>
  <c r="H163" i="4"/>
  <c r="K162" i="4"/>
  <c r="J162" i="4"/>
  <c r="I162" i="4"/>
  <c r="H162" i="4"/>
  <c r="J161" i="4"/>
  <c r="K161" i="4" s="1"/>
  <c r="I161" i="4"/>
  <c r="H161" i="4"/>
  <c r="K160" i="4"/>
  <c r="J160" i="4"/>
  <c r="I160" i="4"/>
  <c r="H160" i="4"/>
  <c r="J159" i="4"/>
  <c r="K159" i="4" s="1"/>
  <c r="I159" i="4"/>
  <c r="H159" i="4"/>
  <c r="K158" i="4"/>
  <c r="J158" i="4"/>
  <c r="I158" i="4"/>
  <c r="H158" i="4"/>
  <c r="J157" i="4"/>
  <c r="K157" i="4" s="1"/>
  <c r="I157" i="4"/>
  <c r="H157" i="4"/>
  <c r="K156" i="4"/>
  <c r="J156" i="4"/>
  <c r="I156" i="4"/>
  <c r="H156" i="4"/>
  <c r="J155" i="4"/>
  <c r="K155" i="4" s="1"/>
  <c r="I155" i="4"/>
  <c r="H155" i="4"/>
  <c r="K154" i="4"/>
  <c r="J154" i="4"/>
  <c r="I154" i="4"/>
  <c r="H154" i="4"/>
  <c r="J153" i="4"/>
  <c r="K153" i="4" s="1"/>
  <c r="I153" i="4"/>
  <c r="H153" i="4"/>
  <c r="K152" i="4"/>
  <c r="J152" i="4"/>
  <c r="I152" i="4"/>
  <c r="H152" i="4"/>
  <c r="J151" i="4"/>
  <c r="K151" i="4" s="1"/>
  <c r="I151" i="4"/>
  <c r="H151" i="4"/>
  <c r="K150" i="4"/>
  <c r="J150" i="4"/>
  <c r="I150" i="4"/>
  <c r="H150" i="4"/>
  <c r="J149" i="4"/>
  <c r="K149" i="4" s="1"/>
  <c r="I149" i="4"/>
  <c r="H149" i="4"/>
  <c r="K148" i="4"/>
  <c r="J148" i="4"/>
  <c r="I148" i="4"/>
  <c r="H148" i="4"/>
  <c r="J147" i="4"/>
  <c r="K147" i="4" s="1"/>
  <c r="I147" i="4"/>
  <c r="H147" i="4"/>
  <c r="K146" i="4"/>
  <c r="J146" i="4"/>
  <c r="I146" i="4"/>
  <c r="H146" i="4"/>
  <c r="J145" i="4"/>
  <c r="K145" i="4" s="1"/>
  <c r="I145" i="4"/>
  <c r="H145" i="4"/>
  <c r="K144" i="4"/>
  <c r="J144" i="4"/>
  <c r="I144" i="4"/>
  <c r="H144" i="4"/>
  <c r="J143" i="4"/>
  <c r="K143" i="4" s="1"/>
  <c r="I143" i="4"/>
  <c r="H143" i="4"/>
  <c r="J142" i="4"/>
  <c r="H142" i="4"/>
  <c r="J141" i="4"/>
  <c r="K141" i="4" s="1"/>
  <c r="I141" i="4"/>
  <c r="H141" i="4"/>
  <c r="K140" i="4"/>
  <c r="J140" i="4"/>
  <c r="I140" i="4"/>
  <c r="H140" i="4"/>
  <c r="J139" i="4"/>
  <c r="K139" i="4" s="1"/>
  <c r="I139" i="4"/>
  <c r="H139" i="4"/>
  <c r="J138" i="4"/>
  <c r="H138" i="4"/>
  <c r="J137" i="4"/>
  <c r="K137" i="4" s="1"/>
  <c r="I137" i="4"/>
  <c r="H137" i="4"/>
  <c r="J136" i="4"/>
  <c r="I136" i="4"/>
  <c r="H136" i="4"/>
  <c r="K136" i="4" s="1"/>
  <c r="J135" i="4"/>
  <c r="K135" i="4" s="1"/>
  <c r="I135" i="4"/>
  <c r="H135" i="4"/>
  <c r="J134" i="4"/>
  <c r="I134" i="4"/>
  <c r="H134" i="4"/>
  <c r="K134" i="4" s="1"/>
  <c r="J133" i="4"/>
  <c r="K133" i="4" s="1"/>
  <c r="I133" i="4"/>
  <c r="H133" i="4"/>
  <c r="K132" i="4"/>
  <c r="J132" i="4"/>
  <c r="H132" i="4"/>
  <c r="I132" i="4" s="1"/>
  <c r="J131" i="4"/>
  <c r="K131" i="4" s="1"/>
  <c r="I131" i="4"/>
  <c r="H131" i="4"/>
  <c r="K130" i="4"/>
  <c r="J130" i="4"/>
  <c r="I130" i="4"/>
  <c r="H130" i="4"/>
  <c r="J129" i="4"/>
  <c r="K129" i="4" s="1"/>
  <c r="I129" i="4"/>
  <c r="H129" i="4"/>
  <c r="K128" i="4"/>
  <c r="J128" i="4"/>
  <c r="I128" i="4"/>
  <c r="H128" i="4"/>
  <c r="J127" i="4"/>
  <c r="K127" i="4" s="1"/>
  <c r="I127" i="4"/>
  <c r="H127" i="4"/>
  <c r="J126" i="4"/>
  <c r="H126" i="4"/>
  <c r="J125" i="4"/>
  <c r="K125" i="4" s="1"/>
  <c r="I125" i="4"/>
  <c r="H125" i="4"/>
  <c r="K124" i="4"/>
  <c r="J124" i="4"/>
  <c r="I124" i="4"/>
  <c r="H124" i="4"/>
  <c r="J123" i="4"/>
  <c r="K123" i="4" s="1"/>
  <c r="I123" i="4"/>
  <c r="H123" i="4"/>
  <c r="K122" i="4"/>
  <c r="J122" i="4"/>
  <c r="H122" i="4"/>
  <c r="I122" i="4" s="1"/>
  <c r="J121" i="4"/>
  <c r="K121" i="4" s="1"/>
  <c r="I121" i="4"/>
  <c r="H121" i="4"/>
  <c r="J120" i="4"/>
  <c r="I120" i="4"/>
  <c r="H120" i="4"/>
  <c r="K120" i="4" s="1"/>
  <c r="J119" i="4"/>
  <c r="K119" i="4" s="1"/>
  <c r="I119" i="4"/>
  <c r="H119" i="4"/>
  <c r="J118" i="4"/>
  <c r="I118" i="4"/>
  <c r="H118" i="4"/>
  <c r="K118" i="4" s="1"/>
  <c r="J117" i="4"/>
  <c r="K117" i="4" s="1"/>
  <c r="I117" i="4"/>
  <c r="H117" i="4"/>
  <c r="J116" i="4"/>
  <c r="H116" i="4"/>
  <c r="I116" i="4" s="1"/>
  <c r="J115" i="4"/>
  <c r="K115" i="4" s="1"/>
  <c r="I115" i="4"/>
  <c r="H115" i="4"/>
  <c r="K114" i="4"/>
  <c r="J114" i="4"/>
  <c r="I114" i="4"/>
  <c r="H114" i="4"/>
  <c r="J113" i="4"/>
  <c r="K113" i="4" s="1"/>
  <c r="I113" i="4"/>
  <c r="H113" i="4"/>
  <c r="K112" i="4"/>
  <c r="J112" i="4"/>
  <c r="I112" i="4"/>
  <c r="H112" i="4"/>
  <c r="J111" i="4"/>
  <c r="K111" i="4" s="1"/>
  <c r="I111" i="4"/>
  <c r="H111" i="4"/>
  <c r="J110" i="4"/>
  <c r="H110" i="4"/>
  <c r="J109" i="4"/>
  <c r="K109" i="4" s="1"/>
  <c r="I109" i="4"/>
  <c r="H109" i="4"/>
  <c r="K108" i="4"/>
  <c r="J108" i="4"/>
  <c r="I108" i="4"/>
  <c r="H108" i="4"/>
  <c r="J107" i="4"/>
  <c r="K107" i="4" s="1"/>
  <c r="I107" i="4"/>
  <c r="H107" i="4"/>
  <c r="J106" i="4"/>
  <c r="H106" i="4"/>
  <c r="I106" i="4" s="1"/>
  <c r="J105" i="4"/>
  <c r="K105" i="4" s="1"/>
  <c r="I105" i="4"/>
  <c r="H105" i="4"/>
  <c r="J104" i="4"/>
  <c r="I104" i="4"/>
  <c r="H104" i="4"/>
  <c r="K104" i="4" s="1"/>
  <c r="J103" i="4"/>
  <c r="K103" i="4" s="1"/>
  <c r="I103" i="4"/>
  <c r="H103" i="4"/>
  <c r="J102" i="4"/>
  <c r="H102" i="4"/>
  <c r="J101" i="4"/>
  <c r="K101" i="4" s="1"/>
  <c r="I101" i="4"/>
  <c r="H101" i="4"/>
  <c r="K100" i="4"/>
  <c r="J100" i="4"/>
  <c r="H100" i="4"/>
  <c r="I100" i="4" s="1"/>
  <c r="J99" i="4"/>
  <c r="K99" i="4" s="1"/>
  <c r="I99" i="4"/>
  <c r="H99" i="4"/>
  <c r="K98" i="4"/>
  <c r="J98" i="4"/>
  <c r="I98" i="4"/>
  <c r="H98" i="4"/>
  <c r="J97" i="4"/>
  <c r="K97" i="4" s="1"/>
  <c r="I97" i="4"/>
  <c r="H97" i="4"/>
  <c r="K96" i="4"/>
  <c r="J96" i="4"/>
  <c r="I96" i="4"/>
  <c r="H96" i="4"/>
  <c r="J95" i="4"/>
  <c r="K95" i="4" s="1"/>
  <c r="I95" i="4"/>
  <c r="H95" i="4"/>
  <c r="J94" i="4"/>
  <c r="H94" i="4"/>
  <c r="J93" i="4"/>
  <c r="K93" i="4" s="1"/>
  <c r="I93" i="4"/>
  <c r="H93" i="4"/>
  <c r="K92" i="4"/>
  <c r="J92" i="4"/>
  <c r="I92" i="4"/>
  <c r="H92" i="4"/>
  <c r="J91" i="4"/>
  <c r="K91" i="4" s="1"/>
  <c r="I91" i="4"/>
  <c r="H91" i="4"/>
  <c r="K90" i="4"/>
  <c r="J90" i="4"/>
  <c r="H90" i="4"/>
  <c r="I90" i="4" s="1"/>
  <c r="J89" i="4"/>
  <c r="K89" i="4" s="1"/>
  <c r="I89" i="4"/>
  <c r="H89" i="4"/>
  <c r="J88" i="4"/>
  <c r="I88" i="4"/>
  <c r="H88" i="4"/>
  <c r="K88" i="4" s="1"/>
  <c r="J87" i="4"/>
  <c r="K87" i="4" s="1"/>
  <c r="I87" i="4"/>
  <c r="H87" i="4"/>
  <c r="K86" i="4"/>
  <c r="J86" i="4"/>
  <c r="H86" i="4"/>
  <c r="I86" i="4" s="1"/>
  <c r="J85" i="4"/>
  <c r="K85" i="4" s="1"/>
  <c r="I85" i="4"/>
  <c r="H85" i="4"/>
  <c r="J84" i="4"/>
  <c r="H84" i="4"/>
  <c r="J83" i="4"/>
  <c r="K83" i="4" s="1"/>
  <c r="I83" i="4"/>
  <c r="H83" i="4"/>
  <c r="K82" i="4"/>
  <c r="J82" i="4"/>
  <c r="I82" i="4"/>
  <c r="H82" i="4"/>
  <c r="J81" i="4"/>
  <c r="K81" i="4" s="1"/>
  <c r="I81" i="4"/>
  <c r="H81" i="4"/>
  <c r="K80" i="4"/>
  <c r="J80" i="4"/>
  <c r="H80" i="4"/>
  <c r="I80" i="4" s="1"/>
  <c r="J79" i="4"/>
  <c r="K79" i="4" s="1"/>
  <c r="I79" i="4"/>
  <c r="H79" i="4"/>
  <c r="J78" i="4"/>
  <c r="H78" i="4"/>
  <c r="J77" i="4"/>
  <c r="K77" i="4" s="1"/>
  <c r="I77" i="4"/>
  <c r="H77" i="4"/>
  <c r="K76" i="4"/>
  <c r="J76" i="4"/>
  <c r="I76" i="4"/>
  <c r="H76" i="4"/>
  <c r="J75" i="4"/>
  <c r="K75" i="4" s="1"/>
  <c r="I75" i="4"/>
  <c r="H75" i="4"/>
  <c r="J74" i="4"/>
  <c r="H74" i="4"/>
  <c r="J73" i="4"/>
  <c r="K73" i="4" s="1"/>
  <c r="I73" i="4"/>
  <c r="H73" i="4"/>
  <c r="J72" i="4"/>
  <c r="I72" i="4"/>
  <c r="H72" i="4"/>
  <c r="K72" i="4" s="1"/>
  <c r="J71" i="4"/>
  <c r="K71" i="4" s="1"/>
  <c r="I71" i="4"/>
  <c r="H71" i="4"/>
  <c r="K70" i="4"/>
  <c r="J70" i="4"/>
  <c r="I70" i="4"/>
  <c r="H70" i="4"/>
  <c r="J69" i="4"/>
  <c r="K69" i="4" s="1"/>
  <c r="I69" i="4"/>
  <c r="H69" i="4"/>
  <c r="J68" i="4"/>
  <c r="K68" i="4" s="1"/>
  <c r="H68" i="4"/>
  <c r="I68" i="4" s="1"/>
  <c r="J67" i="4"/>
  <c r="K67" i="4" s="1"/>
  <c r="I67" i="4"/>
  <c r="H67" i="4"/>
  <c r="J66" i="4"/>
  <c r="K66" i="4" s="1"/>
  <c r="I66" i="4"/>
  <c r="H66" i="4"/>
  <c r="J65" i="4"/>
  <c r="K65" i="4" s="1"/>
  <c r="I65" i="4"/>
  <c r="H65" i="4"/>
  <c r="J64" i="4"/>
  <c r="I64" i="4"/>
  <c r="H64" i="4"/>
  <c r="K64" i="4" s="1"/>
  <c r="J63" i="4"/>
  <c r="K63" i="4" s="1"/>
  <c r="I63" i="4"/>
  <c r="H63" i="4"/>
  <c r="J62" i="4"/>
  <c r="K62" i="4" s="1"/>
  <c r="H62" i="4"/>
  <c r="I62" i="4" s="1"/>
  <c r="J61" i="4"/>
  <c r="K61" i="4" s="1"/>
  <c r="I61" i="4"/>
  <c r="H61" i="4"/>
  <c r="K60" i="4"/>
  <c r="J60" i="4"/>
  <c r="I60" i="4"/>
  <c r="H60" i="4"/>
  <c r="J59" i="4"/>
  <c r="K59" i="4" s="1"/>
  <c r="I59" i="4"/>
  <c r="H59" i="4"/>
  <c r="K58" i="4"/>
  <c r="J58" i="4"/>
  <c r="H58" i="4"/>
  <c r="I58" i="4" s="1"/>
  <c r="J57" i="4"/>
  <c r="K57" i="4" s="1"/>
  <c r="I57" i="4"/>
  <c r="H57" i="4"/>
  <c r="J56" i="4"/>
  <c r="K56" i="4" s="1"/>
  <c r="I56" i="4"/>
  <c r="H56" i="4"/>
  <c r="J55" i="4"/>
  <c r="K55" i="4" s="1"/>
  <c r="I55" i="4"/>
  <c r="H55" i="4"/>
  <c r="J54" i="4"/>
  <c r="H54" i="4"/>
  <c r="J53" i="4"/>
  <c r="K53" i="4" s="1"/>
  <c r="I53" i="4"/>
  <c r="H53" i="4"/>
  <c r="J52" i="4"/>
  <c r="K52" i="4" s="1"/>
  <c r="H52" i="4"/>
  <c r="I52" i="4" s="1"/>
  <c r="J51" i="4"/>
  <c r="K51" i="4" s="1"/>
  <c r="I51" i="4"/>
  <c r="H51" i="4"/>
  <c r="J50" i="4"/>
  <c r="K50" i="4" s="1"/>
  <c r="I50" i="4"/>
  <c r="H50" i="4"/>
  <c r="J49" i="4"/>
  <c r="K49" i="4" s="1"/>
  <c r="I49" i="4"/>
  <c r="H49" i="4"/>
  <c r="K48" i="4"/>
  <c r="J48" i="4"/>
  <c r="H48" i="4"/>
  <c r="I48" i="4" s="1"/>
  <c r="J47" i="4"/>
  <c r="K47" i="4" s="1"/>
  <c r="I47" i="4"/>
  <c r="H47" i="4"/>
  <c r="J46" i="4"/>
  <c r="H46" i="4"/>
  <c r="I46" i="4" s="1"/>
  <c r="J45" i="4"/>
  <c r="K45" i="4" s="1"/>
  <c r="I45" i="4"/>
  <c r="H45" i="4"/>
  <c r="K44" i="4"/>
  <c r="J44" i="4"/>
  <c r="I44" i="4"/>
  <c r="H44" i="4"/>
  <c r="J43" i="4"/>
  <c r="K43" i="4" s="1"/>
  <c r="I43" i="4"/>
  <c r="H43" i="4"/>
  <c r="J42" i="4"/>
  <c r="H42" i="4"/>
  <c r="I42" i="4" s="1"/>
  <c r="J41" i="4"/>
  <c r="K41" i="4" s="1"/>
  <c r="I41" i="4"/>
  <c r="H41" i="4"/>
  <c r="J40" i="4"/>
  <c r="K40" i="4" s="1"/>
  <c r="I40" i="4"/>
  <c r="H40" i="4"/>
  <c r="J39" i="4"/>
  <c r="K39" i="4" s="1"/>
  <c r="I39" i="4"/>
  <c r="H39" i="4"/>
  <c r="K38" i="4"/>
  <c r="J38" i="4"/>
  <c r="I38" i="4"/>
  <c r="H38" i="4"/>
  <c r="J37" i="4"/>
  <c r="K37" i="4" s="1"/>
  <c r="I37" i="4"/>
  <c r="H37" i="4"/>
  <c r="J36" i="4"/>
  <c r="H36" i="4"/>
  <c r="I36" i="4" s="1"/>
  <c r="J35" i="4"/>
  <c r="K35" i="4" s="1"/>
  <c r="I35" i="4"/>
  <c r="H35" i="4"/>
  <c r="J34" i="4"/>
  <c r="K34" i="4" s="1"/>
  <c r="I34" i="4"/>
  <c r="H34" i="4"/>
  <c r="J33" i="4"/>
  <c r="K33" i="4" s="1"/>
  <c r="I33" i="4"/>
  <c r="H33" i="4"/>
  <c r="J32" i="4"/>
  <c r="H32" i="4"/>
  <c r="I32" i="4" s="1"/>
  <c r="J31" i="4"/>
  <c r="K31" i="4" s="1"/>
  <c r="I31" i="4"/>
  <c r="H31" i="4"/>
  <c r="J30" i="4"/>
  <c r="K30" i="4" s="1"/>
  <c r="H30" i="4"/>
  <c r="I30" i="4" s="1"/>
  <c r="J29" i="4"/>
  <c r="K29" i="4" s="1"/>
  <c r="I29" i="4"/>
  <c r="H29" i="4"/>
  <c r="K28" i="4"/>
  <c r="J28" i="4"/>
  <c r="I28" i="4"/>
  <c r="H28" i="4"/>
  <c r="J27" i="4"/>
  <c r="K27" i="4" s="1"/>
  <c r="I27" i="4"/>
  <c r="H27" i="4"/>
  <c r="K26" i="4"/>
  <c r="J26" i="4"/>
  <c r="H26" i="4"/>
  <c r="I26" i="4" s="1"/>
  <c r="J25" i="4"/>
  <c r="K25" i="4" s="1"/>
  <c r="I25" i="4"/>
  <c r="H25" i="4"/>
  <c r="J24" i="4"/>
  <c r="K24" i="4" s="1"/>
  <c r="I24" i="4"/>
  <c r="H24" i="4"/>
  <c r="J23" i="4"/>
  <c r="K23" i="4" s="1"/>
  <c r="I23" i="4"/>
  <c r="H23" i="4"/>
  <c r="K22" i="4"/>
  <c r="J22" i="4"/>
  <c r="I22" i="4"/>
  <c r="H22" i="4"/>
  <c r="J21" i="4"/>
  <c r="K21" i="4" s="1"/>
  <c r="I21" i="4"/>
  <c r="H21" i="4"/>
  <c r="K20" i="4"/>
  <c r="J20" i="4"/>
  <c r="H20" i="4"/>
  <c r="I20" i="4" s="1"/>
  <c r="J19" i="4"/>
  <c r="K19" i="4" s="1"/>
  <c r="I19" i="4"/>
  <c r="H19" i="4"/>
  <c r="J18" i="4"/>
  <c r="K18" i="4" s="1"/>
  <c r="I18" i="4"/>
  <c r="H18" i="4"/>
  <c r="J17" i="4"/>
  <c r="K17" i="4" s="1"/>
  <c r="I17" i="4"/>
  <c r="H17" i="4"/>
  <c r="K16" i="4"/>
  <c r="J16" i="4"/>
  <c r="H16" i="4"/>
  <c r="I16" i="4" s="1"/>
  <c r="J15" i="4"/>
  <c r="K15" i="4" s="1"/>
  <c r="I15" i="4"/>
  <c r="H15" i="4"/>
  <c r="J14" i="4"/>
  <c r="K14" i="4" s="1"/>
  <c r="H14" i="4"/>
  <c r="I14" i="4" s="1"/>
  <c r="J13" i="4"/>
  <c r="K13" i="4" s="1"/>
  <c r="I13" i="4"/>
  <c r="H13" i="4"/>
  <c r="K12" i="4"/>
  <c r="J12" i="4"/>
  <c r="I12" i="4"/>
  <c r="H12" i="4"/>
  <c r="J11" i="4"/>
  <c r="K11" i="4" s="1"/>
  <c r="I11" i="4"/>
  <c r="H11" i="4"/>
  <c r="J10" i="4"/>
  <c r="H10" i="4"/>
  <c r="I10" i="4" s="1"/>
  <c r="J9" i="4"/>
  <c r="K9" i="4" s="1"/>
  <c r="I9" i="4"/>
  <c r="H9" i="4"/>
  <c r="J8" i="4"/>
  <c r="K8" i="4" s="1"/>
  <c r="I8" i="4"/>
  <c r="H8" i="4"/>
  <c r="I7" i="4"/>
  <c r="H7" i="4"/>
  <c r="K7" i="4" s="1"/>
  <c r="K215" i="3"/>
  <c r="J215" i="3"/>
  <c r="I215" i="3"/>
  <c r="H215" i="3"/>
  <c r="J214" i="3"/>
  <c r="H214" i="3"/>
  <c r="I214" i="3" s="1"/>
  <c r="J213" i="3"/>
  <c r="K213" i="3" s="1"/>
  <c r="I213" i="3"/>
  <c r="H213" i="3"/>
  <c r="K212" i="3"/>
  <c r="J212" i="3"/>
  <c r="H212" i="3"/>
  <c r="I212" i="3" s="1"/>
  <c r="K211" i="3"/>
  <c r="J211" i="3"/>
  <c r="I211" i="3"/>
  <c r="H211" i="3"/>
  <c r="J210" i="3"/>
  <c r="K210" i="3" s="1"/>
  <c r="H210" i="3"/>
  <c r="I210" i="3" s="1"/>
  <c r="J209" i="3"/>
  <c r="K209" i="3" s="1"/>
  <c r="H209" i="3"/>
  <c r="I209" i="3" s="1"/>
  <c r="J208" i="3"/>
  <c r="H208" i="3"/>
  <c r="J207" i="3"/>
  <c r="H207" i="3"/>
  <c r="I207" i="3" s="1"/>
  <c r="J206" i="3"/>
  <c r="H206" i="3"/>
  <c r="I206" i="3" s="1"/>
  <c r="J205" i="3"/>
  <c r="I205" i="3"/>
  <c r="H205" i="3"/>
  <c r="K205" i="3" s="1"/>
  <c r="K204" i="3"/>
  <c r="J204" i="3"/>
  <c r="H204" i="3"/>
  <c r="I204" i="3" s="1"/>
  <c r="K203" i="3"/>
  <c r="J203" i="3"/>
  <c r="H203" i="3"/>
  <c r="I203" i="3" s="1"/>
  <c r="J202" i="3"/>
  <c r="H202" i="3"/>
  <c r="J201" i="3"/>
  <c r="K201" i="3" s="1"/>
  <c r="I201" i="3"/>
  <c r="H201" i="3"/>
  <c r="K200" i="3"/>
  <c r="J200" i="3"/>
  <c r="H200" i="3"/>
  <c r="I200" i="3" s="1"/>
  <c r="K199" i="3"/>
  <c r="J199" i="3"/>
  <c r="H199" i="3"/>
  <c r="I199" i="3" s="1"/>
  <c r="J198" i="3"/>
  <c r="H198" i="3"/>
  <c r="I198" i="3" s="1"/>
  <c r="K197" i="3"/>
  <c r="J197" i="3"/>
  <c r="I197" i="3"/>
  <c r="H197" i="3"/>
  <c r="K196" i="3"/>
  <c r="J196" i="3"/>
  <c r="H196" i="3"/>
  <c r="I196" i="3" s="1"/>
  <c r="K195" i="3"/>
  <c r="J195" i="3"/>
  <c r="H195" i="3"/>
  <c r="I195" i="3" s="1"/>
  <c r="J194" i="3"/>
  <c r="K194" i="3" s="1"/>
  <c r="H194" i="3"/>
  <c r="I194" i="3" s="1"/>
  <c r="J193" i="3"/>
  <c r="K193" i="3" s="1"/>
  <c r="I193" i="3"/>
  <c r="H193" i="3"/>
  <c r="K192" i="3"/>
  <c r="J192" i="3"/>
  <c r="H192" i="3"/>
  <c r="I192" i="3" s="1"/>
  <c r="J191" i="3"/>
  <c r="K191" i="3" s="1"/>
  <c r="H191" i="3"/>
  <c r="I191" i="3" s="1"/>
  <c r="J190" i="3"/>
  <c r="H190" i="3"/>
  <c r="I190" i="3" s="1"/>
  <c r="K189" i="3"/>
  <c r="J189" i="3"/>
  <c r="I189" i="3"/>
  <c r="H189" i="3"/>
  <c r="K188" i="3"/>
  <c r="J188" i="3"/>
  <c r="H188" i="3"/>
  <c r="I188" i="3" s="1"/>
  <c r="K187" i="3"/>
  <c r="J187" i="3"/>
  <c r="H187" i="3"/>
  <c r="I187" i="3" s="1"/>
  <c r="J186" i="3"/>
  <c r="H186" i="3"/>
  <c r="K185" i="3"/>
  <c r="J185" i="3"/>
  <c r="I185" i="3"/>
  <c r="H185" i="3"/>
  <c r="J184" i="3"/>
  <c r="K184" i="3" s="1"/>
  <c r="H184" i="3"/>
  <c r="I184" i="3" s="1"/>
  <c r="K183" i="3"/>
  <c r="J183" i="3"/>
  <c r="H183" i="3"/>
  <c r="I183" i="3" s="1"/>
  <c r="J182" i="3"/>
  <c r="H182" i="3"/>
  <c r="I182" i="3" s="1"/>
  <c r="J181" i="3"/>
  <c r="H181" i="3"/>
  <c r="K181" i="3" s="1"/>
  <c r="J180" i="3"/>
  <c r="H180" i="3"/>
  <c r="I180" i="3" s="1"/>
  <c r="J179" i="3"/>
  <c r="K179" i="3" s="1"/>
  <c r="H179" i="3"/>
  <c r="I179" i="3" s="1"/>
  <c r="K178" i="3"/>
  <c r="J178" i="3"/>
  <c r="H178" i="3"/>
  <c r="I178" i="3" s="1"/>
  <c r="J177" i="3"/>
  <c r="K177" i="3" s="1"/>
  <c r="I177" i="3"/>
  <c r="H177" i="3"/>
  <c r="K176" i="3"/>
  <c r="J176" i="3"/>
  <c r="H176" i="3"/>
  <c r="I176" i="3" s="1"/>
  <c r="J175" i="3"/>
  <c r="H175" i="3"/>
  <c r="I175" i="3" s="1"/>
  <c r="J174" i="3"/>
  <c r="H174" i="3"/>
  <c r="I174" i="3" s="1"/>
  <c r="K173" i="3"/>
  <c r="J173" i="3"/>
  <c r="I173" i="3"/>
  <c r="H173" i="3"/>
  <c r="K172" i="3"/>
  <c r="J172" i="3"/>
  <c r="H172" i="3"/>
  <c r="I172" i="3" s="1"/>
  <c r="J171" i="3"/>
  <c r="K171" i="3" s="1"/>
  <c r="H171" i="3"/>
  <c r="I171" i="3" s="1"/>
  <c r="J170" i="3"/>
  <c r="H170" i="3"/>
  <c r="K169" i="3"/>
  <c r="J169" i="3"/>
  <c r="I169" i="3"/>
  <c r="H169" i="3"/>
  <c r="J168" i="3"/>
  <c r="K168" i="3" s="1"/>
  <c r="H168" i="3"/>
  <c r="I168" i="3" s="1"/>
  <c r="K167" i="3"/>
  <c r="J167" i="3"/>
  <c r="H167" i="3"/>
  <c r="I167" i="3" s="1"/>
  <c r="J166" i="3"/>
  <c r="K166" i="3" s="1"/>
  <c r="H166" i="3"/>
  <c r="I166" i="3" s="1"/>
  <c r="J165" i="3"/>
  <c r="H165" i="3"/>
  <c r="J164" i="3"/>
  <c r="H164" i="3"/>
  <c r="J163" i="3"/>
  <c r="K163" i="3" s="1"/>
  <c r="H163" i="3"/>
  <c r="I163" i="3" s="1"/>
  <c r="K162" i="3"/>
  <c r="J162" i="3"/>
  <c r="H162" i="3"/>
  <c r="I162" i="3" s="1"/>
  <c r="K161" i="3"/>
  <c r="J161" i="3"/>
  <c r="I161" i="3"/>
  <c r="H161" i="3"/>
  <c r="J160" i="3"/>
  <c r="K160" i="3" s="1"/>
  <c r="H160" i="3"/>
  <c r="I160" i="3" s="1"/>
  <c r="J159" i="3"/>
  <c r="K159" i="3" s="1"/>
  <c r="I159" i="3"/>
  <c r="H159" i="3"/>
  <c r="J158" i="3"/>
  <c r="H158" i="3"/>
  <c r="I158" i="3" s="1"/>
  <c r="J157" i="3"/>
  <c r="H157" i="3"/>
  <c r="J156" i="3"/>
  <c r="K156" i="3" s="1"/>
  <c r="H156" i="3"/>
  <c r="I156" i="3" s="1"/>
  <c r="K155" i="3"/>
  <c r="J155" i="3"/>
  <c r="H155" i="3"/>
  <c r="I155" i="3" s="1"/>
  <c r="J154" i="3"/>
  <c r="K154" i="3" s="1"/>
  <c r="H154" i="3"/>
  <c r="I154" i="3" s="1"/>
  <c r="K153" i="3"/>
  <c r="J153" i="3"/>
  <c r="I153" i="3"/>
  <c r="H153" i="3"/>
  <c r="J152" i="3"/>
  <c r="K152" i="3" s="1"/>
  <c r="H152" i="3"/>
  <c r="I152" i="3" s="1"/>
  <c r="J151" i="3"/>
  <c r="H151" i="3"/>
  <c r="I151" i="3" s="1"/>
  <c r="J150" i="3"/>
  <c r="K150" i="3" s="1"/>
  <c r="H150" i="3"/>
  <c r="I150" i="3" s="1"/>
  <c r="J149" i="3"/>
  <c r="H149" i="3"/>
  <c r="I149" i="3" s="1"/>
  <c r="J148" i="3"/>
  <c r="H148" i="3"/>
  <c r="J147" i="3"/>
  <c r="K147" i="3" s="1"/>
  <c r="I147" i="3"/>
  <c r="H147" i="3"/>
  <c r="K146" i="3"/>
  <c r="J146" i="3"/>
  <c r="H146" i="3"/>
  <c r="I146" i="3" s="1"/>
  <c r="J145" i="3"/>
  <c r="H145" i="3"/>
  <c r="K145" i="3" s="1"/>
  <c r="J144" i="3"/>
  <c r="K144" i="3" s="1"/>
  <c r="H144" i="3"/>
  <c r="I144" i="3" s="1"/>
  <c r="J143" i="3"/>
  <c r="K143" i="3" s="1"/>
  <c r="I143" i="3"/>
  <c r="H143" i="3"/>
  <c r="J142" i="3"/>
  <c r="K142" i="3" s="1"/>
  <c r="H142" i="3"/>
  <c r="I142" i="3" s="1"/>
  <c r="J141" i="3"/>
  <c r="H141" i="3"/>
  <c r="I141" i="3" s="1"/>
  <c r="J140" i="3"/>
  <c r="H140" i="3"/>
  <c r="I140" i="3" s="1"/>
  <c r="J139" i="3"/>
  <c r="K139" i="3" s="1"/>
  <c r="H139" i="3"/>
  <c r="I139" i="3" s="1"/>
  <c r="J138" i="3"/>
  <c r="K138" i="3" s="1"/>
  <c r="H138" i="3"/>
  <c r="I138" i="3" s="1"/>
  <c r="K137" i="3"/>
  <c r="J137" i="3"/>
  <c r="I137" i="3"/>
  <c r="H137" i="3"/>
  <c r="J136" i="3"/>
  <c r="K136" i="3" s="1"/>
  <c r="H136" i="3"/>
  <c r="I136" i="3" s="1"/>
  <c r="J135" i="3"/>
  <c r="K135" i="3" s="1"/>
  <c r="I135" i="3"/>
  <c r="H135" i="3"/>
  <c r="J134" i="3"/>
  <c r="K134" i="3" s="1"/>
  <c r="H134" i="3"/>
  <c r="I134" i="3" s="1"/>
  <c r="J133" i="3"/>
  <c r="K133" i="3" s="1"/>
  <c r="H133" i="3"/>
  <c r="I133" i="3" s="1"/>
  <c r="J132" i="3"/>
  <c r="H132" i="3"/>
  <c r="I132" i="3" s="1"/>
  <c r="J131" i="3"/>
  <c r="K131" i="3" s="1"/>
  <c r="I131" i="3"/>
  <c r="H131" i="3"/>
  <c r="K130" i="3"/>
  <c r="J130" i="3"/>
  <c r="H130" i="3"/>
  <c r="I130" i="3" s="1"/>
  <c r="K129" i="3"/>
  <c r="J129" i="3"/>
  <c r="H129" i="3"/>
  <c r="I129" i="3" s="1"/>
  <c r="J128" i="3"/>
  <c r="K128" i="3" s="1"/>
  <c r="H128" i="3"/>
  <c r="I128" i="3" s="1"/>
  <c r="J127" i="3"/>
  <c r="I127" i="3"/>
  <c r="H127" i="3"/>
  <c r="K126" i="3"/>
  <c r="J126" i="3"/>
  <c r="H126" i="3"/>
  <c r="I126" i="3" s="1"/>
  <c r="K125" i="3"/>
  <c r="J125" i="3"/>
  <c r="H125" i="3"/>
  <c r="I125" i="3" s="1"/>
  <c r="J124" i="3"/>
  <c r="K124" i="3" s="1"/>
  <c r="H124" i="3"/>
  <c r="I124" i="3" s="1"/>
  <c r="J123" i="3"/>
  <c r="K123" i="3" s="1"/>
  <c r="H123" i="3"/>
  <c r="I123" i="3" s="1"/>
  <c r="J122" i="3"/>
  <c r="K122" i="3" s="1"/>
  <c r="H122" i="3"/>
  <c r="I122" i="3" s="1"/>
  <c r="K121" i="3"/>
  <c r="J121" i="3"/>
  <c r="I121" i="3"/>
  <c r="H121" i="3"/>
  <c r="K120" i="3"/>
  <c r="J120" i="3"/>
  <c r="H120" i="3"/>
  <c r="I120" i="3" s="1"/>
  <c r="J119" i="3"/>
  <c r="K119" i="3" s="1"/>
  <c r="I119" i="3"/>
  <c r="H119" i="3"/>
  <c r="J118" i="3"/>
  <c r="K118" i="3" s="1"/>
  <c r="H118" i="3"/>
  <c r="I118" i="3" s="1"/>
  <c r="J117" i="3"/>
  <c r="K117" i="3" s="1"/>
  <c r="H117" i="3"/>
  <c r="I117" i="3" s="1"/>
  <c r="J116" i="3"/>
  <c r="H116" i="3"/>
  <c r="K115" i="3"/>
  <c r="J115" i="3"/>
  <c r="I115" i="3"/>
  <c r="H115" i="3"/>
  <c r="J114" i="3"/>
  <c r="K114" i="3" s="1"/>
  <c r="H114" i="3"/>
  <c r="I114" i="3" s="1"/>
  <c r="K113" i="3"/>
  <c r="J113" i="3"/>
  <c r="H113" i="3"/>
  <c r="I113" i="3" s="1"/>
  <c r="J112" i="3"/>
  <c r="H112" i="3"/>
  <c r="I112" i="3" s="1"/>
  <c r="J111" i="3"/>
  <c r="H111" i="3"/>
  <c r="I111" i="3" s="1"/>
  <c r="J110" i="3"/>
  <c r="K110" i="3" s="1"/>
  <c r="H110" i="3"/>
  <c r="I110" i="3" s="1"/>
  <c r="J109" i="3"/>
  <c r="H109" i="3"/>
  <c r="I109" i="3" s="1"/>
  <c r="J108" i="3"/>
  <c r="H108" i="3"/>
  <c r="J107" i="3"/>
  <c r="K107" i="3" s="1"/>
  <c r="H107" i="3"/>
  <c r="I107" i="3" s="1"/>
  <c r="J106" i="3"/>
  <c r="K106" i="3" s="1"/>
  <c r="H106" i="3"/>
  <c r="I106" i="3" s="1"/>
  <c r="J105" i="3"/>
  <c r="K105" i="3" s="1"/>
  <c r="I105" i="3"/>
  <c r="H105" i="3"/>
  <c r="K104" i="3"/>
  <c r="J104" i="3"/>
  <c r="H104" i="3"/>
  <c r="I104" i="3" s="1"/>
  <c r="K103" i="3"/>
  <c r="J103" i="3"/>
  <c r="I103" i="3"/>
  <c r="H103" i="3"/>
  <c r="J102" i="3"/>
  <c r="H102" i="3"/>
  <c r="I102" i="3" s="1"/>
  <c r="J101" i="3"/>
  <c r="K101" i="3" s="1"/>
  <c r="I101" i="3"/>
  <c r="H101" i="3"/>
  <c r="K100" i="3"/>
  <c r="J100" i="3"/>
  <c r="H100" i="3"/>
  <c r="I100" i="3" s="1"/>
  <c r="K99" i="3"/>
  <c r="J99" i="3"/>
  <c r="I99" i="3"/>
  <c r="H99" i="3"/>
  <c r="J98" i="3"/>
  <c r="K98" i="3" s="1"/>
  <c r="H98" i="3"/>
  <c r="I98" i="3" s="1"/>
  <c r="K97" i="3"/>
  <c r="J97" i="3"/>
  <c r="H97" i="3"/>
  <c r="I97" i="3" s="1"/>
  <c r="K96" i="3"/>
  <c r="J96" i="3"/>
  <c r="H96" i="3"/>
  <c r="I96" i="3" s="1"/>
  <c r="J95" i="3"/>
  <c r="H95" i="3"/>
  <c r="I95" i="3" s="1"/>
  <c r="J94" i="3"/>
  <c r="H94" i="3"/>
  <c r="I94" i="3" s="1"/>
  <c r="J93" i="3"/>
  <c r="H93" i="3"/>
  <c r="J92" i="3"/>
  <c r="H92" i="3"/>
  <c r="I92" i="3" s="1"/>
  <c r="J91" i="3"/>
  <c r="H91" i="3"/>
  <c r="K90" i="3"/>
  <c r="J90" i="3"/>
  <c r="H90" i="3"/>
  <c r="I90" i="3" s="1"/>
  <c r="J89" i="3"/>
  <c r="H89" i="3"/>
  <c r="J88" i="3"/>
  <c r="H88" i="3"/>
  <c r="K88" i="3" s="1"/>
  <c r="J87" i="3"/>
  <c r="H87" i="3"/>
  <c r="K86" i="3"/>
  <c r="J86" i="3"/>
  <c r="H86" i="3"/>
  <c r="I86" i="3" s="1"/>
  <c r="J85" i="3"/>
  <c r="H85" i="3"/>
  <c r="J84" i="3"/>
  <c r="H84" i="3"/>
  <c r="I84" i="3" s="1"/>
  <c r="J83" i="3"/>
  <c r="H83" i="3"/>
  <c r="K82" i="3"/>
  <c r="J82" i="3"/>
  <c r="H82" i="3"/>
  <c r="I82" i="3" s="1"/>
  <c r="J81" i="3"/>
  <c r="H81" i="3"/>
  <c r="J80" i="3"/>
  <c r="I80" i="3"/>
  <c r="H80" i="3"/>
  <c r="K80" i="3" s="1"/>
  <c r="J79" i="3"/>
  <c r="H79" i="3"/>
  <c r="K78" i="3"/>
  <c r="J78" i="3"/>
  <c r="H78" i="3"/>
  <c r="I78" i="3" s="1"/>
  <c r="J77" i="3"/>
  <c r="H77" i="3"/>
  <c r="J76" i="3"/>
  <c r="H76" i="3"/>
  <c r="I76" i="3" s="1"/>
  <c r="J75" i="3"/>
  <c r="H75" i="3"/>
  <c r="K74" i="3"/>
  <c r="J74" i="3"/>
  <c r="H74" i="3"/>
  <c r="I74" i="3" s="1"/>
  <c r="J73" i="3"/>
  <c r="H73" i="3"/>
  <c r="J72" i="3"/>
  <c r="H72" i="3"/>
  <c r="K72" i="3" s="1"/>
  <c r="J71" i="3"/>
  <c r="H71" i="3"/>
  <c r="K70" i="3"/>
  <c r="J70" i="3"/>
  <c r="H70" i="3"/>
  <c r="I70" i="3" s="1"/>
  <c r="J69" i="3"/>
  <c r="I69" i="3"/>
  <c r="H69" i="3"/>
  <c r="K69" i="3" s="1"/>
  <c r="K68" i="3"/>
  <c r="J68" i="3"/>
  <c r="I68" i="3"/>
  <c r="H68" i="3"/>
  <c r="J67" i="3"/>
  <c r="H67" i="3"/>
  <c r="K67" i="3" s="1"/>
  <c r="J66" i="3"/>
  <c r="H66" i="3"/>
  <c r="I66" i="3" s="1"/>
  <c r="J65" i="3"/>
  <c r="H65" i="3"/>
  <c r="K64" i="3"/>
  <c r="J64" i="3"/>
  <c r="I64" i="3"/>
  <c r="H64" i="3"/>
  <c r="J63" i="3"/>
  <c r="H63" i="3"/>
  <c r="K63" i="3" s="1"/>
  <c r="K62" i="3"/>
  <c r="J62" i="3"/>
  <c r="H62" i="3"/>
  <c r="I62" i="3" s="1"/>
  <c r="J61" i="3"/>
  <c r="I61" i="3"/>
  <c r="H61" i="3"/>
  <c r="K61" i="3" s="1"/>
  <c r="K60" i="3"/>
  <c r="J60" i="3"/>
  <c r="I60" i="3"/>
  <c r="H60" i="3"/>
  <c r="J59" i="3"/>
  <c r="H59" i="3"/>
  <c r="K59" i="3" s="1"/>
  <c r="J58" i="3"/>
  <c r="H58" i="3"/>
  <c r="K58" i="3" s="1"/>
  <c r="J57" i="3"/>
  <c r="I57" i="3"/>
  <c r="H57" i="3"/>
  <c r="K57" i="3" s="1"/>
  <c r="J56" i="3"/>
  <c r="H56" i="3"/>
  <c r="J55" i="3"/>
  <c r="H55" i="3"/>
  <c r="K55" i="3" s="1"/>
  <c r="K54" i="3"/>
  <c r="J54" i="3"/>
  <c r="H54" i="3"/>
  <c r="I54" i="3" s="1"/>
  <c r="J53" i="3"/>
  <c r="I53" i="3"/>
  <c r="H53" i="3"/>
  <c r="K53" i="3" s="1"/>
  <c r="K52" i="3"/>
  <c r="J52" i="3"/>
  <c r="I52" i="3"/>
  <c r="H52" i="3"/>
  <c r="J51" i="3"/>
  <c r="I51" i="3"/>
  <c r="H51" i="3"/>
  <c r="K51" i="3" s="1"/>
  <c r="J50" i="3"/>
  <c r="H50" i="3"/>
  <c r="I50" i="3" s="1"/>
  <c r="J49" i="3"/>
  <c r="H49" i="3"/>
  <c r="K48" i="3"/>
  <c r="J48" i="3"/>
  <c r="I48" i="3"/>
  <c r="H48" i="3"/>
  <c r="J47" i="3"/>
  <c r="H47" i="3"/>
  <c r="K47" i="3" s="1"/>
  <c r="K46" i="3"/>
  <c r="J46" i="3"/>
  <c r="H46" i="3"/>
  <c r="I46" i="3" s="1"/>
  <c r="J45" i="3"/>
  <c r="I45" i="3"/>
  <c r="H45" i="3"/>
  <c r="K45" i="3" s="1"/>
  <c r="K44" i="3"/>
  <c r="J44" i="3"/>
  <c r="I44" i="3"/>
  <c r="H44" i="3"/>
  <c r="J43" i="3"/>
  <c r="H43" i="3"/>
  <c r="K43" i="3" s="1"/>
  <c r="J42" i="3"/>
  <c r="I42" i="3"/>
  <c r="H42" i="3"/>
  <c r="K42" i="3" s="1"/>
  <c r="J41" i="3"/>
  <c r="I41" i="3"/>
  <c r="H41" i="3"/>
  <c r="K41" i="3" s="1"/>
  <c r="J40" i="3"/>
  <c r="H40" i="3"/>
  <c r="J39" i="3"/>
  <c r="H39" i="3"/>
  <c r="K39" i="3" s="1"/>
  <c r="K38" i="3"/>
  <c r="J38" i="3"/>
  <c r="H38" i="3"/>
  <c r="I38" i="3" s="1"/>
  <c r="J37" i="3"/>
  <c r="I37" i="3"/>
  <c r="H37" i="3"/>
  <c r="K37" i="3" s="1"/>
  <c r="K36" i="3"/>
  <c r="J36" i="3"/>
  <c r="I36" i="3"/>
  <c r="H36" i="3"/>
  <c r="J35" i="3"/>
  <c r="I35" i="3"/>
  <c r="H35" i="3"/>
  <c r="K35" i="3" s="1"/>
  <c r="J34" i="3"/>
  <c r="H34" i="3"/>
  <c r="I34" i="3" s="1"/>
  <c r="J33" i="3"/>
  <c r="H33" i="3"/>
  <c r="I33" i="3" s="1"/>
  <c r="J32" i="3"/>
  <c r="K32" i="3" s="1"/>
  <c r="I32" i="3"/>
  <c r="H32" i="3"/>
  <c r="J31" i="3"/>
  <c r="K31" i="3" s="1"/>
  <c r="H31" i="3"/>
  <c r="I31" i="3" s="1"/>
  <c r="J30" i="3"/>
  <c r="K30" i="3" s="1"/>
  <c r="I30" i="3"/>
  <c r="H30" i="3"/>
  <c r="J29" i="3"/>
  <c r="K29" i="3" s="1"/>
  <c r="H29" i="3"/>
  <c r="I29" i="3" s="1"/>
  <c r="J28" i="3"/>
  <c r="K28" i="3" s="1"/>
  <c r="H28" i="3"/>
  <c r="I28" i="3" s="1"/>
  <c r="K27" i="3"/>
  <c r="J27" i="3"/>
  <c r="H27" i="3"/>
  <c r="I27" i="3" s="1"/>
  <c r="K26" i="3"/>
  <c r="J26" i="3"/>
  <c r="I26" i="3"/>
  <c r="H26" i="3"/>
  <c r="J25" i="3"/>
  <c r="K25" i="3" s="1"/>
  <c r="H25" i="3"/>
  <c r="I25" i="3" s="1"/>
  <c r="J24" i="3"/>
  <c r="K24" i="3" s="1"/>
  <c r="H24" i="3"/>
  <c r="I24" i="3" s="1"/>
  <c r="K23" i="3"/>
  <c r="J23" i="3"/>
  <c r="H23" i="3"/>
  <c r="I23" i="3" s="1"/>
  <c r="J22" i="3"/>
  <c r="K22" i="3" s="1"/>
  <c r="I22" i="3"/>
  <c r="H22" i="3"/>
  <c r="J21" i="3"/>
  <c r="H21" i="3"/>
  <c r="I21" i="3" s="1"/>
  <c r="J20" i="3"/>
  <c r="H20" i="3"/>
  <c r="K20" i="3" s="1"/>
  <c r="J19" i="3"/>
  <c r="H19" i="3"/>
  <c r="I19" i="3" s="1"/>
  <c r="J18" i="3"/>
  <c r="K18" i="3" s="1"/>
  <c r="H18" i="3"/>
  <c r="I18" i="3" s="1"/>
  <c r="J17" i="3"/>
  <c r="H17" i="3"/>
  <c r="J16" i="3"/>
  <c r="K16" i="3" s="1"/>
  <c r="I16" i="3"/>
  <c r="H16" i="3"/>
  <c r="J15" i="3"/>
  <c r="K15" i="3" s="1"/>
  <c r="H15" i="3"/>
  <c r="I15" i="3" s="1"/>
  <c r="K14" i="3"/>
  <c r="J14" i="3"/>
  <c r="I14" i="3"/>
  <c r="H14" i="3"/>
  <c r="J13" i="3"/>
  <c r="K13" i="3" s="1"/>
  <c r="H13" i="3"/>
  <c r="I13" i="3" s="1"/>
  <c r="J12" i="3"/>
  <c r="I12" i="3"/>
  <c r="H12" i="3"/>
  <c r="J11" i="3"/>
  <c r="H11" i="3"/>
  <c r="I11" i="3" s="1"/>
  <c r="J10" i="3"/>
  <c r="H10" i="3"/>
  <c r="K9" i="3"/>
  <c r="J9" i="3"/>
  <c r="H9" i="3"/>
  <c r="I9" i="3" s="1"/>
  <c r="J8" i="3"/>
  <c r="K8" i="3" s="1"/>
  <c r="H8" i="3"/>
  <c r="I8" i="3" s="1"/>
  <c r="K7" i="3"/>
  <c r="I7" i="3"/>
  <c r="H7" i="3"/>
  <c r="K215" i="2"/>
  <c r="J215" i="2"/>
  <c r="I215" i="2"/>
  <c r="H215" i="2"/>
  <c r="J214" i="2"/>
  <c r="H214" i="2"/>
  <c r="J213" i="2"/>
  <c r="H213" i="2"/>
  <c r="I213" i="2" s="1"/>
  <c r="J212" i="2"/>
  <c r="H212" i="2"/>
  <c r="K211" i="2"/>
  <c r="J211" i="2"/>
  <c r="I211" i="2"/>
  <c r="H211" i="2"/>
  <c r="K210" i="2"/>
  <c r="J210" i="2"/>
  <c r="H210" i="2"/>
  <c r="I210" i="2" s="1"/>
  <c r="K209" i="2"/>
  <c r="J209" i="2"/>
  <c r="H209" i="2"/>
  <c r="I209" i="2" s="1"/>
  <c r="K208" i="2"/>
  <c r="J208" i="2"/>
  <c r="H208" i="2"/>
  <c r="I208" i="2" s="1"/>
  <c r="K207" i="2"/>
  <c r="J207" i="2"/>
  <c r="I207" i="2"/>
  <c r="H207" i="2"/>
  <c r="J206" i="2"/>
  <c r="H206" i="2"/>
  <c r="I206" i="2" s="1"/>
  <c r="J205" i="2"/>
  <c r="H205" i="2"/>
  <c r="K205" i="2" s="1"/>
  <c r="J204" i="2"/>
  <c r="H204" i="2"/>
  <c r="I204" i="2" s="1"/>
  <c r="J203" i="2"/>
  <c r="H203" i="2"/>
  <c r="K202" i="2"/>
  <c r="J202" i="2"/>
  <c r="I202" i="2"/>
  <c r="J201" i="2"/>
  <c r="K201" i="2" s="1"/>
  <c r="H201" i="2"/>
  <c r="I201" i="2" s="1"/>
  <c r="J200" i="2"/>
  <c r="K200" i="2" s="1"/>
  <c r="H200" i="2"/>
  <c r="I200" i="2" s="1"/>
  <c r="J199" i="2"/>
  <c r="K199" i="2" s="1"/>
  <c r="I199" i="2"/>
  <c r="H199" i="2"/>
  <c r="K198" i="2"/>
  <c r="J198" i="2"/>
  <c r="H198" i="2"/>
  <c r="I198" i="2" s="1"/>
  <c r="K197" i="2"/>
  <c r="J197" i="2"/>
  <c r="H197" i="2"/>
  <c r="I197" i="2" s="1"/>
  <c r="J196" i="2"/>
  <c r="H196" i="2"/>
  <c r="I196" i="2" s="1"/>
  <c r="J195" i="2"/>
  <c r="H195" i="2"/>
  <c r="I195" i="2" s="1"/>
  <c r="K194" i="2"/>
  <c r="J194" i="2"/>
  <c r="H194" i="2"/>
  <c r="I194" i="2" s="1"/>
  <c r="J193" i="2"/>
  <c r="K193" i="2" s="1"/>
  <c r="I193" i="2"/>
  <c r="H193" i="2"/>
  <c r="J192" i="2"/>
  <c r="K192" i="2" s="1"/>
  <c r="H192" i="2"/>
  <c r="I192" i="2" s="1"/>
  <c r="K191" i="2"/>
  <c r="J191" i="2"/>
  <c r="I191" i="2"/>
  <c r="H191" i="2"/>
  <c r="J190" i="2"/>
  <c r="H190" i="2"/>
  <c r="I190" i="2" s="1"/>
  <c r="J189" i="2"/>
  <c r="K189" i="2" s="1"/>
  <c r="H189" i="2"/>
  <c r="I189" i="2" s="1"/>
  <c r="K188" i="2"/>
  <c r="J188" i="2"/>
  <c r="H188" i="2"/>
  <c r="I188" i="2" s="1"/>
  <c r="K187" i="2"/>
  <c r="J187" i="2"/>
  <c r="I187" i="2"/>
  <c r="H187" i="2"/>
  <c r="K186" i="2"/>
  <c r="J186" i="2"/>
  <c r="H186" i="2"/>
  <c r="I186" i="2" s="1"/>
  <c r="J185" i="2"/>
  <c r="K185" i="2" s="1"/>
  <c r="H185" i="2"/>
  <c r="I185" i="2" s="1"/>
  <c r="K184" i="2"/>
  <c r="J184" i="2"/>
  <c r="H184" i="2"/>
  <c r="I184" i="2" s="1"/>
  <c r="J183" i="2"/>
  <c r="K183" i="2" s="1"/>
  <c r="I183" i="2"/>
  <c r="H183" i="2"/>
  <c r="J182" i="2"/>
  <c r="K182" i="2" s="1"/>
  <c r="H182" i="2"/>
  <c r="I182" i="2" s="1"/>
  <c r="J181" i="2"/>
  <c r="H181" i="2"/>
  <c r="I181" i="2" s="1"/>
  <c r="J180" i="2"/>
  <c r="H180" i="2"/>
  <c r="I180" i="2" s="1"/>
  <c r="K179" i="2"/>
  <c r="J179" i="2"/>
  <c r="H179" i="2"/>
  <c r="I179" i="2" s="1"/>
  <c r="J178" i="2"/>
  <c r="H178" i="2"/>
  <c r="I178" i="2" s="1"/>
  <c r="J177" i="2"/>
  <c r="K177" i="2" s="1"/>
  <c r="I177" i="2"/>
  <c r="H177" i="2"/>
  <c r="J176" i="2"/>
  <c r="K176" i="2" s="1"/>
  <c r="H176" i="2"/>
  <c r="I176" i="2" s="1"/>
  <c r="J175" i="2"/>
  <c r="H175" i="2"/>
  <c r="J174" i="2"/>
  <c r="K174" i="2" s="1"/>
  <c r="H174" i="2"/>
  <c r="I174" i="2" s="1"/>
  <c r="J173" i="2"/>
  <c r="H173" i="2"/>
  <c r="I173" i="2" s="1"/>
  <c r="J172" i="2"/>
  <c r="H172" i="2"/>
  <c r="K171" i="2"/>
  <c r="J171" i="2"/>
  <c r="I171" i="2"/>
  <c r="H171" i="2"/>
  <c r="K170" i="2"/>
  <c r="J170" i="2"/>
  <c r="H170" i="2"/>
  <c r="I170" i="2" s="1"/>
  <c r="K169" i="2"/>
  <c r="J169" i="2"/>
  <c r="H169" i="2"/>
  <c r="I169" i="2" s="1"/>
  <c r="J168" i="2"/>
  <c r="H168" i="2"/>
  <c r="I168" i="2" s="1"/>
  <c r="J167" i="2"/>
  <c r="K167" i="2" s="1"/>
  <c r="I167" i="2"/>
  <c r="H167" i="2"/>
  <c r="K166" i="2"/>
  <c r="J166" i="2"/>
  <c r="H166" i="2"/>
  <c r="I166" i="2" s="1"/>
  <c r="K165" i="2"/>
  <c r="J165" i="2"/>
  <c r="H165" i="2"/>
  <c r="I165" i="2" s="1"/>
  <c r="J164" i="2"/>
  <c r="H164" i="2"/>
  <c r="I164" i="2" s="1"/>
  <c r="J163" i="2"/>
  <c r="K163" i="2" s="1"/>
  <c r="H163" i="2"/>
  <c r="I163" i="2" s="1"/>
  <c r="K162" i="2"/>
  <c r="J162" i="2"/>
  <c r="H162" i="2"/>
  <c r="I162" i="2" s="1"/>
  <c r="K161" i="2"/>
  <c r="J161" i="2"/>
  <c r="I161" i="2"/>
  <c r="H161" i="2"/>
  <c r="J160" i="2"/>
  <c r="K160" i="2" s="1"/>
  <c r="H160" i="2"/>
  <c r="I160" i="2" s="1"/>
  <c r="J159" i="2"/>
  <c r="K159" i="2" s="1"/>
  <c r="I159" i="2"/>
  <c r="H159" i="2"/>
  <c r="J158" i="2"/>
  <c r="K158" i="2" s="1"/>
  <c r="H158" i="2"/>
  <c r="I158" i="2" s="1"/>
  <c r="J157" i="2"/>
  <c r="K157" i="2" s="1"/>
  <c r="H157" i="2"/>
  <c r="I157" i="2" s="1"/>
  <c r="K156" i="2"/>
  <c r="J156" i="2"/>
  <c r="H156" i="2"/>
  <c r="I156" i="2" s="1"/>
  <c r="J155" i="2"/>
  <c r="K155" i="2" s="1"/>
  <c r="I155" i="2"/>
  <c r="H155" i="2"/>
  <c r="K154" i="2"/>
  <c r="J154" i="2"/>
  <c r="I154" i="2"/>
  <c r="H154" i="2"/>
  <c r="J153" i="2"/>
  <c r="H153" i="2"/>
  <c r="I153" i="2" s="1"/>
  <c r="J152" i="2"/>
  <c r="I152" i="2"/>
  <c r="H152" i="2"/>
  <c r="K152" i="2" s="1"/>
  <c r="J151" i="2"/>
  <c r="I151" i="2"/>
  <c r="H151" i="2"/>
  <c r="J150" i="2"/>
  <c r="H150" i="2"/>
  <c r="J149" i="2"/>
  <c r="K149" i="2" s="1"/>
  <c r="H149" i="2"/>
  <c r="I149" i="2" s="1"/>
  <c r="K148" i="2"/>
  <c r="J148" i="2"/>
  <c r="H148" i="2"/>
  <c r="I148" i="2" s="1"/>
  <c r="J147" i="2"/>
  <c r="K147" i="2" s="1"/>
  <c r="I147" i="2"/>
  <c r="H147" i="2"/>
  <c r="K146" i="2"/>
  <c r="J146" i="2"/>
  <c r="I146" i="2"/>
  <c r="H146" i="2"/>
  <c r="J145" i="2"/>
  <c r="H145" i="2"/>
  <c r="I145" i="2" s="1"/>
  <c r="J144" i="2"/>
  <c r="H144" i="2"/>
  <c r="I144" i="2" s="1"/>
  <c r="J143" i="2"/>
  <c r="H143" i="2"/>
  <c r="I143" i="2" s="1"/>
  <c r="K142" i="2"/>
  <c r="J142" i="2"/>
  <c r="I142" i="2"/>
  <c r="H142" i="2"/>
  <c r="J141" i="2"/>
  <c r="K141" i="2" s="1"/>
  <c r="H141" i="2"/>
  <c r="I141" i="2" s="1"/>
  <c r="K140" i="2"/>
  <c r="J140" i="2"/>
  <c r="H140" i="2"/>
  <c r="I140" i="2" s="1"/>
  <c r="J139" i="2"/>
  <c r="K139" i="2" s="1"/>
  <c r="I139" i="2"/>
  <c r="H139" i="2"/>
  <c r="K138" i="2"/>
  <c r="J138" i="2"/>
  <c r="I138" i="2"/>
  <c r="H138" i="2"/>
  <c r="J137" i="2"/>
  <c r="H137" i="2"/>
  <c r="I137" i="2" s="1"/>
  <c r="J136" i="2"/>
  <c r="H136" i="2"/>
  <c r="K136" i="2" s="1"/>
  <c r="J135" i="2"/>
  <c r="I135" i="2"/>
  <c r="H135" i="2"/>
  <c r="J134" i="2"/>
  <c r="H134" i="2"/>
  <c r="J133" i="2"/>
  <c r="K133" i="2" s="1"/>
  <c r="H133" i="2"/>
  <c r="I133" i="2" s="1"/>
  <c r="K132" i="2"/>
  <c r="J132" i="2"/>
  <c r="H132" i="2"/>
  <c r="I132" i="2" s="1"/>
  <c r="J131" i="2"/>
  <c r="K131" i="2" s="1"/>
  <c r="I131" i="2"/>
  <c r="H131" i="2"/>
  <c r="K130" i="2"/>
  <c r="J130" i="2"/>
  <c r="I130" i="2"/>
  <c r="H130" i="2"/>
  <c r="J129" i="2"/>
  <c r="I129" i="2"/>
  <c r="H129" i="2"/>
  <c r="J128" i="2"/>
  <c r="H128" i="2"/>
  <c r="I128" i="2" s="1"/>
  <c r="J127" i="2"/>
  <c r="H127" i="2"/>
  <c r="I127" i="2" s="1"/>
  <c r="K126" i="2"/>
  <c r="J126" i="2"/>
  <c r="I126" i="2"/>
  <c r="H126" i="2"/>
  <c r="J125" i="2"/>
  <c r="K125" i="2" s="1"/>
  <c r="H125" i="2"/>
  <c r="I125" i="2" s="1"/>
  <c r="K124" i="2"/>
  <c r="J124" i="2"/>
  <c r="H124" i="2"/>
  <c r="I124" i="2" s="1"/>
  <c r="J123" i="2"/>
  <c r="K123" i="2" s="1"/>
  <c r="I123" i="2"/>
  <c r="H123" i="2"/>
  <c r="K122" i="2"/>
  <c r="J122" i="2"/>
  <c r="I122" i="2"/>
  <c r="H122" i="2"/>
  <c r="J121" i="2"/>
  <c r="H121" i="2"/>
  <c r="I121" i="2" s="1"/>
  <c r="J120" i="2"/>
  <c r="I120" i="2"/>
  <c r="H120" i="2"/>
  <c r="K120" i="2" s="1"/>
  <c r="J119" i="2"/>
  <c r="I119" i="2"/>
  <c r="H119" i="2"/>
  <c r="J118" i="2"/>
  <c r="H118" i="2"/>
  <c r="J117" i="2"/>
  <c r="K117" i="2" s="1"/>
  <c r="H117" i="2"/>
  <c r="I117" i="2" s="1"/>
  <c r="K116" i="2"/>
  <c r="J116" i="2"/>
  <c r="H116" i="2"/>
  <c r="I116" i="2" s="1"/>
  <c r="J115" i="2"/>
  <c r="K115" i="2" s="1"/>
  <c r="I115" i="2"/>
  <c r="H115" i="2"/>
  <c r="K114" i="2"/>
  <c r="J114" i="2"/>
  <c r="I114" i="2"/>
  <c r="H114" i="2"/>
  <c r="J113" i="2"/>
  <c r="I113" i="2"/>
  <c r="H113" i="2"/>
  <c r="J112" i="2"/>
  <c r="H112" i="2"/>
  <c r="I112" i="2" s="1"/>
  <c r="J111" i="2"/>
  <c r="H111" i="2"/>
  <c r="I111" i="2" s="1"/>
  <c r="K110" i="2"/>
  <c r="J110" i="2"/>
  <c r="I110" i="2"/>
  <c r="H110" i="2"/>
  <c r="J109" i="2"/>
  <c r="K109" i="2" s="1"/>
  <c r="H109" i="2"/>
  <c r="I109" i="2" s="1"/>
  <c r="K108" i="2"/>
  <c r="J108" i="2"/>
  <c r="H108" i="2"/>
  <c r="I108" i="2" s="1"/>
  <c r="J107" i="2"/>
  <c r="K107" i="2" s="1"/>
  <c r="I107" i="2"/>
  <c r="H107" i="2"/>
  <c r="K106" i="2"/>
  <c r="J106" i="2"/>
  <c r="I106" i="2"/>
  <c r="H106" i="2"/>
  <c r="J105" i="2"/>
  <c r="H105" i="2"/>
  <c r="I105" i="2" s="1"/>
  <c r="J104" i="2"/>
  <c r="H104" i="2"/>
  <c r="K104" i="2" s="1"/>
  <c r="J103" i="2"/>
  <c r="I103" i="2"/>
  <c r="H103" i="2"/>
  <c r="J102" i="2"/>
  <c r="H102" i="2"/>
  <c r="J101" i="2"/>
  <c r="K101" i="2" s="1"/>
  <c r="H101" i="2"/>
  <c r="I101" i="2" s="1"/>
  <c r="K100" i="2"/>
  <c r="J100" i="2"/>
  <c r="H100" i="2"/>
  <c r="I100" i="2" s="1"/>
  <c r="J99" i="2"/>
  <c r="K99" i="2" s="1"/>
  <c r="I99" i="2"/>
  <c r="H99" i="2"/>
  <c r="K98" i="2"/>
  <c r="J98" i="2"/>
  <c r="I98" i="2"/>
  <c r="H98" i="2"/>
  <c r="J97" i="2"/>
  <c r="H97" i="2"/>
  <c r="I97" i="2" s="1"/>
  <c r="J96" i="2"/>
  <c r="H96" i="2"/>
  <c r="I96" i="2" s="1"/>
  <c r="J95" i="2"/>
  <c r="H95" i="2"/>
  <c r="I95" i="2" s="1"/>
  <c r="K94" i="2"/>
  <c r="J94" i="2"/>
  <c r="I94" i="2"/>
  <c r="H94" i="2"/>
  <c r="J93" i="2"/>
  <c r="K93" i="2" s="1"/>
  <c r="H93" i="2"/>
  <c r="I93" i="2" s="1"/>
  <c r="K92" i="2"/>
  <c r="J92" i="2"/>
  <c r="H92" i="2"/>
  <c r="I92" i="2" s="1"/>
  <c r="J91" i="2"/>
  <c r="K91" i="2" s="1"/>
  <c r="I91" i="2"/>
  <c r="H91" i="2"/>
  <c r="K90" i="2"/>
  <c r="J90" i="2"/>
  <c r="I90" i="2"/>
  <c r="H90" i="2"/>
  <c r="J89" i="2"/>
  <c r="H89" i="2"/>
  <c r="I89" i="2" s="1"/>
  <c r="J88" i="2"/>
  <c r="H88" i="2"/>
  <c r="K88" i="2" s="1"/>
  <c r="J87" i="2"/>
  <c r="I87" i="2"/>
  <c r="H87" i="2"/>
  <c r="J86" i="2"/>
  <c r="H86" i="2"/>
  <c r="J85" i="2"/>
  <c r="K85" i="2" s="1"/>
  <c r="H85" i="2"/>
  <c r="I85" i="2" s="1"/>
  <c r="K84" i="2"/>
  <c r="J84" i="2"/>
  <c r="H84" i="2"/>
  <c r="I84" i="2" s="1"/>
  <c r="J83" i="2"/>
  <c r="K83" i="2" s="1"/>
  <c r="I83" i="2"/>
  <c r="H83" i="2"/>
  <c r="K82" i="2"/>
  <c r="J82" i="2"/>
  <c r="I82" i="2"/>
  <c r="H82" i="2"/>
  <c r="J81" i="2"/>
  <c r="I81" i="2"/>
  <c r="H81" i="2"/>
  <c r="J80" i="2"/>
  <c r="H80" i="2"/>
  <c r="I80" i="2" s="1"/>
  <c r="J79" i="2"/>
  <c r="H79" i="2"/>
  <c r="I79" i="2" s="1"/>
  <c r="K78" i="2"/>
  <c r="J78" i="2"/>
  <c r="I78" i="2"/>
  <c r="H78" i="2"/>
  <c r="J77" i="2"/>
  <c r="K77" i="2" s="1"/>
  <c r="H77" i="2"/>
  <c r="I77" i="2" s="1"/>
  <c r="K76" i="2"/>
  <c r="J76" i="2"/>
  <c r="H76" i="2"/>
  <c r="I76" i="2" s="1"/>
  <c r="J75" i="2"/>
  <c r="K75" i="2" s="1"/>
  <c r="I75" i="2"/>
  <c r="H75" i="2"/>
  <c r="J74" i="2"/>
  <c r="K74" i="2" s="1"/>
  <c r="I74" i="2"/>
  <c r="H74" i="2"/>
  <c r="J73" i="2"/>
  <c r="H73" i="2"/>
  <c r="I73" i="2" s="1"/>
  <c r="J72" i="2"/>
  <c r="I72" i="2"/>
  <c r="H72" i="2"/>
  <c r="J71" i="2"/>
  <c r="I71" i="2"/>
  <c r="H71" i="2"/>
  <c r="J70" i="2"/>
  <c r="H70" i="2"/>
  <c r="J69" i="2"/>
  <c r="K69" i="2" s="1"/>
  <c r="H69" i="2"/>
  <c r="I69" i="2" s="1"/>
  <c r="J68" i="2"/>
  <c r="K68" i="2" s="1"/>
  <c r="H68" i="2"/>
  <c r="I68" i="2" s="1"/>
  <c r="J67" i="2"/>
  <c r="K67" i="2" s="1"/>
  <c r="I67" i="2"/>
  <c r="H67" i="2"/>
  <c r="K66" i="2"/>
  <c r="J66" i="2"/>
  <c r="I66" i="2"/>
  <c r="H66" i="2"/>
  <c r="J65" i="2"/>
  <c r="I65" i="2"/>
  <c r="H65" i="2"/>
  <c r="J64" i="2"/>
  <c r="K64" i="2" s="1"/>
  <c r="H64" i="2"/>
  <c r="I64" i="2" s="1"/>
  <c r="J63" i="2"/>
  <c r="H63" i="2"/>
  <c r="I63" i="2" s="1"/>
  <c r="K62" i="2"/>
  <c r="J62" i="2"/>
  <c r="I62" i="2"/>
  <c r="H62" i="2"/>
  <c r="J61" i="2"/>
  <c r="K61" i="2" s="1"/>
  <c r="H61" i="2"/>
  <c r="I61" i="2" s="1"/>
  <c r="J60" i="2"/>
  <c r="K60" i="2" s="1"/>
  <c r="H60" i="2"/>
  <c r="I60" i="2" s="1"/>
  <c r="J59" i="2"/>
  <c r="K59" i="2" s="1"/>
  <c r="I59" i="2"/>
  <c r="H59" i="2"/>
  <c r="J58" i="2"/>
  <c r="K58" i="2" s="1"/>
  <c r="I58" i="2"/>
  <c r="H58" i="2"/>
  <c r="J57" i="2"/>
  <c r="H57" i="2"/>
  <c r="I57" i="2" s="1"/>
  <c r="J56" i="2"/>
  <c r="I56" i="2"/>
  <c r="H56" i="2"/>
  <c r="J55" i="2"/>
  <c r="I55" i="2"/>
  <c r="H55" i="2"/>
  <c r="J54" i="2"/>
  <c r="H54" i="2"/>
  <c r="J53" i="2"/>
  <c r="K53" i="2" s="1"/>
  <c r="H53" i="2"/>
  <c r="I53" i="2" s="1"/>
  <c r="J52" i="2"/>
  <c r="K52" i="2" s="1"/>
  <c r="H52" i="2"/>
  <c r="I52" i="2" s="1"/>
  <c r="J51" i="2"/>
  <c r="K51" i="2" s="1"/>
  <c r="I51" i="2"/>
  <c r="H51" i="2"/>
  <c r="K50" i="2"/>
  <c r="J50" i="2"/>
  <c r="I50" i="2"/>
  <c r="H50" i="2"/>
  <c r="J49" i="2"/>
  <c r="I49" i="2"/>
  <c r="H49" i="2"/>
  <c r="J48" i="2"/>
  <c r="K48" i="2" s="1"/>
  <c r="H48" i="2"/>
  <c r="I48" i="2" s="1"/>
  <c r="J47" i="2"/>
  <c r="H47" i="2"/>
  <c r="I47" i="2" s="1"/>
  <c r="K46" i="2"/>
  <c r="J46" i="2"/>
  <c r="I46" i="2"/>
  <c r="H46" i="2"/>
  <c r="J45" i="2"/>
  <c r="K45" i="2" s="1"/>
  <c r="H45" i="2"/>
  <c r="I45" i="2" s="1"/>
  <c r="J44" i="2"/>
  <c r="K44" i="2" s="1"/>
  <c r="H44" i="2"/>
  <c r="I44" i="2" s="1"/>
  <c r="J43" i="2"/>
  <c r="K43" i="2" s="1"/>
  <c r="H43" i="2"/>
  <c r="I43" i="2" s="1"/>
  <c r="J42" i="2"/>
  <c r="K42" i="2" s="1"/>
  <c r="H42" i="2"/>
  <c r="I42" i="2" s="1"/>
  <c r="J41" i="2"/>
  <c r="K41" i="2" s="1"/>
  <c r="H41" i="2"/>
  <c r="I41" i="2" s="1"/>
  <c r="J40" i="2"/>
  <c r="K40" i="2" s="1"/>
  <c r="H40" i="2"/>
  <c r="I40" i="2" s="1"/>
  <c r="J39" i="2"/>
  <c r="K39" i="2" s="1"/>
  <c r="H39" i="2"/>
  <c r="I39" i="2" s="1"/>
  <c r="K38" i="2"/>
  <c r="J38" i="2"/>
  <c r="H38" i="2"/>
  <c r="I38" i="2" s="1"/>
  <c r="J37" i="2"/>
  <c r="K37" i="2" s="1"/>
  <c r="H37" i="2"/>
  <c r="I37" i="2" s="1"/>
  <c r="K36" i="2"/>
  <c r="J36" i="2"/>
  <c r="H36" i="2"/>
  <c r="I36" i="2" s="1"/>
  <c r="J35" i="2"/>
  <c r="K35" i="2" s="1"/>
  <c r="H35" i="2"/>
  <c r="I35" i="2" s="1"/>
  <c r="J34" i="2"/>
  <c r="K34" i="2" s="1"/>
  <c r="H34" i="2"/>
  <c r="I34" i="2" s="1"/>
  <c r="J33" i="2"/>
  <c r="K33" i="2" s="1"/>
  <c r="H33" i="2"/>
  <c r="I33" i="2" s="1"/>
  <c r="K32" i="2"/>
  <c r="J32" i="2"/>
  <c r="H32" i="2"/>
  <c r="I32" i="2" s="1"/>
  <c r="J31" i="2"/>
  <c r="K31" i="2" s="1"/>
  <c r="H31" i="2"/>
  <c r="I31" i="2" s="1"/>
  <c r="J30" i="2"/>
  <c r="K30" i="2" s="1"/>
  <c r="H30" i="2"/>
  <c r="I30" i="2" s="1"/>
  <c r="J29" i="2"/>
  <c r="K29" i="2" s="1"/>
  <c r="H29" i="2"/>
  <c r="I29" i="2" s="1"/>
  <c r="J28" i="2"/>
  <c r="K28" i="2" s="1"/>
  <c r="H28" i="2"/>
  <c r="I28" i="2" s="1"/>
  <c r="J27" i="2"/>
  <c r="K27" i="2" s="1"/>
  <c r="H27" i="2"/>
  <c r="I27" i="2" s="1"/>
  <c r="J26" i="2"/>
  <c r="K26" i="2" s="1"/>
  <c r="H26" i="2"/>
  <c r="I26" i="2" s="1"/>
  <c r="J25" i="2"/>
  <c r="K25" i="2" s="1"/>
  <c r="H25" i="2"/>
  <c r="I25" i="2" s="1"/>
  <c r="J24" i="2"/>
  <c r="K24" i="2" s="1"/>
  <c r="H24" i="2"/>
  <c r="I24" i="2" s="1"/>
  <c r="J23" i="2"/>
  <c r="K23" i="2" s="1"/>
  <c r="H23" i="2"/>
  <c r="I23" i="2" s="1"/>
  <c r="K22" i="2"/>
  <c r="J22" i="2"/>
  <c r="H22" i="2"/>
  <c r="I22" i="2" s="1"/>
  <c r="J21" i="2"/>
  <c r="K21" i="2" s="1"/>
  <c r="H21" i="2"/>
  <c r="I21" i="2" s="1"/>
  <c r="K20" i="2"/>
  <c r="J20" i="2"/>
  <c r="H20" i="2"/>
  <c r="I20" i="2" s="1"/>
  <c r="J19" i="2"/>
  <c r="K19" i="2" s="1"/>
  <c r="H19" i="2"/>
  <c r="I19" i="2" s="1"/>
  <c r="J18" i="2"/>
  <c r="K18" i="2" s="1"/>
  <c r="H18" i="2"/>
  <c r="I18" i="2" s="1"/>
  <c r="J17" i="2"/>
  <c r="K17" i="2" s="1"/>
  <c r="H17" i="2"/>
  <c r="I17" i="2" s="1"/>
  <c r="K16" i="2"/>
  <c r="J16" i="2"/>
  <c r="H16" i="2"/>
  <c r="I16" i="2" s="1"/>
  <c r="J15" i="2"/>
  <c r="K15" i="2" s="1"/>
  <c r="H15" i="2"/>
  <c r="I15" i="2" s="1"/>
  <c r="J14" i="2"/>
  <c r="K14" i="2" s="1"/>
  <c r="H14" i="2"/>
  <c r="I14" i="2" s="1"/>
  <c r="J13" i="2"/>
  <c r="K13" i="2" s="1"/>
  <c r="H13" i="2"/>
  <c r="I13" i="2" s="1"/>
  <c r="J12" i="2"/>
  <c r="K12" i="2" s="1"/>
  <c r="H12" i="2"/>
  <c r="I12" i="2" s="1"/>
  <c r="J11" i="2"/>
  <c r="K11" i="2" s="1"/>
  <c r="H11" i="2"/>
  <c r="I11" i="2" s="1"/>
  <c r="J10" i="2"/>
  <c r="K10" i="2" s="1"/>
  <c r="H10" i="2"/>
  <c r="I10" i="2" s="1"/>
  <c r="J9" i="2"/>
  <c r="K9" i="2" s="1"/>
  <c r="H9" i="2"/>
  <c r="I9" i="2" s="1"/>
  <c r="J8" i="2"/>
  <c r="K8" i="2" s="1"/>
  <c r="H8" i="2"/>
  <c r="I8" i="2" s="1"/>
  <c r="K7" i="2"/>
  <c r="I7" i="2"/>
  <c r="H7" i="2"/>
  <c r="AI220" i="1"/>
  <c r="AH220" i="1"/>
  <c r="AG220" i="1"/>
  <c r="AF220" i="1"/>
  <c r="AE220" i="1"/>
  <c r="AD220" i="1"/>
  <c r="AC220" i="1"/>
  <c r="AB220" i="1"/>
  <c r="K214" i="16" s="1"/>
  <c r="L214" i="16" s="1"/>
  <c r="AA220" i="1"/>
  <c r="Z220" i="1"/>
  <c r="G214" i="16" s="1"/>
  <c r="Y220" i="1"/>
  <c r="X220" i="1"/>
  <c r="C214" i="16" s="1"/>
  <c r="W220" i="1"/>
  <c r="V220" i="1"/>
  <c r="U220" i="1"/>
  <c r="T220" i="1"/>
  <c r="S220" i="1"/>
  <c r="R220" i="1"/>
  <c r="Q220" i="1"/>
  <c r="P220" i="1"/>
  <c r="O220" i="1"/>
  <c r="N220" i="1"/>
  <c r="M220" i="1"/>
  <c r="L220" i="1"/>
  <c r="AK220" i="1" s="1"/>
  <c r="K220" i="1"/>
  <c r="J220" i="1"/>
  <c r="I220" i="1"/>
  <c r="G220" i="1" s="1"/>
  <c r="H220" i="1"/>
  <c r="AI219" i="1"/>
  <c r="AH219" i="1"/>
  <c r="AG219" i="1"/>
  <c r="AF219" i="1"/>
  <c r="AE219" i="1"/>
  <c r="AD219" i="1"/>
  <c r="AC219" i="1"/>
  <c r="AB219" i="1"/>
  <c r="K213" i="16" s="1"/>
  <c r="L213" i="16" s="1"/>
  <c r="AA219" i="1"/>
  <c r="Z219" i="1"/>
  <c r="G213" i="16" s="1"/>
  <c r="Y219" i="1"/>
  <c r="X219" i="1"/>
  <c r="C213" i="16" s="1"/>
  <c r="W219" i="1"/>
  <c r="V219" i="1"/>
  <c r="U219" i="1"/>
  <c r="T219" i="1"/>
  <c r="S219" i="1"/>
  <c r="R219" i="1"/>
  <c r="Q219" i="1"/>
  <c r="P219" i="1"/>
  <c r="O219" i="1"/>
  <c r="N219" i="1"/>
  <c r="M219" i="1"/>
  <c r="L219" i="1"/>
  <c r="AK219" i="1" s="1"/>
  <c r="K219" i="1"/>
  <c r="J219" i="1"/>
  <c r="I219" i="1"/>
  <c r="H219" i="1"/>
  <c r="AI218" i="1"/>
  <c r="AH218" i="1"/>
  <c r="AG218" i="1"/>
  <c r="AF218" i="1"/>
  <c r="AE218" i="1"/>
  <c r="AD218" i="1"/>
  <c r="AC218" i="1"/>
  <c r="AB218" i="1"/>
  <c r="K212" i="16" s="1"/>
  <c r="AA218" i="1"/>
  <c r="Z218" i="1"/>
  <c r="G212" i="16" s="1"/>
  <c r="Y218" i="1"/>
  <c r="X218" i="1"/>
  <c r="C212" i="16" s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AK217" i="1"/>
  <c r="AI216" i="1"/>
  <c r="AH216" i="1"/>
  <c r="AG216" i="1"/>
  <c r="AF216" i="1"/>
  <c r="AE216" i="1"/>
  <c r="AD216" i="1"/>
  <c r="AC216" i="1"/>
  <c r="AB216" i="1"/>
  <c r="K210" i="16" s="1"/>
  <c r="AA216" i="1"/>
  <c r="Z216" i="1"/>
  <c r="G210" i="16" s="1"/>
  <c r="L210" i="16" s="1"/>
  <c r="Y216" i="1"/>
  <c r="X216" i="1"/>
  <c r="C210" i="16" s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AK216" i="1" s="1"/>
  <c r="AI215" i="1"/>
  <c r="AH215" i="1"/>
  <c r="AG215" i="1"/>
  <c r="AF215" i="1"/>
  <c r="AE215" i="1"/>
  <c r="AD215" i="1"/>
  <c r="AC215" i="1"/>
  <c r="AB215" i="1"/>
  <c r="K209" i="16" s="1"/>
  <c r="AA215" i="1"/>
  <c r="Z215" i="1"/>
  <c r="G209" i="16" s="1"/>
  <c r="Y215" i="1"/>
  <c r="X215" i="1"/>
  <c r="C209" i="16" s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G215" i="1" s="1"/>
  <c r="H215" i="1"/>
  <c r="AK215" i="1" s="1"/>
  <c r="AI214" i="1"/>
  <c r="AH214" i="1"/>
  <c r="AG214" i="1"/>
  <c r="AF214" i="1"/>
  <c r="AE214" i="1"/>
  <c r="AD214" i="1"/>
  <c r="AC214" i="1"/>
  <c r="AB214" i="1"/>
  <c r="K208" i="16" s="1"/>
  <c r="AA214" i="1"/>
  <c r="Z214" i="1"/>
  <c r="G208" i="16" s="1"/>
  <c r="Y214" i="1"/>
  <c r="X214" i="1"/>
  <c r="C208" i="16" s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G214" i="1" s="1"/>
  <c r="H214" i="1"/>
  <c r="AK214" i="1" s="1"/>
  <c r="AI213" i="1"/>
  <c r="AH213" i="1"/>
  <c r="AG213" i="1"/>
  <c r="AF213" i="1"/>
  <c r="AE213" i="1"/>
  <c r="AD213" i="1"/>
  <c r="AC213" i="1"/>
  <c r="AB213" i="1"/>
  <c r="K207" i="16" s="1"/>
  <c r="AA213" i="1"/>
  <c r="Z213" i="1"/>
  <c r="G207" i="16" s="1"/>
  <c r="Y213" i="1"/>
  <c r="X213" i="1"/>
  <c r="C207" i="16" s="1"/>
  <c r="W213" i="1"/>
  <c r="V213" i="1"/>
  <c r="U213" i="1"/>
  <c r="T213" i="1"/>
  <c r="S213" i="1"/>
  <c r="R213" i="1"/>
  <c r="Q213" i="1"/>
  <c r="G213" i="1" s="1"/>
  <c r="P213" i="1"/>
  <c r="O213" i="1"/>
  <c r="N213" i="1"/>
  <c r="M213" i="1"/>
  <c r="L213" i="1"/>
  <c r="K213" i="1"/>
  <c r="J213" i="1"/>
  <c r="I213" i="1"/>
  <c r="H213" i="1"/>
  <c r="AK213" i="1" s="1"/>
  <c r="AI212" i="1"/>
  <c r="AH212" i="1"/>
  <c r="AG212" i="1"/>
  <c r="AF212" i="1"/>
  <c r="AE212" i="1"/>
  <c r="AD212" i="1"/>
  <c r="AC212" i="1"/>
  <c r="AB212" i="1"/>
  <c r="K206" i="16" s="1"/>
  <c r="AA212" i="1"/>
  <c r="Z212" i="1"/>
  <c r="G206" i="16" s="1"/>
  <c r="Y212" i="1"/>
  <c r="X212" i="1"/>
  <c r="C206" i="16" s="1"/>
  <c r="W212" i="1"/>
  <c r="V212" i="1"/>
  <c r="U212" i="1"/>
  <c r="T212" i="1"/>
  <c r="S212" i="1"/>
  <c r="R212" i="1"/>
  <c r="Q212" i="1"/>
  <c r="G212" i="1" s="1"/>
  <c r="P212" i="1"/>
  <c r="O212" i="1"/>
  <c r="N212" i="1"/>
  <c r="M212" i="1"/>
  <c r="L212" i="1"/>
  <c r="K212" i="1"/>
  <c r="J212" i="1"/>
  <c r="I212" i="1"/>
  <c r="H212" i="1"/>
  <c r="AI211" i="1"/>
  <c r="AH211" i="1"/>
  <c r="AG211" i="1"/>
  <c r="AF211" i="1"/>
  <c r="AE211" i="1"/>
  <c r="AD211" i="1"/>
  <c r="AC211" i="1"/>
  <c r="AB211" i="1"/>
  <c r="K205" i="16" s="1"/>
  <c r="AA211" i="1"/>
  <c r="Z211" i="1"/>
  <c r="G205" i="16" s="1"/>
  <c r="Y211" i="1"/>
  <c r="X211" i="1"/>
  <c r="C205" i="16" s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G211" i="1" s="1"/>
  <c r="H211" i="1"/>
  <c r="AI210" i="1"/>
  <c r="AH210" i="1"/>
  <c r="AG210" i="1"/>
  <c r="AF210" i="1"/>
  <c r="AE210" i="1"/>
  <c r="AD210" i="1"/>
  <c r="AC210" i="1"/>
  <c r="AB210" i="1"/>
  <c r="K204" i="16" s="1"/>
  <c r="L204" i="16" s="1"/>
  <c r="AA210" i="1"/>
  <c r="Z210" i="1"/>
  <c r="G204" i="16" s="1"/>
  <c r="Y210" i="1"/>
  <c r="X210" i="1"/>
  <c r="C204" i="16" s="1"/>
  <c r="W210" i="1"/>
  <c r="V210" i="1"/>
  <c r="U210" i="1"/>
  <c r="T210" i="1"/>
  <c r="S210" i="1"/>
  <c r="R210" i="1"/>
  <c r="Q210" i="1"/>
  <c r="P210" i="1"/>
  <c r="O210" i="1"/>
  <c r="N210" i="1"/>
  <c r="M210" i="1"/>
  <c r="L210" i="1"/>
  <c r="AK210" i="1" s="1"/>
  <c r="K210" i="1"/>
  <c r="J210" i="1"/>
  <c r="I210" i="1"/>
  <c r="H210" i="1"/>
  <c r="AI209" i="1"/>
  <c r="AH209" i="1"/>
  <c r="AG209" i="1"/>
  <c r="AF209" i="1"/>
  <c r="AE209" i="1"/>
  <c r="AD209" i="1"/>
  <c r="AC209" i="1"/>
  <c r="AB209" i="1"/>
  <c r="K203" i="16" s="1"/>
  <c r="L203" i="16" s="1"/>
  <c r="AA209" i="1"/>
  <c r="Z209" i="1"/>
  <c r="G203" i="16" s="1"/>
  <c r="Y209" i="1"/>
  <c r="X209" i="1"/>
  <c r="C203" i="16" s="1"/>
  <c r="W209" i="1"/>
  <c r="V209" i="1"/>
  <c r="U209" i="1"/>
  <c r="T209" i="1"/>
  <c r="S209" i="1"/>
  <c r="R209" i="1"/>
  <c r="Q209" i="1"/>
  <c r="P209" i="1"/>
  <c r="O209" i="1"/>
  <c r="N209" i="1"/>
  <c r="M209" i="1"/>
  <c r="L209" i="1"/>
  <c r="AK209" i="1" s="1"/>
  <c r="K209" i="1"/>
  <c r="J209" i="1"/>
  <c r="I209" i="1"/>
  <c r="H209" i="1"/>
  <c r="AI208" i="1"/>
  <c r="AH208" i="1"/>
  <c r="AG208" i="1"/>
  <c r="AF208" i="1"/>
  <c r="AE208" i="1"/>
  <c r="AD208" i="1"/>
  <c r="AC208" i="1"/>
  <c r="AB208" i="1"/>
  <c r="K202" i="16" s="1"/>
  <c r="AA208" i="1"/>
  <c r="Z208" i="1"/>
  <c r="G202" i="16" s="1"/>
  <c r="Y208" i="1"/>
  <c r="X208" i="1"/>
  <c r="C202" i="16" s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AI207" i="1"/>
  <c r="AH207" i="1"/>
  <c r="AG207" i="1"/>
  <c r="AF207" i="1"/>
  <c r="AE207" i="1"/>
  <c r="AD207" i="1"/>
  <c r="AC207" i="1"/>
  <c r="AB207" i="1"/>
  <c r="K201" i="16" s="1"/>
  <c r="AA207" i="1"/>
  <c r="Z207" i="1"/>
  <c r="G201" i="16" s="1"/>
  <c r="Y207" i="1"/>
  <c r="X207" i="1"/>
  <c r="C201" i="16" s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G207" i="1" s="1"/>
  <c r="H207" i="1"/>
  <c r="AI206" i="1"/>
  <c r="AH206" i="1"/>
  <c r="AG206" i="1"/>
  <c r="AF206" i="1"/>
  <c r="AE206" i="1"/>
  <c r="AD206" i="1"/>
  <c r="AC206" i="1"/>
  <c r="AB206" i="1"/>
  <c r="K200" i="16" s="1"/>
  <c r="AA206" i="1"/>
  <c r="Z206" i="1"/>
  <c r="G200" i="16" s="1"/>
  <c r="Y206" i="1"/>
  <c r="X206" i="1"/>
  <c r="C200" i="16" s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G206" i="1" s="1"/>
  <c r="H206" i="1"/>
  <c r="AK206" i="1" s="1"/>
  <c r="AI205" i="1"/>
  <c r="AH205" i="1"/>
  <c r="AG205" i="1"/>
  <c r="AF205" i="1"/>
  <c r="AE205" i="1"/>
  <c r="AD205" i="1"/>
  <c r="AC205" i="1"/>
  <c r="AB205" i="1"/>
  <c r="K199" i="16" s="1"/>
  <c r="AA205" i="1"/>
  <c r="Z205" i="1"/>
  <c r="G199" i="16" s="1"/>
  <c r="Y205" i="1"/>
  <c r="X205" i="1"/>
  <c r="C199" i="16" s="1"/>
  <c r="W205" i="1"/>
  <c r="V205" i="1"/>
  <c r="U205" i="1"/>
  <c r="T205" i="1"/>
  <c r="S205" i="1"/>
  <c r="R205" i="1"/>
  <c r="Q205" i="1"/>
  <c r="G205" i="1" s="1"/>
  <c r="P205" i="1"/>
  <c r="O205" i="1"/>
  <c r="N205" i="1"/>
  <c r="M205" i="1"/>
  <c r="L205" i="1"/>
  <c r="K205" i="1"/>
  <c r="J205" i="1"/>
  <c r="I205" i="1"/>
  <c r="H205" i="1"/>
  <c r="AK205" i="1" s="1"/>
  <c r="AI204" i="1"/>
  <c r="AH204" i="1"/>
  <c r="AG204" i="1"/>
  <c r="AF204" i="1"/>
  <c r="AE204" i="1"/>
  <c r="AD204" i="1"/>
  <c r="AC204" i="1"/>
  <c r="AB204" i="1"/>
  <c r="K198" i="16" s="1"/>
  <c r="AA204" i="1"/>
  <c r="Z204" i="1"/>
  <c r="G198" i="16" s="1"/>
  <c r="Y204" i="1"/>
  <c r="X204" i="1"/>
  <c r="C198" i="16" s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AI203" i="1"/>
  <c r="AH203" i="1"/>
  <c r="AG203" i="1"/>
  <c r="AF203" i="1"/>
  <c r="AE203" i="1"/>
  <c r="AD203" i="1"/>
  <c r="AC203" i="1"/>
  <c r="AB203" i="1"/>
  <c r="K197" i="16" s="1"/>
  <c r="AA203" i="1"/>
  <c r="Z203" i="1"/>
  <c r="G197" i="16" s="1"/>
  <c r="Y203" i="1"/>
  <c r="X203" i="1"/>
  <c r="C197" i="16" s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AK203" i="1" s="1"/>
  <c r="AI202" i="1"/>
  <c r="AH202" i="1"/>
  <c r="AG202" i="1"/>
  <c r="AF202" i="1"/>
  <c r="AE202" i="1"/>
  <c r="AD202" i="1"/>
  <c r="AC202" i="1"/>
  <c r="AB202" i="1"/>
  <c r="K196" i="16" s="1"/>
  <c r="L196" i="16" s="1"/>
  <c r="AA202" i="1"/>
  <c r="Z202" i="1"/>
  <c r="G196" i="16" s="1"/>
  <c r="Y202" i="1"/>
  <c r="X202" i="1"/>
  <c r="C196" i="16" s="1"/>
  <c r="W202" i="1"/>
  <c r="V202" i="1"/>
  <c r="U202" i="1"/>
  <c r="T202" i="1"/>
  <c r="S202" i="1"/>
  <c r="R202" i="1"/>
  <c r="Q202" i="1"/>
  <c r="P202" i="1"/>
  <c r="O202" i="1"/>
  <c r="N202" i="1"/>
  <c r="M202" i="1"/>
  <c r="L202" i="1"/>
  <c r="AK202" i="1" s="1"/>
  <c r="K202" i="1"/>
  <c r="J202" i="1"/>
  <c r="I202" i="1"/>
  <c r="H202" i="1"/>
  <c r="AI201" i="1"/>
  <c r="AH201" i="1"/>
  <c r="AG201" i="1"/>
  <c r="AF201" i="1"/>
  <c r="AE201" i="1"/>
  <c r="AD201" i="1"/>
  <c r="AC201" i="1"/>
  <c r="AB201" i="1"/>
  <c r="K195" i="16" s="1"/>
  <c r="L195" i="16" s="1"/>
  <c r="AA201" i="1"/>
  <c r="Z201" i="1"/>
  <c r="G195" i="16" s="1"/>
  <c r="Y201" i="1"/>
  <c r="X201" i="1"/>
  <c r="C195" i="16" s="1"/>
  <c r="W201" i="1"/>
  <c r="V201" i="1"/>
  <c r="U201" i="1"/>
  <c r="T201" i="1"/>
  <c r="S201" i="1"/>
  <c r="R201" i="1"/>
  <c r="Q201" i="1"/>
  <c r="P201" i="1"/>
  <c r="O201" i="1"/>
  <c r="N201" i="1"/>
  <c r="M201" i="1"/>
  <c r="L201" i="1"/>
  <c r="AK201" i="1" s="1"/>
  <c r="K201" i="1"/>
  <c r="J201" i="1"/>
  <c r="I201" i="1"/>
  <c r="H201" i="1"/>
  <c r="AI200" i="1"/>
  <c r="AH200" i="1"/>
  <c r="AG200" i="1"/>
  <c r="AF200" i="1"/>
  <c r="AE200" i="1"/>
  <c r="AD200" i="1"/>
  <c r="AC200" i="1"/>
  <c r="AB200" i="1"/>
  <c r="K194" i="16" s="1"/>
  <c r="AA200" i="1"/>
  <c r="Z200" i="1"/>
  <c r="G194" i="16" s="1"/>
  <c r="Y200" i="1"/>
  <c r="X200" i="1"/>
  <c r="C194" i="16" s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AK200" i="1" s="1"/>
  <c r="AI199" i="1"/>
  <c r="AH199" i="1"/>
  <c r="AG199" i="1"/>
  <c r="AF199" i="1"/>
  <c r="AE199" i="1"/>
  <c r="AD199" i="1"/>
  <c r="AC199" i="1"/>
  <c r="AB199" i="1"/>
  <c r="K193" i="16" s="1"/>
  <c r="AA199" i="1"/>
  <c r="Z199" i="1"/>
  <c r="G193" i="16" s="1"/>
  <c r="Y199" i="1"/>
  <c r="X199" i="1"/>
  <c r="C193" i="16" s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G199" i="1" s="1"/>
  <c r="H199" i="1"/>
  <c r="AK199" i="1" s="1"/>
  <c r="AI198" i="1"/>
  <c r="AH198" i="1"/>
  <c r="AG198" i="1"/>
  <c r="AF198" i="1"/>
  <c r="AE198" i="1"/>
  <c r="AD198" i="1"/>
  <c r="AC198" i="1"/>
  <c r="AB198" i="1"/>
  <c r="K192" i="16" s="1"/>
  <c r="AA198" i="1"/>
  <c r="Z198" i="1"/>
  <c r="G192" i="16" s="1"/>
  <c r="Y198" i="1"/>
  <c r="X198" i="1"/>
  <c r="C192" i="16" s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G198" i="1" s="1"/>
  <c r="H198" i="1"/>
  <c r="AK198" i="1" s="1"/>
  <c r="AI197" i="1"/>
  <c r="AH197" i="1"/>
  <c r="AG197" i="1"/>
  <c r="AF197" i="1"/>
  <c r="AE197" i="1"/>
  <c r="AD197" i="1"/>
  <c r="AC197" i="1"/>
  <c r="AB197" i="1"/>
  <c r="K191" i="16" s="1"/>
  <c r="AA197" i="1"/>
  <c r="Z197" i="1"/>
  <c r="G191" i="16" s="1"/>
  <c r="Y197" i="1"/>
  <c r="X197" i="1"/>
  <c r="C191" i="16" s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AK197" i="1" s="1"/>
  <c r="AI196" i="1"/>
  <c r="AH196" i="1"/>
  <c r="AG196" i="1"/>
  <c r="AF196" i="1"/>
  <c r="AE196" i="1"/>
  <c r="AD196" i="1"/>
  <c r="AC196" i="1"/>
  <c r="AB196" i="1"/>
  <c r="K190" i="16" s="1"/>
  <c r="AA196" i="1"/>
  <c r="Z196" i="1"/>
  <c r="G190" i="16" s="1"/>
  <c r="Y196" i="1"/>
  <c r="X196" i="1"/>
  <c r="C190" i="16" s="1"/>
  <c r="W196" i="1"/>
  <c r="V196" i="1"/>
  <c r="U196" i="1"/>
  <c r="T196" i="1"/>
  <c r="S196" i="1"/>
  <c r="R196" i="1"/>
  <c r="Q196" i="1"/>
  <c r="G196" i="1" s="1"/>
  <c r="P196" i="1"/>
  <c r="O196" i="1"/>
  <c r="N196" i="1"/>
  <c r="M196" i="1"/>
  <c r="L196" i="1"/>
  <c r="K196" i="1"/>
  <c r="J196" i="1"/>
  <c r="I196" i="1"/>
  <c r="H196" i="1"/>
  <c r="AI195" i="1"/>
  <c r="AH195" i="1"/>
  <c r="AG195" i="1"/>
  <c r="AF195" i="1"/>
  <c r="AE195" i="1"/>
  <c r="AD195" i="1"/>
  <c r="AC195" i="1"/>
  <c r="AB195" i="1"/>
  <c r="K189" i="16" s="1"/>
  <c r="AA195" i="1"/>
  <c r="Z195" i="1"/>
  <c r="G189" i="16" s="1"/>
  <c r="Y195" i="1"/>
  <c r="X195" i="1"/>
  <c r="C189" i="16" s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AK195" i="1" s="1"/>
  <c r="AI194" i="1"/>
  <c r="AH194" i="1"/>
  <c r="AG194" i="1"/>
  <c r="AF194" i="1"/>
  <c r="AE194" i="1"/>
  <c r="AD194" i="1"/>
  <c r="AC194" i="1"/>
  <c r="AB194" i="1"/>
  <c r="K188" i="16" s="1"/>
  <c r="L188" i="16" s="1"/>
  <c r="AA194" i="1"/>
  <c r="Z194" i="1"/>
  <c r="G188" i="16" s="1"/>
  <c r="Y194" i="1"/>
  <c r="X194" i="1"/>
  <c r="C188" i="16" s="1"/>
  <c r="W194" i="1"/>
  <c r="V194" i="1"/>
  <c r="U194" i="1"/>
  <c r="T194" i="1"/>
  <c r="S194" i="1"/>
  <c r="R194" i="1"/>
  <c r="Q194" i="1"/>
  <c r="P194" i="1"/>
  <c r="O194" i="1"/>
  <c r="N194" i="1"/>
  <c r="M194" i="1"/>
  <c r="L194" i="1"/>
  <c r="AK194" i="1" s="1"/>
  <c r="K194" i="1"/>
  <c r="J194" i="1"/>
  <c r="I194" i="1"/>
  <c r="G194" i="1" s="1"/>
  <c r="H194" i="1"/>
  <c r="AI193" i="1"/>
  <c r="AH193" i="1"/>
  <c r="AG193" i="1"/>
  <c r="AF193" i="1"/>
  <c r="AE193" i="1"/>
  <c r="AD193" i="1"/>
  <c r="AC193" i="1"/>
  <c r="AB193" i="1"/>
  <c r="K187" i="16" s="1"/>
  <c r="L187" i="16" s="1"/>
  <c r="AA193" i="1"/>
  <c r="Z193" i="1"/>
  <c r="G187" i="16" s="1"/>
  <c r="Y193" i="1"/>
  <c r="X193" i="1"/>
  <c r="C187" i="16" s="1"/>
  <c r="W193" i="1"/>
  <c r="V193" i="1"/>
  <c r="U193" i="1"/>
  <c r="T193" i="1"/>
  <c r="S193" i="1"/>
  <c r="R193" i="1"/>
  <c r="Q193" i="1"/>
  <c r="P193" i="1"/>
  <c r="O193" i="1"/>
  <c r="N193" i="1"/>
  <c r="M193" i="1"/>
  <c r="L193" i="1"/>
  <c r="AK193" i="1" s="1"/>
  <c r="K193" i="1"/>
  <c r="J193" i="1"/>
  <c r="I193" i="1"/>
  <c r="H193" i="1"/>
  <c r="AK192" i="1"/>
  <c r="AK191" i="1"/>
  <c r="AI190" i="1"/>
  <c r="AH190" i="1"/>
  <c r="AG190" i="1"/>
  <c r="AF190" i="1"/>
  <c r="AE190" i="1"/>
  <c r="AD190" i="1"/>
  <c r="AC190" i="1"/>
  <c r="AB190" i="1"/>
  <c r="K184" i="16" s="1"/>
  <c r="L184" i="16" s="1"/>
  <c r="AA190" i="1"/>
  <c r="Z190" i="1"/>
  <c r="G184" i="16" s="1"/>
  <c r="Y190" i="1"/>
  <c r="X190" i="1"/>
  <c r="C184" i="16" s="1"/>
  <c r="W190" i="1"/>
  <c r="V190" i="1"/>
  <c r="U190" i="1"/>
  <c r="T190" i="1"/>
  <c r="S190" i="1"/>
  <c r="R190" i="1"/>
  <c r="Q190" i="1"/>
  <c r="P190" i="1"/>
  <c r="O190" i="1"/>
  <c r="N190" i="1"/>
  <c r="M190" i="1"/>
  <c r="L190" i="1"/>
  <c r="AK190" i="1" s="1"/>
  <c r="K190" i="1"/>
  <c r="J190" i="1"/>
  <c r="I190" i="1"/>
  <c r="H190" i="1"/>
  <c r="AI189" i="1"/>
  <c r="AH189" i="1"/>
  <c r="AG189" i="1"/>
  <c r="AF189" i="1"/>
  <c r="AE189" i="1"/>
  <c r="AD189" i="1"/>
  <c r="AC189" i="1"/>
  <c r="AB189" i="1"/>
  <c r="K183" i="16" s="1"/>
  <c r="L183" i="16" s="1"/>
  <c r="AA189" i="1"/>
  <c r="Z189" i="1"/>
  <c r="G183" i="16" s="1"/>
  <c r="Y189" i="1"/>
  <c r="X189" i="1"/>
  <c r="C183" i="16" s="1"/>
  <c r="W189" i="1"/>
  <c r="V189" i="1"/>
  <c r="U189" i="1"/>
  <c r="T189" i="1"/>
  <c r="S189" i="1"/>
  <c r="R189" i="1"/>
  <c r="Q189" i="1"/>
  <c r="P189" i="1"/>
  <c r="O189" i="1"/>
  <c r="N189" i="1"/>
  <c r="M189" i="1"/>
  <c r="L189" i="1"/>
  <c r="AK189" i="1" s="1"/>
  <c r="K189" i="1"/>
  <c r="J189" i="1"/>
  <c r="I189" i="1"/>
  <c r="H189" i="1"/>
  <c r="AI188" i="1"/>
  <c r="AH188" i="1"/>
  <c r="AG188" i="1"/>
  <c r="AF188" i="1"/>
  <c r="AE188" i="1"/>
  <c r="AD188" i="1"/>
  <c r="AC188" i="1"/>
  <c r="AB188" i="1"/>
  <c r="K182" i="16" s="1"/>
  <c r="AA188" i="1"/>
  <c r="Z188" i="1"/>
  <c r="G182" i="16" s="1"/>
  <c r="Y188" i="1"/>
  <c r="X188" i="1"/>
  <c r="C182" i="16" s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AI187" i="1"/>
  <c r="AH187" i="1"/>
  <c r="AG187" i="1"/>
  <c r="AF187" i="1"/>
  <c r="AE187" i="1"/>
  <c r="AD187" i="1"/>
  <c r="AC187" i="1"/>
  <c r="AB187" i="1"/>
  <c r="K181" i="16" s="1"/>
  <c r="AA187" i="1"/>
  <c r="Z187" i="1"/>
  <c r="G181" i="16" s="1"/>
  <c r="Y187" i="1"/>
  <c r="X187" i="1"/>
  <c r="C181" i="16" s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G187" i="1" s="1"/>
  <c r="H187" i="1"/>
  <c r="AI186" i="1"/>
  <c r="AH186" i="1"/>
  <c r="AG186" i="1"/>
  <c r="AF186" i="1"/>
  <c r="AE186" i="1"/>
  <c r="AD186" i="1"/>
  <c r="AC186" i="1"/>
  <c r="AB186" i="1"/>
  <c r="K180" i="16" s="1"/>
  <c r="AA186" i="1"/>
  <c r="Z186" i="1"/>
  <c r="G180" i="16" s="1"/>
  <c r="Y186" i="1"/>
  <c r="X186" i="1"/>
  <c r="C180" i="16" s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G186" i="1" s="1"/>
  <c r="H186" i="1"/>
  <c r="AK186" i="1" s="1"/>
  <c r="AI185" i="1"/>
  <c r="AH185" i="1"/>
  <c r="AG185" i="1"/>
  <c r="AF185" i="1"/>
  <c r="AE185" i="1"/>
  <c r="AD185" i="1"/>
  <c r="AC185" i="1"/>
  <c r="AB185" i="1"/>
  <c r="K179" i="16" s="1"/>
  <c r="AA185" i="1"/>
  <c r="Z185" i="1"/>
  <c r="G179" i="16" s="1"/>
  <c r="Y185" i="1"/>
  <c r="X185" i="1"/>
  <c r="C179" i="16" s="1"/>
  <c r="W185" i="1"/>
  <c r="V185" i="1"/>
  <c r="U185" i="1"/>
  <c r="T185" i="1"/>
  <c r="S185" i="1"/>
  <c r="R185" i="1"/>
  <c r="Q185" i="1"/>
  <c r="G185" i="1" s="1"/>
  <c r="P185" i="1"/>
  <c r="O185" i="1"/>
  <c r="N185" i="1"/>
  <c r="M185" i="1"/>
  <c r="L185" i="1"/>
  <c r="K185" i="1"/>
  <c r="J185" i="1"/>
  <c r="I185" i="1"/>
  <c r="H185" i="1"/>
  <c r="AK185" i="1" s="1"/>
  <c r="AI184" i="1"/>
  <c r="AH184" i="1"/>
  <c r="AG184" i="1"/>
  <c r="AF184" i="1"/>
  <c r="AE184" i="1"/>
  <c r="AD184" i="1"/>
  <c r="AC184" i="1"/>
  <c r="AB184" i="1"/>
  <c r="K178" i="16" s="1"/>
  <c r="AA184" i="1"/>
  <c r="Z184" i="1"/>
  <c r="G178" i="16" s="1"/>
  <c r="Y184" i="1"/>
  <c r="X184" i="1"/>
  <c r="C178" i="16" s="1"/>
  <c r="W184" i="1"/>
  <c r="V184" i="1"/>
  <c r="U184" i="1"/>
  <c r="T184" i="1"/>
  <c r="S184" i="1"/>
  <c r="R184" i="1"/>
  <c r="Q184" i="1"/>
  <c r="G184" i="1" s="1"/>
  <c r="P184" i="1"/>
  <c r="O184" i="1"/>
  <c r="N184" i="1"/>
  <c r="M184" i="1"/>
  <c r="L184" i="1"/>
  <c r="K184" i="1"/>
  <c r="J184" i="1"/>
  <c r="I184" i="1"/>
  <c r="H184" i="1"/>
  <c r="AI183" i="1"/>
  <c r="AH183" i="1"/>
  <c r="AG183" i="1"/>
  <c r="AF183" i="1"/>
  <c r="AE183" i="1"/>
  <c r="AD183" i="1"/>
  <c r="AC183" i="1"/>
  <c r="AB183" i="1"/>
  <c r="K177" i="16" s="1"/>
  <c r="AA183" i="1"/>
  <c r="Z183" i="1"/>
  <c r="G177" i="16" s="1"/>
  <c r="Y183" i="1"/>
  <c r="X183" i="1"/>
  <c r="C177" i="16" s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AK183" i="1" s="1"/>
  <c r="AI182" i="1"/>
  <c r="AH182" i="1"/>
  <c r="AG182" i="1"/>
  <c r="AF182" i="1"/>
  <c r="AE182" i="1"/>
  <c r="AD182" i="1"/>
  <c r="AC182" i="1"/>
  <c r="AB182" i="1"/>
  <c r="K176" i="16" s="1"/>
  <c r="L176" i="16" s="1"/>
  <c r="AA182" i="1"/>
  <c r="Z182" i="1"/>
  <c r="G176" i="16" s="1"/>
  <c r="Y182" i="1"/>
  <c r="X182" i="1"/>
  <c r="C176" i="16" s="1"/>
  <c r="W182" i="1"/>
  <c r="V182" i="1"/>
  <c r="U182" i="1"/>
  <c r="T182" i="1"/>
  <c r="S182" i="1"/>
  <c r="R182" i="1"/>
  <c r="Q182" i="1"/>
  <c r="P182" i="1"/>
  <c r="O182" i="1"/>
  <c r="N182" i="1"/>
  <c r="M182" i="1"/>
  <c r="L182" i="1"/>
  <c r="AK182" i="1" s="1"/>
  <c r="K182" i="1"/>
  <c r="J182" i="1"/>
  <c r="I182" i="1"/>
  <c r="H182" i="1"/>
  <c r="AI181" i="1"/>
  <c r="AH181" i="1"/>
  <c r="AG181" i="1"/>
  <c r="AF181" i="1"/>
  <c r="AE181" i="1"/>
  <c r="AD181" i="1"/>
  <c r="AC181" i="1"/>
  <c r="AB181" i="1"/>
  <c r="K175" i="16" s="1"/>
  <c r="L175" i="16" s="1"/>
  <c r="AA181" i="1"/>
  <c r="Z181" i="1"/>
  <c r="G175" i="16" s="1"/>
  <c r="Y181" i="1"/>
  <c r="X181" i="1"/>
  <c r="C175" i="16" s="1"/>
  <c r="W181" i="1"/>
  <c r="V181" i="1"/>
  <c r="U181" i="1"/>
  <c r="T181" i="1"/>
  <c r="S181" i="1"/>
  <c r="R181" i="1"/>
  <c r="Q181" i="1"/>
  <c r="P181" i="1"/>
  <c r="O181" i="1"/>
  <c r="N181" i="1"/>
  <c r="M181" i="1"/>
  <c r="L181" i="1"/>
  <c r="AK181" i="1" s="1"/>
  <c r="K181" i="1"/>
  <c r="J181" i="1"/>
  <c r="I181" i="1"/>
  <c r="H181" i="1"/>
  <c r="AI180" i="1"/>
  <c r="AH180" i="1"/>
  <c r="AG180" i="1"/>
  <c r="AF180" i="1"/>
  <c r="AE180" i="1"/>
  <c r="AD180" i="1"/>
  <c r="AC180" i="1"/>
  <c r="AB180" i="1"/>
  <c r="K174" i="16" s="1"/>
  <c r="AA180" i="1"/>
  <c r="Z180" i="1"/>
  <c r="G174" i="16" s="1"/>
  <c r="Y180" i="1"/>
  <c r="X180" i="1"/>
  <c r="C174" i="16" s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AK180" i="1" s="1"/>
  <c r="AI179" i="1"/>
  <c r="AH179" i="1"/>
  <c r="AG179" i="1"/>
  <c r="AF179" i="1"/>
  <c r="AE179" i="1"/>
  <c r="AD179" i="1"/>
  <c r="AC179" i="1"/>
  <c r="AB179" i="1"/>
  <c r="K173" i="16" s="1"/>
  <c r="AA179" i="1"/>
  <c r="Z179" i="1"/>
  <c r="G173" i="16" s="1"/>
  <c r="Y179" i="1"/>
  <c r="X179" i="1"/>
  <c r="C173" i="16" s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G179" i="1" s="1"/>
  <c r="H179" i="1"/>
  <c r="AK179" i="1" s="1"/>
  <c r="AI178" i="1"/>
  <c r="AH178" i="1"/>
  <c r="AG178" i="1"/>
  <c r="AF178" i="1"/>
  <c r="AE178" i="1"/>
  <c r="AD178" i="1"/>
  <c r="AC178" i="1"/>
  <c r="AB178" i="1"/>
  <c r="K172" i="16" s="1"/>
  <c r="AA178" i="1"/>
  <c r="Z178" i="1"/>
  <c r="G172" i="16" s="1"/>
  <c r="Y178" i="1"/>
  <c r="X178" i="1"/>
  <c r="C172" i="16" s="1"/>
  <c r="W178" i="1"/>
  <c r="V178" i="1"/>
  <c r="U178" i="1"/>
  <c r="T178" i="1"/>
  <c r="S178" i="1"/>
  <c r="R178" i="1"/>
  <c r="Q178" i="1"/>
  <c r="G177" i="1" s="1"/>
  <c r="P178" i="1"/>
  <c r="O178" i="1"/>
  <c r="N178" i="1"/>
  <c r="M178" i="1"/>
  <c r="L178" i="1"/>
  <c r="K178" i="1"/>
  <c r="J178" i="1"/>
  <c r="I178" i="1"/>
  <c r="G178" i="1" s="1"/>
  <c r="H178" i="1"/>
  <c r="AK178" i="1" s="1"/>
  <c r="AI177" i="1"/>
  <c r="AH177" i="1"/>
  <c r="AG177" i="1"/>
  <c r="AF177" i="1"/>
  <c r="AE177" i="1"/>
  <c r="AD177" i="1"/>
  <c r="AC177" i="1"/>
  <c r="AB177" i="1"/>
  <c r="K171" i="16" s="1"/>
  <c r="AA177" i="1"/>
  <c r="Z177" i="1"/>
  <c r="G171" i="16" s="1"/>
  <c r="Y177" i="1"/>
  <c r="X177" i="1"/>
  <c r="C171" i="16" s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AK177" i="1" s="1"/>
  <c r="AI176" i="1"/>
  <c r="AH176" i="1"/>
  <c r="AG176" i="1"/>
  <c r="AF176" i="1"/>
  <c r="AE176" i="1"/>
  <c r="AD176" i="1"/>
  <c r="AC176" i="1"/>
  <c r="AB176" i="1"/>
  <c r="K170" i="16" s="1"/>
  <c r="AA176" i="1"/>
  <c r="Z176" i="1"/>
  <c r="G170" i="16" s="1"/>
  <c r="Y176" i="1"/>
  <c r="X176" i="1"/>
  <c r="C170" i="16" s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AI175" i="1"/>
  <c r="AH175" i="1"/>
  <c r="AG175" i="1"/>
  <c r="AF175" i="1"/>
  <c r="AE175" i="1"/>
  <c r="AD175" i="1"/>
  <c r="AC175" i="1"/>
  <c r="AB175" i="1"/>
  <c r="K169" i="16" s="1"/>
  <c r="AA175" i="1"/>
  <c r="Z175" i="1"/>
  <c r="G169" i="16" s="1"/>
  <c r="Y175" i="1"/>
  <c r="X175" i="1"/>
  <c r="C169" i="16" s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AK175" i="1" s="1"/>
  <c r="AI174" i="1"/>
  <c r="AH174" i="1"/>
  <c r="AG174" i="1"/>
  <c r="AF174" i="1"/>
  <c r="AE174" i="1"/>
  <c r="AD174" i="1"/>
  <c r="AC174" i="1"/>
  <c r="AB174" i="1"/>
  <c r="K168" i="16" s="1"/>
  <c r="L168" i="16" s="1"/>
  <c r="AA174" i="1"/>
  <c r="Z174" i="1"/>
  <c r="G168" i="16" s="1"/>
  <c r="Y174" i="1"/>
  <c r="X174" i="1"/>
  <c r="C168" i="16" s="1"/>
  <c r="W174" i="1"/>
  <c r="V174" i="1"/>
  <c r="U174" i="1"/>
  <c r="T174" i="1"/>
  <c r="S174" i="1"/>
  <c r="R174" i="1"/>
  <c r="Q174" i="1"/>
  <c r="P174" i="1"/>
  <c r="O174" i="1"/>
  <c r="N174" i="1"/>
  <c r="M174" i="1"/>
  <c r="G173" i="1" s="1"/>
  <c r="L174" i="1"/>
  <c r="AK174" i="1" s="1"/>
  <c r="K174" i="1"/>
  <c r="J174" i="1"/>
  <c r="I174" i="1"/>
  <c r="H174" i="1"/>
  <c r="AI173" i="1"/>
  <c r="AH173" i="1"/>
  <c r="AG173" i="1"/>
  <c r="AF173" i="1"/>
  <c r="AE173" i="1"/>
  <c r="AD173" i="1"/>
  <c r="AC173" i="1"/>
  <c r="AB173" i="1"/>
  <c r="K167" i="16" s="1"/>
  <c r="L167" i="16" s="1"/>
  <c r="AA173" i="1"/>
  <c r="Z173" i="1"/>
  <c r="G167" i="16" s="1"/>
  <c r="Y173" i="1"/>
  <c r="X173" i="1"/>
  <c r="C167" i="16" s="1"/>
  <c r="W173" i="1"/>
  <c r="V173" i="1"/>
  <c r="U173" i="1"/>
  <c r="T173" i="1"/>
  <c r="S173" i="1"/>
  <c r="R173" i="1"/>
  <c r="Q173" i="1"/>
  <c r="P173" i="1"/>
  <c r="O173" i="1"/>
  <c r="N173" i="1"/>
  <c r="M173" i="1"/>
  <c r="L173" i="1"/>
  <c r="AK173" i="1" s="1"/>
  <c r="K173" i="1"/>
  <c r="J173" i="1"/>
  <c r="I173" i="1"/>
  <c r="H173" i="1"/>
  <c r="AI172" i="1"/>
  <c r="AH172" i="1"/>
  <c r="AG172" i="1"/>
  <c r="AF172" i="1"/>
  <c r="AE172" i="1"/>
  <c r="AD172" i="1"/>
  <c r="AC172" i="1"/>
  <c r="AB172" i="1"/>
  <c r="K166" i="16" s="1"/>
  <c r="AA172" i="1"/>
  <c r="Z172" i="1"/>
  <c r="G166" i="16" s="1"/>
  <c r="Y172" i="1"/>
  <c r="X172" i="1"/>
  <c r="C166" i="16" s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AK171" i="1"/>
  <c r="AK170" i="1"/>
  <c r="AK169" i="1"/>
  <c r="AK168" i="1"/>
  <c r="AK167" i="1"/>
  <c r="AI166" i="1"/>
  <c r="AH166" i="1"/>
  <c r="AG166" i="1"/>
  <c r="AF166" i="1"/>
  <c r="AE166" i="1"/>
  <c r="AD166" i="1"/>
  <c r="AC166" i="1"/>
  <c r="AB166" i="1"/>
  <c r="K160" i="16" s="1"/>
  <c r="AA166" i="1"/>
  <c r="Z166" i="1"/>
  <c r="G160" i="16" s="1"/>
  <c r="Y166" i="1"/>
  <c r="X166" i="1"/>
  <c r="C160" i="16" s="1"/>
  <c r="W166" i="1"/>
  <c r="V166" i="1"/>
  <c r="U166" i="1"/>
  <c r="T166" i="1"/>
  <c r="S166" i="1"/>
  <c r="R166" i="1"/>
  <c r="Q166" i="1"/>
  <c r="G166" i="1" s="1"/>
  <c r="P166" i="1"/>
  <c r="O166" i="1"/>
  <c r="N166" i="1"/>
  <c r="M166" i="1"/>
  <c r="L166" i="1"/>
  <c r="K166" i="1"/>
  <c r="J166" i="1"/>
  <c r="I166" i="1"/>
  <c r="H166" i="1"/>
  <c r="AI165" i="1"/>
  <c r="AH165" i="1"/>
  <c r="AG165" i="1"/>
  <c r="AF165" i="1"/>
  <c r="AE165" i="1"/>
  <c r="AD165" i="1"/>
  <c r="AC165" i="1"/>
  <c r="AB165" i="1"/>
  <c r="K159" i="16" s="1"/>
  <c r="AA165" i="1"/>
  <c r="Z165" i="1"/>
  <c r="G159" i="16" s="1"/>
  <c r="Y165" i="1"/>
  <c r="X165" i="1"/>
  <c r="C159" i="16" s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G165" i="1" s="1"/>
  <c r="H165" i="1"/>
  <c r="AK165" i="1" s="1"/>
  <c r="AI164" i="1"/>
  <c r="AH164" i="1"/>
  <c r="AG164" i="1"/>
  <c r="AF164" i="1"/>
  <c r="AE164" i="1"/>
  <c r="AD164" i="1"/>
  <c r="AC164" i="1"/>
  <c r="AB164" i="1"/>
  <c r="K158" i="16" s="1"/>
  <c r="L158" i="16" s="1"/>
  <c r="AA164" i="1"/>
  <c r="Z164" i="1"/>
  <c r="G158" i="16" s="1"/>
  <c r="Y164" i="1"/>
  <c r="X164" i="1"/>
  <c r="C158" i="16" s="1"/>
  <c r="W164" i="1"/>
  <c r="V164" i="1"/>
  <c r="U164" i="1"/>
  <c r="T164" i="1"/>
  <c r="S164" i="1"/>
  <c r="R164" i="1"/>
  <c r="Q164" i="1"/>
  <c r="P164" i="1"/>
  <c r="O164" i="1"/>
  <c r="N164" i="1"/>
  <c r="M164" i="1"/>
  <c r="L164" i="1"/>
  <c r="AK164" i="1" s="1"/>
  <c r="K164" i="1"/>
  <c r="J164" i="1"/>
  <c r="I164" i="1"/>
  <c r="H164" i="1"/>
  <c r="AI163" i="1"/>
  <c r="AH163" i="1"/>
  <c r="AG163" i="1"/>
  <c r="AF163" i="1"/>
  <c r="AE163" i="1"/>
  <c r="AD163" i="1"/>
  <c r="AC163" i="1"/>
  <c r="AB163" i="1"/>
  <c r="K157" i="16" s="1"/>
  <c r="L157" i="16" s="1"/>
  <c r="AA163" i="1"/>
  <c r="Z163" i="1"/>
  <c r="G157" i="16" s="1"/>
  <c r="Y163" i="1"/>
  <c r="X163" i="1"/>
  <c r="C157" i="16" s="1"/>
  <c r="W163" i="1"/>
  <c r="V163" i="1"/>
  <c r="U163" i="1"/>
  <c r="T163" i="1"/>
  <c r="S163" i="1"/>
  <c r="R163" i="1"/>
  <c r="Q163" i="1"/>
  <c r="P163" i="1"/>
  <c r="AK163" i="1" s="1"/>
  <c r="O163" i="1"/>
  <c r="N163" i="1"/>
  <c r="M163" i="1"/>
  <c r="L163" i="1"/>
  <c r="K163" i="1"/>
  <c r="J163" i="1"/>
  <c r="I163" i="1"/>
  <c r="H163" i="1"/>
  <c r="AI162" i="1"/>
  <c r="AH162" i="1"/>
  <c r="AG162" i="1"/>
  <c r="AF162" i="1"/>
  <c r="AE162" i="1"/>
  <c r="AD162" i="1"/>
  <c r="AC162" i="1"/>
  <c r="AB162" i="1"/>
  <c r="K156" i="16" s="1"/>
  <c r="AA162" i="1"/>
  <c r="Z162" i="1"/>
  <c r="G156" i="16" s="1"/>
  <c r="Y162" i="1"/>
  <c r="X162" i="1"/>
  <c r="C156" i="16" s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AK162" i="1" s="1"/>
  <c r="AI161" i="1"/>
  <c r="AH161" i="1"/>
  <c r="AG161" i="1"/>
  <c r="AF161" i="1"/>
  <c r="AE161" i="1"/>
  <c r="AD161" i="1"/>
  <c r="AC161" i="1"/>
  <c r="AB161" i="1"/>
  <c r="K155" i="16" s="1"/>
  <c r="AA161" i="1"/>
  <c r="Z161" i="1"/>
  <c r="G155" i="16" s="1"/>
  <c r="Y161" i="1"/>
  <c r="X161" i="1"/>
  <c r="C155" i="16" s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G161" i="1" s="1"/>
  <c r="H161" i="1"/>
  <c r="AK161" i="1" s="1"/>
  <c r="AI160" i="1"/>
  <c r="AH160" i="1"/>
  <c r="AG160" i="1"/>
  <c r="AF160" i="1"/>
  <c r="AE160" i="1"/>
  <c r="AD160" i="1"/>
  <c r="AC160" i="1"/>
  <c r="AB160" i="1"/>
  <c r="K154" i="16" s="1"/>
  <c r="AA160" i="1"/>
  <c r="Z160" i="1"/>
  <c r="G154" i="16" s="1"/>
  <c r="Y160" i="1"/>
  <c r="X160" i="1"/>
  <c r="C154" i="16" s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G160" i="1" s="1"/>
  <c r="H160" i="1"/>
  <c r="AK160" i="1" s="1"/>
  <c r="AI159" i="1"/>
  <c r="AH159" i="1"/>
  <c r="AG159" i="1"/>
  <c r="AF159" i="1"/>
  <c r="AE159" i="1"/>
  <c r="AD159" i="1"/>
  <c r="AC159" i="1"/>
  <c r="AB159" i="1"/>
  <c r="K153" i="16" s="1"/>
  <c r="AA159" i="1"/>
  <c r="Z159" i="1"/>
  <c r="G153" i="16" s="1"/>
  <c r="Y159" i="1"/>
  <c r="X159" i="1"/>
  <c r="C153" i="16" s="1"/>
  <c r="W159" i="1"/>
  <c r="V159" i="1"/>
  <c r="U159" i="1"/>
  <c r="T159" i="1"/>
  <c r="S159" i="1"/>
  <c r="R159" i="1"/>
  <c r="Q159" i="1"/>
  <c r="G159" i="1" s="1"/>
  <c r="P159" i="1"/>
  <c r="O159" i="1"/>
  <c r="N159" i="1"/>
  <c r="M159" i="1"/>
  <c r="L159" i="1"/>
  <c r="K159" i="1"/>
  <c r="J159" i="1"/>
  <c r="I159" i="1"/>
  <c r="H159" i="1"/>
  <c r="AK159" i="1" s="1"/>
  <c r="AI158" i="1"/>
  <c r="AH158" i="1"/>
  <c r="AG158" i="1"/>
  <c r="AF158" i="1"/>
  <c r="AE158" i="1"/>
  <c r="AD158" i="1"/>
  <c r="AC158" i="1"/>
  <c r="AB158" i="1"/>
  <c r="K152" i="16" s="1"/>
  <c r="AA158" i="1"/>
  <c r="Z158" i="1"/>
  <c r="G152" i="16" s="1"/>
  <c r="Y158" i="1"/>
  <c r="X158" i="1"/>
  <c r="C152" i="16" s="1"/>
  <c r="W158" i="1"/>
  <c r="V158" i="1"/>
  <c r="U158" i="1"/>
  <c r="T158" i="1"/>
  <c r="S158" i="1"/>
  <c r="R158" i="1"/>
  <c r="Q158" i="1"/>
  <c r="G158" i="1" s="1"/>
  <c r="P158" i="1"/>
  <c r="O158" i="1"/>
  <c r="N158" i="1"/>
  <c r="M158" i="1"/>
  <c r="L158" i="1"/>
  <c r="K158" i="1"/>
  <c r="J158" i="1"/>
  <c r="I158" i="1"/>
  <c r="H158" i="1"/>
  <c r="AI157" i="1"/>
  <c r="AH157" i="1"/>
  <c r="AG157" i="1"/>
  <c r="AF157" i="1"/>
  <c r="AE157" i="1"/>
  <c r="AD157" i="1"/>
  <c r="AC157" i="1"/>
  <c r="AB157" i="1"/>
  <c r="K151" i="16" s="1"/>
  <c r="AA157" i="1"/>
  <c r="Z157" i="1"/>
  <c r="G151" i="16" s="1"/>
  <c r="Y157" i="1"/>
  <c r="X157" i="1"/>
  <c r="C151" i="16" s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AI156" i="1"/>
  <c r="AH156" i="1"/>
  <c r="AG156" i="1"/>
  <c r="AF156" i="1"/>
  <c r="AE156" i="1"/>
  <c r="AD156" i="1"/>
  <c r="AC156" i="1"/>
  <c r="AB156" i="1"/>
  <c r="K150" i="16" s="1"/>
  <c r="L150" i="16" s="1"/>
  <c r="AA156" i="1"/>
  <c r="Z156" i="1"/>
  <c r="G150" i="16" s="1"/>
  <c r="Y156" i="1"/>
  <c r="X156" i="1"/>
  <c r="C150" i="16" s="1"/>
  <c r="W156" i="1"/>
  <c r="V156" i="1"/>
  <c r="U156" i="1"/>
  <c r="T156" i="1"/>
  <c r="S156" i="1"/>
  <c r="R156" i="1"/>
  <c r="Q156" i="1"/>
  <c r="P156" i="1"/>
  <c r="O156" i="1"/>
  <c r="N156" i="1"/>
  <c r="M156" i="1"/>
  <c r="L156" i="1"/>
  <c r="AK156" i="1" s="1"/>
  <c r="K156" i="1"/>
  <c r="J156" i="1"/>
  <c r="I156" i="1"/>
  <c r="H156" i="1"/>
  <c r="AI155" i="1"/>
  <c r="AH155" i="1"/>
  <c r="AG155" i="1"/>
  <c r="AF155" i="1"/>
  <c r="AE155" i="1"/>
  <c r="AD155" i="1"/>
  <c r="AC155" i="1"/>
  <c r="AB155" i="1"/>
  <c r="K149" i="16" s="1"/>
  <c r="L149" i="16" s="1"/>
  <c r="AA155" i="1"/>
  <c r="Z155" i="1"/>
  <c r="G149" i="16" s="1"/>
  <c r="Y155" i="1"/>
  <c r="X155" i="1"/>
  <c r="C149" i="16" s="1"/>
  <c r="W155" i="1"/>
  <c r="V155" i="1"/>
  <c r="U155" i="1"/>
  <c r="T155" i="1"/>
  <c r="S155" i="1"/>
  <c r="R155" i="1"/>
  <c r="Q155" i="1"/>
  <c r="P155" i="1"/>
  <c r="O155" i="1"/>
  <c r="N155" i="1"/>
  <c r="M155" i="1"/>
  <c r="L155" i="1"/>
  <c r="AK155" i="1" s="1"/>
  <c r="K155" i="1"/>
  <c r="J155" i="1"/>
  <c r="I155" i="1"/>
  <c r="H155" i="1"/>
  <c r="AI154" i="1"/>
  <c r="AH154" i="1"/>
  <c r="AG154" i="1"/>
  <c r="AF154" i="1"/>
  <c r="AE154" i="1"/>
  <c r="AD154" i="1"/>
  <c r="AC154" i="1"/>
  <c r="AB154" i="1"/>
  <c r="K148" i="16" s="1"/>
  <c r="AA154" i="1"/>
  <c r="Z154" i="1"/>
  <c r="G148" i="16" s="1"/>
  <c r="Y154" i="1"/>
  <c r="X154" i="1"/>
  <c r="C148" i="16" s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AI153" i="1"/>
  <c r="AH153" i="1"/>
  <c r="AG153" i="1"/>
  <c r="AF153" i="1"/>
  <c r="AE153" i="1"/>
  <c r="AD153" i="1"/>
  <c r="AC153" i="1"/>
  <c r="AB153" i="1"/>
  <c r="K147" i="16" s="1"/>
  <c r="AA153" i="1"/>
  <c r="Z153" i="1"/>
  <c r="G147" i="16" s="1"/>
  <c r="Y153" i="1"/>
  <c r="X153" i="1"/>
  <c r="C147" i="16" s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G153" i="1" s="1"/>
  <c r="H153" i="1"/>
  <c r="AI152" i="1"/>
  <c r="AH152" i="1"/>
  <c r="AG152" i="1"/>
  <c r="AF152" i="1"/>
  <c r="AE152" i="1"/>
  <c r="AD152" i="1"/>
  <c r="AC152" i="1"/>
  <c r="AB152" i="1"/>
  <c r="K146" i="16" s="1"/>
  <c r="AA152" i="1"/>
  <c r="Z152" i="1"/>
  <c r="G146" i="16" s="1"/>
  <c r="Y152" i="1"/>
  <c r="X152" i="1"/>
  <c r="C146" i="16" s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G152" i="1" s="1"/>
  <c r="H152" i="1"/>
  <c r="AK152" i="1" s="1"/>
  <c r="AI151" i="1"/>
  <c r="AH151" i="1"/>
  <c r="AG151" i="1"/>
  <c r="AF151" i="1"/>
  <c r="AE151" i="1"/>
  <c r="AD151" i="1"/>
  <c r="AC151" i="1"/>
  <c r="AB151" i="1"/>
  <c r="K145" i="16" s="1"/>
  <c r="AA151" i="1"/>
  <c r="Z151" i="1"/>
  <c r="G145" i="16" s="1"/>
  <c r="Y151" i="1"/>
  <c r="X151" i="1"/>
  <c r="C145" i="16" s="1"/>
  <c r="W151" i="1"/>
  <c r="V151" i="1"/>
  <c r="U151" i="1"/>
  <c r="T151" i="1"/>
  <c r="S151" i="1"/>
  <c r="R151" i="1"/>
  <c r="Q151" i="1"/>
  <c r="G151" i="1" s="1"/>
  <c r="P151" i="1"/>
  <c r="O151" i="1"/>
  <c r="N151" i="1"/>
  <c r="M151" i="1"/>
  <c r="L151" i="1"/>
  <c r="K151" i="1"/>
  <c r="J151" i="1"/>
  <c r="I151" i="1"/>
  <c r="H151" i="1"/>
  <c r="AK151" i="1" s="1"/>
  <c r="AI150" i="1"/>
  <c r="AH150" i="1"/>
  <c r="AG150" i="1"/>
  <c r="AF150" i="1"/>
  <c r="AE150" i="1"/>
  <c r="AD150" i="1"/>
  <c r="AC150" i="1"/>
  <c r="AB150" i="1"/>
  <c r="K144" i="16" s="1"/>
  <c r="AA150" i="1"/>
  <c r="Z150" i="1"/>
  <c r="G144" i="16" s="1"/>
  <c r="Y150" i="1"/>
  <c r="X150" i="1"/>
  <c r="C144" i="16" s="1"/>
  <c r="W150" i="1"/>
  <c r="V150" i="1"/>
  <c r="U150" i="1"/>
  <c r="T150" i="1"/>
  <c r="S150" i="1"/>
  <c r="R150" i="1"/>
  <c r="Q150" i="1"/>
  <c r="G150" i="1" s="1"/>
  <c r="P150" i="1"/>
  <c r="O150" i="1"/>
  <c r="N150" i="1"/>
  <c r="M150" i="1"/>
  <c r="L150" i="1"/>
  <c r="K150" i="1"/>
  <c r="J150" i="1"/>
  <c r="I150" i="1"/>
  <c r="H150" i="1"/>
  <c r="AI149" i="1"/>
  <c r="AH149" i="1"/>
  <c r="AG149" i="1"/>
  <c r="AF149" i="1"/>
  <c r="AE149" i="1"/>
  <c r="AD149" i="1"/>
  <c r="AC149" i="1"/>
  <c r="AB149" i="1"/>
  <c r="K143" i="16" s="1"/>
  <c r="AA149" i="1"/>
  <c r="Z149" i="1"/>
  <c r="G143" i="16" s="1"/>
  <c r="Y149" i="1"/>
  <c r="X149" i="1"/>
  <c r="C143" i="16" s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AK149" i="1" s="1"/>
  <c r="AI148" i="1"/>
  <c r="AH148" i="1"/>
  <c r="AG148" i="1"/>
  <c r="AF148" i="1"/>
  <c r="AE148" i="1"/>
  <c r="AD148" i="1"/>
  <c r="AC148" i="1"/>
  <c r="AB148" i="1"/>
  <c r="K142" i="16" s="1"/>
  <c r="L142" i="16" s="1"/>
  <c r="AA148" i="1"/>
  <c r="Z148" i="1"/>
  <c r="G142" i="16" s="1"/>
  <c r="Y148" i="1"/>
  <c r="X148" i="1"/>
  <c r="C142" i="16" s="1"/>
  <c r="W148" i="1"/>
  <c r="V148" i="1"/>
  <c r="U148" i="1"/>
  <c r="T148" i="1"/>
  <c r="S148" i="1"/>
  <c r="R148" i="1"/>
  <c r="Q148" i="1"/>
  <c r="P148" i="1"/>
  <c r="O148" i="1"/>
  <c r="N148" i="1"/>
  <c r="M148" i="1"/>
  <c r="L148" i="1"/>
  <c r="AK148" i="1" s="1"/>
  <c r="K148" i="1"/>
  <c r="J148" i="1"/>
  <c r="I148" i="1"/>
  <c r="H148" i="1"/>
  <c r="AK147" i="1"/>
  <c r="AB147" i="1"/>
  <c r="K141" i="16" s="1"/>
  <c r="L141" i="16" s="1"/>
  <c r="AI146" i="1"/>
  <c r="AH146" i="1"/>
  <c r="AG146" i="1"/>
  <c r="AF146" i="1"/>
  <c r="AE146" i="1"/>
  <c r="AD146" i="1"/>
  <c r="AC146" i="1"/>
  <c r="AB146" i="1"/>
  <c r="K140" i="16" s="1"/>
  <c r="AA146" i="1"/>
  <c r="Z146" i="1"/>
  <c r="G140" i="16" s="1"/>
  <c r="Y146" i="1"/>
  <c r="X146" i="1"/>
  <c r="C140" i="16" s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G146" i="1" s="1"/>
  <c r="H146" i="1"/>
  <c r="AK146" i="1" s="1"/>
  <c r="AI145" i="1"/>
  <c r="AH145" i="1"/>
  <c r="AG145" i="1"/>
  <c r="AF145" i="1"/>
  <c r="AE145" i="1"/>
  <c r="AD145" i="1"/>
  <c r="AC145" i="1"/>
  <c r="AB145" i="1"/>
  <c r="K139" i="16" s="1"/>
  <c r="L139" i="16" s="1"/>
  <c r="AA145" i="1"/>
  <c r="Z145" i="1"/>
  <c r="G139" i="16" s="1"/>
  <c r="Y145" i="1"/>
  <c r="X145" i="1"/>
  <c r="C139" i="16" s="1"/>
  <c r="W145" i="1"/>
  <c r="V145" i="1"/>
  <c r="U145" i="1"/>
  <c r="T145" i="1"/>
  <c r="S145" i="1"/>
  <c r="R145" i="1"/>
  <c r="Q145" i="1"/>
  <c r="P145" i="1"/>
  <c r="O145" i="1"/>
  <c r="N145" i="1"/>
  <c r="M145" i="1"/>
  <c r="L145" i="1"/>
  <c r="AK145" i="1" s="1"/>
  <c r="K145" i="1"/>
  <c r="J145" i="1"/>
  <c r="I145" i="1"/>
  <c r="H145" i="1"/>
  <c r="AI144" i="1"/>
  <c r="AH144" i="1"/>
  <c r="AG144" i="1"/>
  <c r="AF144" i="1"/>
  <c r="AE144" i="1"/>
  <c r="AD144" i="1"/>
  <c r="AC144" i="1"/>
  <c r="AB144" i="1"/>
  <c r="K138" i="16" s="1"/>
  <c r="L138" i="16" s="1"/>
  <c r="AA144" i="1"/>
  <c r="Z144" i="1"/>
  <c r="G138" i="16" s="1"/>
  <c r="Y144" i="1"/>
  <c r="X144" i="1"/>
  <c r="C138" i="16" s="1"/>
  <c r="W144" i="1"/>
  <c r="V144" i="1"/>
  <c r="U144" i="1"/>
  <c r="T144" i="1"/>
  <c r="S144" i="1"/>
  <c r="R144" i="1"/>
  <c r="Q144" i="1"/>
  <c r="P144" i="1"/>
  <c r="O144" i="1"/>
  <c r="N144" i="1"/>
  <c r="M144" i="1"/>
  <c r="L144" i="1"/>
  <c r="AK144" i="1" s="1"/>
  <c r="K144" i="1"/>
  <c r="J144" i="1"/>
  <c r="I144" i="1"/>
  <c r="H144" i="1"/>
  <c r="AB143" i="1"/>
  <c r="AK142" i="1"/>
  <c r="AB142" i="1"/>
  <c r="K136" i="16" s="1"/>
  <c r="L136" i="16" s="1"/>
  <c r="AI141" i="1"/>
  <c r="AH141" i="1"/>
  <c r="AG141" i="1"/>
  <c r="AF141" i="1"/>
  <c r="AE141" i="1"/>
  <c r="AD141" i="1"/>
  <c r="AC141" i="1"/>
  <c r="AB141" i="1"/>
  <c r="K135" i="16" s="1"/>
  <c r="AA141" i="1"/>
  <c r="Z141" i="1"/>
  <c r="G135" i="16" s="1"/>
  <c r="Y141" i="1"/>
  <c r="X141" i="1"/>
  <c r="C135" i="16" s="1"/>
  <c r="W141" i="1"/>
  <c r="V141" i="1"/>
  <c r="U141" i="1"/>
  <c r="T141" i="1"/>
  <c r="S141" i="1"/>
  <c r="R141" i="1"/>
  <c r="Q141" i="1"/>
  <c r="G141" i="1" s="1"/>
  <c r="P141" i="1"/>
  <c r="O141" i="1"/>
  <c r="N141" i="1"/>
  <c r="M141" i="1"/>
  <c r="L141" i="1"/>
  <c r="K141" i="1"/>
  <c r="J141" i="1"/>
  <c r="I141" i="1"/>
  <c r="H141" i="1"/>
  <c r="AI140" i="1"/>
  <c r="AH140" i="1"/>
  <c r="AG140" i="1"/>
  <c r="AF140" i="1"/>
  <c r="AE140" i="1"/>
  <c r="AD140" i="1"/>
  <c r="AC140" i="1"/>
  <c r="AB140" i="1"/>
  <c r="K134" i="16" s="1"/>
  <c r="AA140" i="1"/>
  <c r="Z140" i="1"/>
  <c r="G134" i="16" s="1"/>
  <c r="Y140" i="1"/>
  <c r="X140" i="1"/>
  <c r="C134" i="16" s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G140" i="1" s="1"/>
  <c r="H140" i="1"/>
  <c r="AI139" i="1"/>
  <c r="AH139" i="1"/>
  <c r="AG139" i="1"/>
  <c r="AF139" i="1"/>
  <c r="AE139" i="1"/>
  <c r="AD139" i="1"/>
  <c r="AC139" i="1"/>
  <c r="AB139" i="1"/>
  <c r="K133" i="16" s="1"/>
  <c r="L133" i="16" s="1"/>
  <c r="AA139" i="1"/>
  <c r="Z139" i="1"/>
  <c r="G133" i="16" s="1"/>
  <c r="Y139" i="1"/>
  <c r="X139" i="1"/>
  <c r="C133" i="16" s="1"/>
  <c r="W139" i="1"/>
  <c r="V139" i="1"/>
  <c r="U139" i="1"/>
  <c r="T139" i="1"/>
  <c r="S139" i="1"/>
  <c r="R139" i="1"/>
  <c r="Q139" i="1"/>
  <c r="P139" i="1"/>
  <c r="O139" i="1"/>
  <c r="N139" i="1"/>
  <c r="M139" i="1"/>
  <c r="L139" i="1"/>
  <c r="AK139" i="1" s="1"/>
  <c r="K139" i="1"/>
  <c r="J139" i="1"/>
  <c r="I139" i="1"/>
  <c r="H139" i="1"/>
  <c r="AI138" i="1"/>
  <c r="AH138" i="1"/>
  <c r="AG138" i="1"/>
  <c r="AF138" i="1"/>
  <c r="AE138" i="1"/>
  <c r="AD138" i="1"/>
  <c r="AC138" i="1"/>
  <c r="AB138" i="1"/>
  <c r="K132" i="16" s="1"/>
  <c r="L132" i="16" s="1"/>
  <c r="AA138" i="1"/>
  <c r="Z138" i="1"/>
  <c r="G132" i="16" s="1"/>
  <c r="Y138" i="1"/>
  <c r="X138" i="1"/>
  <c r="C132" i="16" s="1"/>
  <c r="W138" i="1"/>
  <c r="V138" i="1"/>
  <c r="U138" i="1"/>
  <c r="T138" i="1"/>
  <c r="S138" i="1"/>
  <c r="R138" i="1"/>
  <c r="Q138" i="1"/>
  <c r="P138" i="1"/>
  <c r="O138" i="1"/>
  <c r="N138" i="1"/>
  <c r="M138" i="1"/>
  <c r="L138" i="1"/>
  <c r="AK138" i="1" s="1"/>
  <c r="K138" i="1"/>
  <c r="J138" i="1"/>
  <c r="I138" i="1"/>
  <c r="H138" i="1"/>
  <c r="AI137" i="1"/>
  <c r="AH137" i="1"/>
  <c r="AG137" i="1"/>
  <c r="AF137" i="1"/>
  <c r="AE137" i="1"/>
  <c r="AD137" i="1"/>
  <c r="AC137" i="1"/>
  <c r="AB137" i="1"/>
  <c r="K131" i="16" s="1"/>
  <c r="AA137" i="1"/>
  <c r="Z137" i="1"/>
  <c r="G131" i="16" s="1"/>
  <c r="Y137" i="1"/>
  <c r="X137" i="1"/>
  <c r="C131" i="16" s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AK137" i="1" s="1"/>
  <c r="AI136" i="1"/>
  <c r="AH136" i="1"/>
  <c r="AG136" i="1"/>
  <c r="AF136" i="1"/>
  <c r="AE136" i="1"/>
  <c r="AD136" i="1"/>
  <c r="AC136" i="1"/>
  <c r="AB136" i="1"/>
  <c r="K130" i="16" s="1"/>
  <c r="AA136" i="1"/>
  <c r="Z136" i="1"/>
  <c r="G130" i="16" s="1"/>
  <c r="Y136" i="1"/>
  <c r="X136" i="1"/>
  <c r="C130" i="16" s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G136" i="1" s="1"/>
  <c r="H136" i="1"/>
  <c r="AK136" i="1" s="1"/>
  <c r="AI135" i="1"/>
  <c r="AH135" i="1"/>
  <c r="AG135" i="1"/>
  <c r="AF135" i="1"/>
  <c r="AE135" i="1"/>
  <c r="AD135" i="1"/>
  <c r="AC135" i="1"/>
  <c r="AB135" i="1"/>
  <c r="K129" i="16" s="1"/>
  <c r="AA135" i="1"/>
  <c r="Z135" i="1"/>
  <c r="G129" i="16" s="1"/>
  <c r="Y135" i="1"/>
  <c r="X135" i="1"/>
  <c r="C129" i="16" s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G135" i="1" s="1"/>
  <c r="H135" i="1"/>
  <c r="AK135" i="1" s="1"/>
  <c r="AI134" i="1"/>
  <c r="AH134" i="1"/>
  <c r="AG134" i="1"/>
  <c r="AF134" i="1"/>
  <c r="AE134" i="1"/>
  <c r="AD134" i="1"/>
  <c r="AC134" i="1"/>
  <c r="AB134" i="1"/>
  <c r="K128" i="16" s="1"/>
  <c r="AA134" i="1"/>
  <c r="Z134" i="1"/>
  <c r="G128" i="16" s="1"/>
  <c r="Y134" i="1"/>
  <c r="X134" i="1"/>
  <c r="C128" i="16" s="1"/>
  <c r="W134" i="1"/>
  <c r="V134" i="1"/>
  <c r="U134" i="1"/>
  <c r="T134" i="1"/>
  <c r="S134" i="1"/>
  <c r="R134" i="1"/>
  <c r="Q134" i="1"/>
  <c r="G134" i="1" s="1"/>
  <c r="P134" i="1"/>
  <c r="O134" i="1"/>
  <c r="N134" i="1"/>
  <c r="M134" i="1"/>
  <c r="L134" i="1"/>
  <c r="K134" i="1"/>
  <c r="J134" i="1"/>
  <c r="I134" i="1"/>
  <c r="H134" i="1"/>
  <c r="AK134" i="1" s="1"/>
  <c r="AI133" i="1"/>
  <c r="AH133" i="1"/>
  <c r="AG133" i="1"/>
  <c r="AF133" i="1"/>
  <c r="AE133" i="1"/>
  <c r="AD133" i="1"/>
  <c r="AC133" i="1"/>
  <c r="AB133" i="1"/>
  <c r="K127" i="16" s="1"/>
  <c r="AA133" i="1"/>
  <c r="Z133" i="1"/>
  <c r="G127" i="16" s="1"/>
  <c r="Y133" i="1"/>
  <c r="X133" i="1"/>
  <c r="C127" i="16" s="1"/>
  <c r="W133" i="1"/>
  <c r="V133" i="1"/>
  <c r="U133" i="1"/>
  <c r="T133" i="1"/>
  <c r="S133" i="1"/>
  <c r="R133" i="1"/>
  <c r="Q133" i="1"/>
  <c r="G133" i="1" s="1"/>
  <c r="P133" i="1"/>
  <c r="O133" i="1"/>
  <c r="N133" i="1"/>
  <c r="M133" i="1"/>
  <c r="L133" i="1"/>
  <c r="K133" i="1"/>
  <c r="J133" i="1"/>
  <c r="I133" i="1"/>
  <c r="H133" i="1"/>
  <c r="AI132" i="1"/>
  <c r="AH132" i="1"/>
  <c r="AG132" i="1"/>
  <c r="AF132" i="1"/>
  <c r="AE132" i="1"/>
  <c r="AD132" i="1"/>
  <c r="AC132" i="1"/>
  <c r="AB132" i="1"/>
  <c r="K126" i="16" s="1"/>
  <c r="AA132" i="1"/>
  <c r="Z132" i="1"/>
  <c r="G126" i="16" s="1"/>
  <c r="Y132" i="1"/>
  <c r="X132" i="1"/>
  <c r="C126" i="16" s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AI131" i="1"/>
  <c r="AH131" i="1"/>
  <c r="AG131" i="1"/>
  <c r="AF131" i="1"/>
  <c r="AE131" i="1"/>
  <c r="AD131" i="1"/>
  <c r="AC131" i="1"/>
  <c r="AB131" i="1"/>
  <c r="K125" i="16" s="1"/>
  <c r="L125" i="16" s="1"/>
  <c r="AA131" i="1"/>
  <c r="Z131" i="1"/>
  <c r="G125" i="16" s="1"/>
  <c r="Y131" i="1"/>
  <c r="X131" i="1"/>
  <c r="C125" i="16" s="1"/>
  <c r="W131" i="1"/>
  <c r="V131" i="1"/>
  <c r="U131" i="1"/>
  <c r="T131" i="1"/>
  <c r="S131" i="1"/>
  <c r="R131" i="1"/>
  <c r="Q131" i="1"/>
  <c r="P131" i="1"/>
  <c r="O131" i="1"/>
  <c r="N131" i="1"/>
  <c r="M131" i="1"/>
  <c r="L131" i="1"/>
  <c r="AK131" i="1" s="1"/>
  <c r="K131" i="1"/>
  <c r="J131" i="1"/>
  <c r="I131" i="1"/>
  <c r="H131" i="1"/>
  <c r="AI130" i="1"/>
  <c r="AH130" i="1"/>
  <c r="AG130" i="1"/>
  <c r="AF130" i="1"/>
  <c r="AE130" i="1"/>
  <c r="AD130" i="1"/>
  <c r="AC130" i="1"/>
  <c r="AB130" i="1"/>
  <c r="K124" i="16" s="1"/>
  <c r="L124" i="16" s="1"/>
  <c r="AA130" i="1"/>
  <c r="Z130" i="1"/>
  <c r="G124" i="16" s="1"/>
  <c r="Y130" i="1"/>
  <c r="X130" i="1"/>
  <c r="C124" i="16" s="1"/>
  <c r="W130" i="1"/>
  <c r="V130" i="1"/>
  <c r="U130" i="1"/>
  <c r="T130" i="1"/>
  <c r="S130" i="1"/>
  <c r="R130" i="1"/>
  <c r="Q130" i="1"/>
  <c r="P130" i="1"/>
  <c r="O130" i="1"/>
  <c r="N130" i="1"/>
  <c r="M130" i="1"/>
  <c r="L130" i="1"/>
  <c r="AK130" i="1" s="1"/>
  <c r="K130" i="1"/>
  <c r="J130" i="1"/>
  <c r="I130" i="1"/>
  <c r="H130" i="1"/>
  <c r="AI129" i="1"/>
  <c r="AH129" i="1"/>
  <c r="AG129" i="1"/>
  <c r="AF129" i="1"/>
  <c r="AE129" i="1"/>
  <c r="AD129" i="1"/>
  <c r="AC129" i="1"/>
  <c r="AB129" i="1"/>
  <c r="K123" i="16" s="1"/>
  <c r="AA129" i="1"/>
  <c r="Z129" i="1"/>
  <c r="G123" i="16" s="1"/>
  <c r="Y129" i="1"/>
  <c r="X129" i="1"/>
  <c r="C123" i="16" s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AI128" i="1"/>
  <c r="AH128" i="1"/>
  <c r="AG128" i="1"/>
  <c r="AF128" i="1"/>
  <c r="AE128" i="1"/>
  <c r="AD128" i="1"/>
  <c r="AC128" i="1"/>
  <c r="AB128" i="1"/>
  <c r="K122" i="16" s="1"/>
  <c r="AA128" i="1"/>
  <c r="Z128" i="1"/>
  <c r="G122" i="16" s="1"/>
  <c r="Y128" i="1"/>
  <c r="X128" i="1"/>
  <c r="C122" i="16" s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AK127" i="1"/>
  <c r="AB127" i="1"/>
  <c r="K121" i="16" s="1"/>
  <c r="L121" i="16" s="1"/>
  <c r="AI126" i="1"/>
  <c r="AH126" i="1"/>
  <c r="AG126" i="1"/>
  <c r="AF126" i="1"/>
  <c r="AE126" i="1"/>
  <c r="AD126" i="1"/>
  <c r="AC126" i="1"/>
  <c r="AB126" i="1"/>
  <c r="K120" i="16" s="1"/>
  <c r="AA126" i="1"/>
  <c r="Z126" i="1"/>
  <c r="G120" i="16" s="1"/>
  <c r="Y126" i="1"/>
  <c r="X126" i="1"/>
  <c r="C120" i="16" s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AK126" i="1" s="1"/>
  <c r="AI125" i="1"/>
  <c r="AH125" i="1"/>
  <c r="AG125" i="1"/>
  <c r="AF125" i="1"/>
  <c r="AE125" i="1"/>
  <c r="AD125" i="1"/>
  <c r="AC125" i="1"/>
  <c r="AB125" i="1"/>
  <c r="K119" i="16" s="1"/>
  <c r="AA125" i="1"/>
  <c r="Z125" i="1"/>
  <c r="G119" i="16" s="1"/>
  <c r="Y125" i="1"/>
  <c r="X125" i="1"/>
  <c r="C119" i="16" s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G125" i="1" s="1"/>
  <c r="H125" i="1"/>
  <c r="AK125" i="1" s="1"/>
  <c r="AI124" i="1"/>
  <c r="AH124" i="1"/>
  <c r="AG124" i="1"/>
  <c r="AF124" i="1"/>
  <c r="AE124" i="1"/>
  <c r="AD124" i="1"/>
  <c r="AC124" i="1"/>
  <c r="AB124" i="1"/>
  <c r="K118" i="16" s="1"/>
  <c r="AA124" i="1"/>
  <c r="Z124" i="1"/>
  <c r="G118" i="16" s="1"/>
  <c r="Y124" i="1"/>
  <c r="X124" i="1"/>
  <c r="C118" i="16" s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G124" i="1" s="1"/>
  <c r="H124" i="1"/>
  <c r="AK124" i="1" s="1"/>
  <c r="AI123" i="1"/>
  <c r="AH123" i="1"/>
  <c r="AG123" i="1"/>
  <c r="AF123" i="1"/>
  <c r="AE123" i="1"/>
  <c r="AD123" i="1"/>
  <c r="AC123" i="1"/>
  <c r="AB123" i="1"/>
  <c r="K117" i="16" s="1"/>
  <c r="AA123" i="1"/>
  <c r="Z123" i="1"/>
  <c r="G117" i="16" s="1"/>
  <c r="Y123" i="1"/>
  <c r="X123" i="1"/>
  <c r="C117" i="16" s="1"/>
  <c r="W123" i="1"/>
  <c r="V123" i="1"/>
  <c r="U123" i="1"/>
  <c r="T123" i="1"/>
  <c r="S123" i="1"/>
  <c r="R123" i="1"/>
  <c r="Q123" i="1"/>
  <c r="G123" i="1" s="1"/>
  <c r="P123" i="1"/>
  <c r="O123" i="1"/>
  <c r="N123" i="1"/>
  <c r="M123" i="1"/>
  <c r="L123" i="1"/>
  <c r="K123" i="1"/>
  <c r="J123" i="1"/>
  <c r="I123" i="1"/>
  <c r="H123" i="1"/>
  <c r="AK123" i="1" s="1"/>
  <c r="AI122" i="1"/>
  <c r="AH122" i="1"/>
  <c r="AG122" i="1"/>
  <c r="AF122" i="1"/>
  <c r="AE122" i="1"/>
  <c r="AD122" i="1"/>
  <c r="AC122" i="1"/>
  <c r="AB122" i="1"/>
  <c r="K116" i="16" s="1"/>
  <c r="AA122" i="1"/>
  <c r="Z122" i="1"/>
  <c r="G116" i="16" s="1"/>
  <c r="Y122" i="1"/>
  <c r="X122" i="1"/>
  <c r="C116" i="16" s="1"/>
  <c r="W122" i="1"/>
  <c r="V122" i="1"/>
  <c r="U122" i="1"/>
  <c r="T122" i="1"/>
  <c r="S122" i="1"/>
  <c r="R122" i="1"/>
  <c r="Q122" i="1"/>
  <c r="G122" i="1" s="1"/>
  <c r="P122" i="1"/>
  <c r="O122" i="1"/>
  <c r="N122" i="1"/>
  <c r="M122" i="1"/>
  <c r="L122" i="1"/>
  <c r="K122" i="1"/>
  <c r="J122" i="1"/>
  <c r="I122" i="1"/>
  <c r="H122" i="1"/>
  <c r="AI121" i="1"/>
  <c r="AH121" i="1"/>
  <c r="AG121" i="1"/>
  <c r="AF121" i="1"/>
  <c r="AE121" i="1"/>
  <c r="AD121" i="1"/>
  <c r="AC121" i="1"/>
  <c r="AB121" i="1"/>
  <c r="K115" i="16" s="1"/>
  <c r="AA121" i="1"/>
  <c r="Z121" i="1"/>
  <c r="G115" i="16" s="1"/>
  <c r="Y121" i="1"/>
  <c r="X121" i="1"/>
  <c r="C115" i="16" s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AI120" i="1"/>
  <c r="AH120" i="1"/>
  <c r="AG120" i="1"/>
  <c r="AF120" i="1"/>
  <c r="AE120" i="1"/>
  <c r="AD120" i="1"/>
  <c r="AC120" i="1"/>
  <c r="AB120" i="1"/>
  <c r="K114" i="16" s="1"/>
  <c r="L114" i="16" s="1"/>
  <c r="AA120" i="1"/>
  <c r="Z120" i="1"/>
  <c r="G114" i="16" s="1"/>
  <c r="Y120" i="1"/>
  <c r="X120" i="1"/>
  <c r="C114" i="16" s="1"/>
  <c r="W120" i="1"/>
  <c r="V120" i="1"/>
  <c r="U120" i="1"/>
  <c r="T120" i="1"/>
  <c r="S120" i="1"/>
  <c r="R120" i="1"/>
  <c r="Q120" i="1"/>
  <c r="P120" i="1"/>
  <c r="O120" i="1"/>
  <c r="N120" i="1"/>
  <c r="M120" i="1"/>
  <c r="L120" i="1"/>
  <c r="AK120" i="1" s="1"/>
  <c r="K120" i="1"/>
  <c r="J120" i="1"/>
  <c r="I120" i="1"/>
  <c r="H120" i="1"/>
  <c r="AI119" i="1"/>
  <c r="AH119" i="1"/>
  <c r="AG119" i="1"/>
  <c r="AF119" i="1"/>
  <c r="AE119" i="1"/>
  <c r="AD119" i="1"/>
  <c r="AC119" i="1"/>
  <c r="AB119" i="1"/>
  <c r="K113" i="16" s="1"/>
  <c r="L113" i="16" s="1"/>
  <c r="AA119" i="1"/>
  <c r="Z119" i="1"/>
  <c r="G113" i="16" s="1"/>
  <c r="Y119" i="1"/>
  <c r="X119" i="1"/>
  <c r="C113" i="16" s="1"/>
  <c r="W119" i="1"/>
  <c r="V119" i="1"/>
  <c r="U119" i="1"/>
  <c r="T119" i="1"/>
  <c r="S119" i="1"/>
  <c r="R119" i="1"/>
  <c r="Q119" i="1"/>
  <c r="P119" i="1"/>
  <c r="O119" i="1"/>
  <c r="N119" i="1"/>
  <c r="M119" i="1"/>
  <c r="L119" i="1"/>
  <c r="AK119" i="1" s="1"/>
  <c r="K119" i="1"/>
  <c r="J119" i="1"/>
  <c r="I119" i="1"/>
  <c r="H119" i="1"/>
  <c r="AK118" i="1"/>
  <c r="AH118" i="1"/>
  <c r="AK117" i="1"/>
  <c r="AH117" i="1"/>
  <c r="AK116" i="1"/>
  <c r="AH116" i="1"/>
  <c r="AK115" i="1"/>
  <c r="AH115" i="1"/>
  <c r="AK114" i="1"/>
  <c r="AH114" i="1"/>
  <c r="AK113" i="1"/>
  <c r="AH113" i="1"/>
  <c r="AK112" i="1"/>
  <c r="AH112" i="1"/>
  <c r="AK111" i="1"/>
  <c r="AH111" i="1"/>
  <c r="AK110" i="1"/>
  <c r="AH110" i="1"/>
  <c r="AK109" i="1"/>
  <c r="AH109" i="1"/>
  <c r="AK108" i="1"/>
  <c r="AH108" i="1"/>
  <c r="AK107" i="1"/>
  <c r="AH107" i="1"/>
  <c r="H107" i="1"/>
  <c r="AI106" i="1"/>
  <c r="AH106" i="1"/>
  <c r="AG106" i="1"/>
  <c r="AF106" i="1"/>
  <c r="AE106" i="1"/>
  <c r="AD106" i="1"/>
  <c r="AC106" i="1"/>
  <c r="AB106" i="1"/>
  <c r="K100" i="16" s="1"/>
  <c r="L100" i="16" s="1"/>
  <c r="AA106" i="1"/>
  <c r="Z106" i="1"/>
  <c r="G100" i="16" s="1"/>
  <c r="Y106" i="1"/>
  <c r="X106" i="1"/>
  <c r="C100" i="16" s="1"/>
  <c r="W106" i="1"/>
  <c r="V106" i="1"/>
  <c r="U106" i="1"/>
  <c r="T106" i="1"/>
  <c r="S106" i="1"/>
  <c r="R106" i="1"/>
  <c r="Q106" i="1"/>
  <c r="P106" i="1"/>
  <c r="O106" i="1"/>
  <c r="N106" i="1"/>
  <c r="M106" i="1"/>
  <c r="L106" i="1"/>
  <c r="AK106" i="1" s="1"/>
  <c r="K106" i="1"/>
  <c r="J106" i="1"/>
  <c r="I106" i="1"/>
  <c r="H106" i="1"/>
  <c r="AI105" i="1"/>
  <c r="AH105" i="1"/>
  <c r="AG105" i="1"/>
  <c r="AF105" i="1"/>
  <c r="AE105" i="1"/>
  <c r="AD105" i="1"/>
  <c r="AC105" i="1"/>
  <c r="AB105" i="1"/>
  <c r="K99" i="16" s="1"/>
  <c r="AA105" i="1"/>
  <c r="Z105" i="1"/>
  <c r="G99" i="16" s="1"/>
  <c r="Y105" i="1"/>
  <c r="X105" i="1"/>
  <c r="C99" i="16" s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AK105" i="1" s="1"/>
  <c r="AI104" i="1"/>
  <c r="AH104" i="1"/>
  <c r="AG104" i="1"/>
  <c r="AF104" i="1"/>
  <c r="AE104" i="1"/>
  <c r="AD104" i="1"/>
  <c r="AC104" i="1"/>
  <c r="AB104" i="1"/>
  <c r="K98" i="16" s="1"/>
  <c r="AA104" i="1"/>
  <c r="Z104" i="1"/>
  <c r="G98" i="16" s="1"/>
  <c r="Y104" i="1"/>
  <c r="X104" i="1"/>
  <c r="C98" i="16" s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G104" i="1" s="1"/>
  <c r="H104" i="1"/>
  <c r="AK104" i="1" s="1"/>
  <c r="AI103" i="1"/>
  <c r="AH103" i="1"/>
  <c r="AG103" i="1"/>
  <c r="AF103" i="1"/>
  <c r="AE103" i="1"/>
  <c r="AD103" i="1"/>
  <c r="AC103" i="1"/>
  <c r="AB103" i="1"/>
  <c r="K97" i="16" s="1"/>
  <c r="AA103" i="1"/>
  <c r="Z103" i="1"/>
  <c r="G97" i="16" s="1"/>
  <c r="Y103" i="1"/>
  <c r="X103" i="1"/>
  <c r="C97" i="16" s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G103" i="1" s="1"/>
  <c r="H103" i="1"/>
  <c r="AK103" i="1" s="1"/>
  <c r="AI102" i="1"/>
  <c r="AH102" i="1"/>
  <c r="AG102" i="1"/>
  <c r="AF102" i="1"/>
  <c r="AE102" i="1"/>
  <c r="AD102" i="1"/>
  <c r="AC102" i="1"/>
  <c r="AB102" i="1"/>
  <c r="K96" i="16" s="1"/>
  <c r="AA102" i="1"/>
  <c r="Z102" i="1"/>
  <c r="G96" i="16" s="1"/>
  <c r="Y102" i="1"/>
  <c r="X102" i="1"/>
  <c r="C96" i="16" s="1"/>
  <c r="W102" i="1"/>
  <c r="V102" i="1"/>
  <c r="U102" i="1"/>
  <c r="T102" i="1"/>
  <c r="S102" i="1"/>
  <c r="R102" i="1"/>
  <c r="Q102" i="1"/>
  <c r="G102" i="1" s="1"/>
  <c r="P102" i="1"/>
  <c r="O102" i="1"/>
  <c r="N102" i="1"/>
  <c r="M102" i="1"/>
  <c r="L102" i="1"/>
  <c r="K102" i="1"/>
  <c r="J102" i="1"/>
  <c r="I102" i="1"/>
  <c r="H102" i="1"/>
  <c r="AK102" i="1" s="1"/>
  <c r="AI101" i="1"/>
  <c r="AH101" i="1"/>
  <c r="AG101" i="1"/>
  <c r="AF101" i="1"/>
  <c r="AE101" i="1"/>
  <c r="AD101" i="1"/>
  <c r="AC101" i="1"/>
  <c r="AB101" i="1"/>
  <c r="K95" i="16" s="1"/>
  <c r="AA101" i="1"/>
  <c r="Z101" i="1"/>
  <c r="G95" i="16" s="1"/>
  <c r="Y101" i="1"/>
  <c r="X101" i="1"/>
  <c r="C95" i="16" s="1"/>
  <c r="W101" i="1"/>
  <c r="V101" i="1"/>
  <c r="U101" i="1"/>
  <c r="T101" i="1"/>
  <c r="S101" i="1"/>
  <c r="R101" i="1"/>
  <c r="Q101" i="1"/>
  <c r="G101" i="1" s="1"/>
  <c r="P101" i="1"/>
  <c r="O101" i="1"/>
  <c r="N101" i="1"/>
  <c r="M101" i="1"/>
  <c r="L101" i="1"/>
  <c r="K101" i="1"/>
  <c r="J101" i="1"/>
  <c r="I101" i="1"/>
  <c r="H101" i="1"/>
  <c r="AI100" i="1"/>
  <c r="AH100" i="1"/>
  <c r="AG100" i="1"/>
  <c r="AF100" i="1"/>
  <c r="AE100" i="1"/>
  <c r="AD100" i="1"/>
  <c r="AC100" i="1"/>
  <c r="AB100" i="1"/>
  <c r="K94" i="16" s="1"/>
  <c r="AA100" i="1"/>
  <c r="Z100" i="1"/>
  <c r="G94" i="16" s="1"/>
  <c r="Y100" i="1"/>
  <c r="X100" i="1"/>
  <c r="C94" i="16" s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AK100" i="1" s="1"/>
  <c r="AI99" i="1"/>
  <c r="AH99" i="1"/>
  <c r="AG99" i="1"/>
  <c r="AF99" i="1"/>
  <c r="AE99" i="1"/>
  <c r="AD99" i="1"/>
  <c r="AC99" i="1"/>
  <c r="AB99" i="1"/>
  <c r="K93" i="16" s="1"/>
  <c r="L93" i="16" s="1"/>
  <c r="AA99" i="1"/>
  <c r="Z99" i="1"/>
  <c r="G93" i="16" s="1"/>
  <c r="Y99" i="1"/>
  <c r="X99" i="1"/>
  <c r="C93" i="16" s="1"/>
  <c r="W99" i="1"/>
  <c r="V99" i="1"/>
  <c r="U99" i="1"/>
  <c r="T99" i="1"/>
  <c r="S99" i="1"/>
  <c r="R99" i="1"/>
  <c r="Q99" i="1"/>
  <c r="P99" i="1"/>
  <c r="O99" i="1"/>
  <c r="N99" i="1"/>
  <c r="M99" i="1"/>
  <c r="L99" i="1"/>
  <c r="AK99" i="1" s="1"/>
  <c r="K99" i="1"/>
  <c r="J99" i="1"/>
  <c r="I99" i="1"/>
  <c r="G99" i="1" s="1"/>
  <c r="H99" i="1"/>
  <c r="AI98" i="1"/>
  <c r="AH98" i="1"/>
  <c r="AG98" i="1"/>
  <c r="AF98" i="1"/>
  <c r="AE98" i="1"/>
  <c r="AD98" i="1"/>
  <c r="AC98" i="1"/>
  <c r="AB98" i="1"/>
  <c r="K92" i="16" s="1"/>
  <c r="L92" i="16" s="1"/>
  <c r="AA98" i="1"/>
  <c r="Z98" i="1"/>
  <c r="G92" i="16" s="1"/>
  <c r="Y98" i="1"/>
  <c r="X98" i="1"/>
  <c r="C92" i="16" s="1"/>
  <c r="W98" i="1"/>
  <c r="V98" i="1"/>
  <c r="U98" i="1"/>
  <c r="T98" i="1"/>
  <c r="S98" i="1"/>
  <c r="R98" i="1"/>
  <c r="Q98" i="1"/>
  <c r="P98" i="1"/>
  <c r="O98" i="1"/>
  <c r="N98" i="1"/>
  <c r="M98" i="1"/>
  <c r="L98" i="1"/>
  <c r="AK98" i="1" s="1"/>
  <c r="K98" i="1"/>
  <c r="J98" i="1"/>
  <c r="I98" i="1"/>
  <c r="H98" i="1"/>
  <c r="AI97" i="1"/>
  <c r="AH97" i="1"/>
  <c r="AG97" i="1"/>
  <c r="AF97" i="1"/>
  <c r="AE97" i="1"/>
  <c r="AD97" i="1"/>
  <c r="AC97" i="1"/>
  <c r="AB97" i="1"/>
  <c r="K91" i="16" s="1"/>
  <c r="AA97" i="1"/>
  <c r="Z97" i="1"/>
  <c r="G91" i="16" s="1"/>
  <c r="Y97" i="1"/>
  <c r="X97" i="1"/>
  <c r="C91" i="16" s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AI96" i="1"/>
  <c r="AH96" i="1"/>
  <c r="AG96" i="1"/>
  <c r="AF96" i="1"/>
  <c r="AE96" i="1"/>
  <c r="AD96" i="1"/>
  <c r="AC96" i="1"/>
  <c r="AB96" i="1"/>
  <c r="K90" i="16" s="1"/>
  <c r="AA96" i="1"/>
  <c r="Z96" i="1"/>
  <c r="G90" i="16" s="1"/>
  <c r="Y96" i="1"/>
  <c r="X96" i="1"/>
  <c r="C90" i="16" s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AI95" i="1"/>
  <c r="AH95" i="1"/>
  <c r="AG95" i="1"/>
  <c r="AF95" i="1"/>
  <c r="AE95" i="1"/>
  <c r="AD95" i="1"/>
  <c r="AC95" i="1"/>
  <c r="AB95" i="1"/>
  <c r="K89" i="16" s="1"/>
  <c r="AA95" i="1"/>
  <c r="Z95" i="1"/>
  <c r="G89" i="16" s="1"/>
  <c r="Y95" i="1"/>
  <c r="X95" i="1"/>
  <c r="C89" i="16" s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G95" i="1" s="1"/>
  <c r="H95" i="1"/>
  <c r="AK95" i="1" s="1"/>
  <c r="AI94" i="1"/>
  <c r="AH94" i="1"/>
  <c r="AG94" i="1"/>
  <c r="AF94" i="1"/>
  <c r="AE94" i="1"/>
  <c r="AD94" i="1"/>
  <c r="AC94" i="1"/>
  <c r="AB94" i="1"/>
  <c r="K88" i="16" s="1"/>
  <c r="AA94" i="1"/>
  <c r="Z94" i="1"/>
  <c r="G88" i="16" s="1"/>
  <c r="Y94" i="1"/>
  <c r="X94" i="1"/>
  <c r="C88" i="16" s="1"/>
  <c r="W94" i="1"/>
  <c r="V94" i="1"/>
  <c r="U94" i="1"/>
  <c r="T94" i="1"/>
  <c r="S94" i="1"/>
  <c r="R94" i="1"/>
  <c r="Q94" i="1"/>
  <c r="G94" i="1" s="1"/>
  <c r="P94" i="1"/>
  <c r="O94" i="1"/>
  <c r="N94" i="1"/>
  <c r="M94" i="1"/>
  <c r="L94" i="1"/>
  <c r="K94" i="1"/>
  <c r="J94" i="1"/>
  <c r="I94" i="1"/>
  <c r="H94" i="1"/>
  <c r="AK94" i="1" s="1"/>
  <c r="AI93" i="1"/>
  <c r="AH93" i="1"/>
  <c r="AG93" i="1"/>
  <c r="AF93" i="1"/>
  <c r="AE93" i="1"/>
  <c r="AD93" i="1"/>
  <c r="AC93" i="1"/>
  <c r="AB93" i="1"/>
  <c r="K87" i="16" s="1"/>
  <c r="AA93" i="1"/>
  <c r="Z93" i="1"/>
  <c r="G87" i="16" s="1"/>
  <c r="Y93" i="1"/>
  <c r="X93" i="1"/>
  <c r="C87" i="16" s="1"/>
  <c r="W93" i="1"/>
  <c r="V93" i="1"/>
  <c r="U93" i="1"/>
  <c r="T93" i="1"/>
  <c r="S93" i="1"/>
  <c r="R93" i="1"/>
  <c r="Q93" i="1"/>
  <c r="G93" i="1" s="1"/>
  <c r="P93" i="1"/>
  <c r="O93" i="1"/>
  <c r="N93" i="1"/>
  <c r="M93" i="1"/>
  <c r="L93" i="1"/>
  <c r="K93" i="1"/>
  <c r="J93" i="1"/>
  <c r="I93" i="1"/>
  <c r="H93" i="1"/>
  <c r="AI92" i="1"/>
  <c r="AH92" i="1"/>
  <c r="AG92" i="1"/>
  <c r="AF92" i="1"/>
  <c r="AE92" i="1"/>
  <c r="AD92" i="1"/>
  <c r="AC92" i="1"/>
  <c r="AB92" i="1"/>
  <c r="K86" i="16" s="1"/>
  <c r="AA92" i="1"/>
  <c r="Z92" i="1"/>
  <c r="G86" i="16" s="1"/>
  <c r="Y92" i="1"/>
  <c r="X92" i="1"/>
  <c r="C86" i="16" s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G92" i="1" s="1"/>
  <c r="H92" i="1"/>
  <c r="AK92" i="1" s="1"/>
  <c r="AK91" i="1"/>
  <c r="AH91" i="1"/>
  <c r="AK90" i="1"/>
  <c r="AH90" i="1"/>
  <c r="AK89" i="1"/>
  <c r="AK88" i="1"/>
  <c r="AH88" i="1"/>
  <c r="AK87" i="1"/>
  <c r="AH87" i="1"/>
  <c r="AI86" i="1"/>
  <c r="AH86" i="1"/>
  <c r="AG86" i="1"/>
  <c r="AF86" i="1"/>
  <c r="AE86" i="1"/>
  <c r="AD86" i="1"/>
  <c r="AC86" i="1"/>
  <c r="AB86" i="1"/>
  <c r="K80" i="16" s="1"/>
  <c r="AA86" i="1"/>
  <c r="Z86" i="1"/>
  <c r="G80" i="16" s="1"/>
  <c r="Y86" i="1"/>
  <c r="X86" i="1"/>
  <c r="C80" i="16" s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AI85" i="1"/>
  <c r="AH85" i="1"/>
  <c r="AG85" i="1"/>
  <c r="AF85" i="1"/>
  <c r="AE85" i="1"/>
  <c r="AD85" i="1"/>
  <c r="AC85" i="1"/>
  <c r="AB85" i="1"/>
  <c r="K79" i="16" s="1"/>
  <c r="L79" i="16" s="1"/>
  <c r="AA85" i="1"/>
  <c r="Z85" i="1"/>
  <c r="G79" i="16" s="1"/>
  <c r="Y85" i="1"/>
  <c r="X85" i="1"/>
  <c r="C79" i="16" s="1"/>
  <c r="W85" i="1"/>
  <c r="V85" i="1"/>
  <c r="U85" i="1"/>
  <c r="T85" i="1"/>
  <c r="S85" i="1"/>
  <c r="R85" i="1"/>
  <c r="Q85" i="1"/>
  <c r="P85" i="1"/>
  <c r="O85" i="1"/>
  <c r="N85" i="1"/>
  <c r="M85" i="1"/>
  <c r="L85" i="1"/>
  <c r="AK85" i="1" s="1"/>
  <c r="K85" i="1"/>
  <c r="J85" i="1"/>
  <c r="I85" i="1"/>
  <c r="H85" i="1"/>
  <c r="AI84" i="1"/>
  <c r="AH84" i="1"/>
  <c r="AG84" i="1"/>
  <c r="AF84" i="1"/>
  <c r="AE84" i="1"/>
  <c r="AD84" i="1"/>
  <c r="AC84" i="1"/>
  <c r="AB84" i="1"/>
  <c r="K78" i="16" s="1"/>
  <c r="L78" i="16" s="1"/>
  <c r="AA84" i="1"/>
  <c r="Z84" i="1"/>
  <c r="G78" i="16" s="1"/>
  <c r="Y84" i="1"/>
  <c r="X84" i="1"/>
  <c r="C78" i="16" s="1"/>
  <c r="W84" i="1"/>
  <c r="V84" i="1"/>
  <c r="U84" i="1"/>
  <c r="T84" i="1"/>
  <c r="S84" i="1"/>
  <c r="R84" i="1"/>
  <c r="Q84" i="1"/>
  <c r="G84" i="1" s="1"/>
  <c r="P84" i="1"/>
  <c r="O84" i="1"/>
  <c r="N84" i="1"/>
  <c r="M84" i="1"/>
  <c r="L84" i="1"/>
  <c r="AK84" i="1" s="1"/>
  <c r="K84" i="1"/>
  <c r="J84" i="1"/>
  <c r="I84" i="1"/>
  <c r="H84" i="1"/>
  <c r="AI83" i="1"/>
  <c r="AH83" i="1"/>
  <c r="AG83" i="1"/>
  <c r="AF83" i="1"/>
  <c r="AE83" i="1"/>
  <c r="AD83" i="1"/>
  <c r="AC83" i="1"/>
  <c r="AB83" i="1"/>
  <c r="K77" i="16" s="1"/>
  <c r="AA83" i="1"/>
  <c r="Z83" i="1"/>
  <c r="G77" i="16" s="1"/>
  <c r="Y83" i="1"/>
  <c r="X83" i="1"/>
  <c r="C77" i="16" s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AI82" i="1"/>
  <c r="AH82" i="1"/>
  <c r="AG82" i="1"/>
  <c r="AF82" i="1"/>
  <c r="AE82" i="1"/>
  <c r="AD82" i="1"/>
  <c r="AC82" i="1"/>
  <c r="AB82" i="1"/>
  <c r="K76" i="16" s="1"/>
  <c r="AA82" i="1"/>
  <c r="Z82" i="1"/>
  <c r="G76" i="16" s="1"/>
  <c r="Y82" i="1"/>
  <c r="X82" i="1"/>
  <c r="C76" i="16" s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G82" i="1" s="1"/>
  <c r="H82" i="1"/>
  <c r="AK82" i="1" s="1"/>
  <c r="AI81" i="1"/>
  <c r="AH81" i="1"/>
  <c r="AG81" i="1"/>
  <c r="AF81" i="1"/>
  <c r="AE81" i="1"/>
  <c r="AD81" i="1"/>
  <c r="AC81" i="1"/>
  <c r="AB81" i="1"/>
  <c r="K75" i="16" s="1"/>
  <c r="AA81" i="1"/>
  <c r="Z81" i="1"/>
  <c r="G75" i="16" s="1"/>
  <c r="Y81" i="1"/>
  <c r="X81" i="1"/>
  <c r="C75" i="16" s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AK81" i="1" s="1"/>
  <c r="AI80" i="1"/>
  <c r="AH80" i="1"/>
  <c r="AG80" i="1"/>
  <c r="AF80" i="1"/>
  <c r="AE80" i="1"/>
  <c r="AD80" i="1"/>
  <c r="AC80" i="1"/>
  <c r="AB80" i="1"/>
  <c r="K74" i="16" s="1"/>
  <c r="AA80" i="1"/>
  <c r="Z80" i="1"/>
  <c r="G74" i="16" s="1"/>
  <c r="Y80" i="1"/>
  <c r="X80" i="1"/>
  <c r="C74" i="16" s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AK80" i="1" s="1"/>
  <c r="AI79" i="1"/>
  <c r="AH79" i="1"/>
  <c r="AG79" i="1"/>
  <c r="AF79" i="1"/>
  <c r="AE79" i="1"/>
  <c r="AD79" i="1"/>
  <c r="AC79" i="1"/>
  <c r="AB79" i="1"/>
  <c r="K73" i="16" s="1"/>
  <c r="AA79" i="1"/>
  <c r="Z79" i="1"/>
  <c r="G73" i="16" s="1"/>
  <c r="Y79" i="1"/>
  <c r="X79" i="1"/>
  <c r="C73" i="16" s="1"/>
  <c r="W79" i="1"/>
  <c r="V79" i="1"/>
  <c r="U79" i="1"/>
  <c r="T79" i="1"/>
  <c r="S79" i="1"/>
  <c r="R79" i="1"/>
  <c r="Q79" i="1"/>
  <c r="G79" i="1" s="1"/>
  <c r="P79" i="1"/>
  <c r="O79" i="1"/>
  <c r="N79" i="1"/>
  <c r="M79" i="1"/>
  <c r="L79" i="1"/>
  <c r="K79" i="1"/>
  <c r="J79" i="1"/>
  <c r="I79" i="1"/>
  <c r="H79" i="1"/>
  <c r="AI78" i="1"/>
  <c r="AH78" i="1"/>
  <c r="AG78" i="1"/>
  <c r="AF78" i="1"/>
  <c r="AE78" i="1"/>
  <c r="AD78" i="1"/>
  <c r="AC78" i="1"/>
  <c r="AB78" i="1"/>
  <c r="K72" i="16" s="1"/>
  <c r="AA78" i="1"/>
  <c r="Z78" i="1"/>
  <c r="G72" i="16" s="1"/>
  <c r="Y78" i="1"/>
  <c r="X78" i="1"/>
  <c r="C72" i="16" s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AI77" i="1"/>
  <c r="AH77" i="1"/>
  <c r="AG77" i="1"/>
  <c r="AF77" i="1"/>
  <c r="AE77" i="1"/>
  <c r="AD77" i="1"/>
  <c r="AC77" i="1"/>
  <c r="AB77" i="1"/>
  <c r="K71" i="16" s="1"/>
  <c r="AA77" i="1"/>
  <c r="Z77" i="1"/>
  <c r="G71" i="16" s="1"/>
  <c r="Y77" i="1"/>
  <c r="X77" i="1"/>
  <c r="C71" i="16" s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AK77" i="1" s="1"/>
  <c r="AI76" i="1"/>
  <c r="AH76" i="1"/>
  <c r="AG76" i="1"/>
  <c r="AF76" i="1"/>
  <c r="AE76" i="1"/>
  <c r="AD76" i="1"/>
  <c r="AC76" i="1"/>
  <c r="AB76" i="1"/>
  <c r="K70" i="16" s="1"/>
  <c r="L70" i="16" s="1"/>
  <c r="AA76" i="1"/>
  <c r="Z76" i="1"/>
  <c r="G70" i="16" s="1"/>
  <c r="Y76" i="1"/>
  <c r="X76" i="1"/>
  <c r="C70" i="16" s="1"/>
  <c r="W76" i="1"/>
  <c r="V76" i="1"/>
  <c r="U76" i="1"/>
  <c r="T76" i="1"/>
  <c r="S76" i="1"/>
  <c r="R76" i="1"/>
  <c r="Q76" i="1"/>
  <c r="P76" i="1"/>
  <c r="O76" i="1"/>
  <c r="N76" i="1"/>
  <c r="M76" i="1"/>
  <c r="L76" i="1"/>
  <c r="AK76" i="1" s="1"/>
  <c r="K76" i="1"/>
  <c r="J76" i="1"/>
  <c r="I76" i="1"/>
  <c r="H76" i="1"/>
  <c r="AI75" i="1"/>
  <c r="AH75" i="1"/>
  <c r="AG75" i="1"/>
  <c r="AF75" i="1"/>
  <c r="AE75" i="1"/>
  <c r="AD75" i="1"/>
  <c r="AC75" i="1"/>
  <c r="AB75" i="1"/>
  <c r="K69" i="16" s="1"/>
  <c r="AA75" i="1"/>
  <c r="Z75" i="1"/>
  <c r="G69" i="16" s="1"/>
  <c r="Y75" i="1"/>
  <c r="X75" i="1"/>
  <c r="C69" i="16" s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AK75" i="1" s="1"/>
  <c r="AI74" i="1"/>
  <c r="AH74" i="1"/>
  <c r="AG74" i="1"/>
  <c r="AF74" i="1"/>
  <c r="AE74" i="1"/>
  <c r="AD74" i="1"/>
  <c r="AC74" i="1"/>
  <c r="AB74" i="1"/>
  <c r="K68" i="16" s="1"/>
  <c r="AA74" i="1"/>
  <c r="Z74" i="1"/>
  <c r="G68" i="16" s="1"/>
  <c r="Y74" i="1"/>
  <c r="X74" i="1"/>
  <c r="C68" i="16" s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AK73" i="1"/>
  <c r="AH73" i="1"/>
  <c r="AK72" i="1"/>
  <c r="AH72" i="1"/>
  <c r="AI71" i="1"/>
  <c r="AH71" i="1"/>
  <c r="AG71" i="1"/>
  <c r="AF71" i="1"/>
  <c r="AE71" i="1"/>
  <c r="AD71" i="1"/>
  <c r="AC71" i="1"/>
  <c r="AB71" i="1"/>
  <c r="K65" i="16" s="1"/>
  <c r="AA71" i="1"/>
  <c r="Z71" i="1"/>
  <c r="G65" i="16" s="1"/>
  <c r="Y71" i="1"/>
  <c r="X71" i="1"/>
  <c r="C65" i="16" s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AK71" i="1" s="1"/>
  <c r="AI70" i="1"/>
  <c r="AH70" i="1"/>
  <c r="AG70" i="1"/>
  <c r="AF70" i="1"/>
  <c r="AE70" i="1"/>
  <c r="AD70" i="1"/>
  <c r="AC70" i="1"/>
  <c r="AB70" i="1"/>
  <c r="K64" i="16" s="1"/>
  <c r="L64" i="16" s="1"/>
  <c r="AA70" i="1"/>
  <c r="Z70" i="1"/>
  <c r="G64" i="16" s="1"/>
  <c r="Y70" i="1"/>
  <c r="X70" i="1"/>
  <c r="C64" i="16" s="1"/>
  <c r="W70" i="1"/>
  <c r="V70" i="1"/>
  <c r="U70" i="1"/>
  <c r="T70" i="1"/>
  <c r="S70" i="1"/>
  <c r="R70" i="1"/>
  <c r="Q70" i="1"/>
  <c r="P70" i="1"/>
  <c r="O70" i="1"/>
  <c r="N70" i="1"/>
  <c r="M70" i="1"/>
  <c r="L70" i="1"/>
  <c r="AK70" i="1" s="1"/>
  <c r="K70" i="1"/>
  <c r="J70" i="1"/>
  <c r="I70" i="1"/>
  <c r="H70" i="1"/>
  <c r="AI69" i="1"/>
  <c r="AH69" i="1"/>
  <c r="AG69" i="1"/>
  <c r="AF69" i="1"/>
  <c r="AE69" i="1"/>
  <c r="AD69" i="1"/>
  <c r="AC69" i="1"/>
  <c r="AB69" i="1"/>
  <c r="K63" i="16" s="1"/>
  <c r="AA69" i="1"/>
  <c r="Z69" i="1"/>
  <c r="G63" i="16" s="1"/>
  <c r="Y69" i="1"/>
  <c r="X69" i="1"/>
  <c r="C63" i="16" s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AK69" i="1" s="1"/>
  <c r="AI68" i="1"/>
  <c r="AH68" i="1"/>
  <c r="AG68" i="1"/>
  <c r="AF68" i="1"/>
  <c r="AE68" i="1"/>
  <c r="AD68" i="1"/>
  <c r="AC68" i="1"/>
  <c r="AB68" i="1"/>
  <c r="K62" i="16" s="1"/>
  <c r="AA68" i="1"/>
  <c r="Z68" i="1"/>
  <c r="G62" i="16" s="1"/>
  <c r="Y68" i="1"/>
  <c r="X68" i="1"/>
  <c r="C62" i="16" s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AI67" i="1"/>
  <c r="AH67" i="1"/>
  <c r="AG67" i="1"/>
  <c r="AF67" i="1"/>
  <c r="AE67" i="1"/>
  <c r="AD67" i="1"/>
  <c r="AC67" i="1"/>
  <c r="AB67" i="1"/>
  <c r="K61" i="16" s="1"/>
  <c r="L61" i="16" s="1"/>
  <c r="AA67" i="1"/>
  <c r="Z67" i="1"/>
  <c r="G61" i="16" s="1"/>
  <c r="Y67" i="1"/>
  <c r="X67" i="1"/>
  <c r="C61" i="16" s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G67" i="1" s="1"/>
  <c r="H67" i="1"/>
  <c r="AK67" i="1" s="1"/>
  <c r="AI66" i="1"/>
  <c r="AH66" i="1"/>
  <c r="AG66" i="1"/>
  <c r="AF66" i="1"/>
  <c r="AE66" i="1"/>
  <c r="AD66" i="1"/>
  <c r="AC66" i="1"/>
  <c r="AB66" i="1"/>
  <c r="K60" i="16" s="1"/>
  <c r="AA66" i="1"/>
  <c r="Z66" i="1"/>
  <c r="G60" i="16" s="1"/>
  <c r="Y66" i="1"/>
  <c r="X66" i="1"/>
  <c r="C60" i="16" s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AK66" i="1" s="1"/>
  <c r="AI65" i="1"/>
  <c r="AH65" i="1"/>
  <c r="G65" i="1" s="1"/>
  <c r="AG65" i="1"/>
  <c r="AF65" i="1"/>
  <c r="AE65" i="1"/>
  <c r="AD65" i="1"/>
  <c r="AC65" i="1"/>
  <c r="AB65" i="1"/>
  <c r="K59" i="16" s="1"/>
  <c r="AA65" i="1"/>
  <c r="Z65" i="1"/>
  <c r="G59" i="16" s="1"/>
  <c r="Y65" i="1"/>
  <c r="X65" i="1"/>
  <c r="C59" i="16" s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AI64" i="1"/>
  <c r="AH64" i="1"/>
  <c r="AG64" i="1"/>
  <c r="AF64" i="1"/>
  <c r="AE64" i="1"/>
  <c r="AD64" i="1"/>
  <c r="AC64" i="1"/>
  <c r="AB64" i="1"/>
  <c r="K58" i="16" s="1"/>
  <c r="AA64" i="1"/>
  <c r="Z64" i="1"/>
  <c r="G58" i="16" s="1"/>
  <c r="Y64" i="1"/>
  <c r="X64" i="1"/>
  <c r="C58" i="16" s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G64" i="1" s="1"/>
  <c r="H64" i="1"/>
  <c r="AI63" i="1"/>
  <c r="AH63" i="1"/>
  <c r="AG63" i="1"/>
  <c r="AF63" i="1"/>
  <c r="AE63" i="1"/>
  <c r="AD63" i="1"/>
  <c r="AC63" i="1"/>
  <c r="AB63" i="1"/>
  <c r="K57" i="16" s="1"/>
  <c r="L57" i="16" s="1"/>
  <c r="AA63" i="1"/>
  <c r="Z63" i="1"/>
  <c r="G57" i="16" s="1"/>
  <c r="Y63" i="1"/>
  <c r="X63" i="1"/>
  <c r="C57" i="16" s="1"/>
  <c r="W63" i="1"/>
  <c r="V63" i="1"/>
  <c r="U63" i="1"/>
  <c r="T63" i="1"/>
  <c r="S63" i="1"/>
  <c r="R63" i="1"/>
  <c r="Q63" i="1"/>
  <c r="P63" i="1"/>
  <c r="O63" i="1"/>
  <c r="N63" i="1"/>
  <c r="M63" i="1"/>
  <c r="L63" i="1"/>
  <c r="AK63" i="1" s="1"/>
  <c r="K63" i="1"/>
  <c r="J63" i="1"/>
  <c r="I63" i="1"/>
  <c r="G63" i="1" s="1"/>
  <c r="H63" i="1"/>
  <c r="AI62" i="1"/>
  <c r="AH62" i="1"/>
  <c r="AG62" i="1"/>
  <c r="AF62" i="1"/>
  <c r="AE62" i="1"/>
  <c r="AD62" i="1"/>
  <c r="AC62" i="1"/>
  <c r="AB62" i="1"/>
  <c r="K56" i="16" s="1"/>
  <c r="L56" i="16" s="1"/>
  <c r="AA62" i="1"/>
  <c r="Z62" i="1"/>
  <c r="G56" i="16" s="1"/>
  <c r="Y62" i="1"/>
  <c r="X62" i="1"/>
  <c r="C56" i="16" s="1"/>
  <c r="W62" i="1"/>
  <c r="V62" i="1"/>
  <c r="U62" i="1"/>
  <c r="T62" i="1"/>
  <c r="S62" i="1"/>
  <c r="R62" i="1"/>
  <c r="Q62" i="1"/>
  <c r="P62" i="1"/>
  <c r="O62" i="1"/>
  <c r="N62" i="1"/>
  <c r="M62" i="1"/>
  <c r="L62" i="1"/>
  <c r="AK62" i="1" s="1"/>
  <c r="K62" i="1"/>
  <c r="J62" i="1"/>
  <c r="I62" i="1"/>
  <c r="H62" i="1"/>
  <c r="AI61" i="1"/>
  <c r="AH61" i="1"/>
  <c r="AG61" i="1"/>
  <c r="AF61" i="1"/>
  <c r="AE61" i="1"/>
  <c r="AD61" i="1"/>
  <c r="AC61" i="1"/>
  <c r="AB61" i="1"/>
  <c r="K55" i="16" s="1"/>
  <c r="AA61" i="1"/>
  <c r="Z61" i="1"/>
  <c r="G55" i="16" s="1"/>
  <c r="Y61" i="1"/>
  <c r="X61" i="1"/>
  <c r="C55" i="16" s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AK61" i="1" s="1"/>
  <c r="AI60" i="1"/>
  <c r="AH60" i="1"/>
  <c r="AG60" i="1"/>
  <c r="AF60" i="1"/>
  <c r="AE60" i="1"/>
  <c r="AD60" i="1"/>
  <c r="AC60" i="1"/>
  <c r="AB60" i="1"/>
  <c r="K54" i="16" s="1"/>
  <c r="AA60" i="1"/>
  <c r="Z60" i="1"/>
  <c r="G54" i="16" s="1"/>
  <c r="Y60" i="1"/>
  <c r="X60" i="1"/>
  <c r="C54" i="16" s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AI59" i="1"/>
  <c r="AH59" i="1"/>
  <c r="AG59" i="1"/>
  <c r="AF59" i="1"/>
  <c r="AE59" i="1"/>
  <c r="AD59" i="1"/>
  <c r="AC59" i="1"/>
  <c r="AB59" i="1"/>
  <c r="K53" i="16" s="1"/>
  <c r="AA59" i="1"/>
  <c r="Z59" i="1"/>
  <c r="G53" i="16" s="1"/>
  <c r="Y59" i="1"/>
  <c r="X59" i="1"/>
  <c r="C53" i="16" s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G59" i="1" s="1"/>
  <c r="H59" i="1"/>
  <c r="AK59" i="1" s="1"/>
  <c r="AI58" i="1"/>
  <c r="AH58" i="1"/>
  <c r="AG58" i="1"/>
  <c r="AF58" i="1"/>
  <c r="AE58" i="1"/>
  <c r="AD58" i="1"/>
  <c r="AC58" i="1"/>
  <c r="AB58" i="1"/>
  <c r="K52" i="16" s="1"/>
  <c r="AA58" i="1"/>
  <c r="Z58" i="1"/>
  <c r="G52" i="16" s="1"/>
  <c r="Y58" i="1"/>
  <c r="X58" i="1"/>
  <c r="C52" i="16" s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AK58" i="1" s="1"/>
  <c r="AI57" i="1"/>
  <c r="AH57" i="1"/>
  <c r="G57" i="1" s="1"/>
  <c r="AG57" i="1"/>
  <c r="AF57" i="1"/>
  <c r="AE57" i="1"/>
  <c r="AD57" i="1"/>
  <c r="AC57" i="1"/>
  <c r="AB57" i="1"/>
  <c r="K51" i="16" s="1"/>
  <c r="L51" i="16" s="1"/>
  <c r="AA57" i="1"/>
  <c r="Z57" i="1"/>
  <c r="G51" i="16" s="1"/>
  <c r="Y57" i="1"/>
  <c r="X57" i="1"/>
  <c r="C51" i="16" s="1"/>
  <c r="W57" i="1"/>
  <c r="V57" i="1"/>
  <c r="U57" i="1"/>
  <c r="T57" i="1"/>
  <c r="S57" i="1"/>
  <c r="R57" i="1"/>
  <c r="Q57" i="1"/>
  <c r="P57" i="1"/>
  <c r="O57" i="1"/>
  <c r="N57" i="1"/>
  <c r="M57" i="1"/>
  <c r="L57" i="1"/>
  <c r="AK57" i="1" s="1"/>
  <c r="K57" i="1"/>
  <c r="J57" i="1"/>
  <c r="I57" i="1"/>
  <c r="H57" i="1"/>
  <c r="AK56" i="1"/>
  <c r="AK55" i="1"/>
  <c r="AK54" i="1"/>
  <c r="AK53" i="1"/>
  <c r="AK52" i="1"/>
  <c r="AI51" i="1"/>
  <c r="AH51" i="1"/>
  <c r="AG51" i="1"/>
  <c r="AF51" i="1"/>
  <c r="AE51" i="1"/>
  <c r="AD51" i="1"/>
  <c r="AC51" i="1"/>
  <c r="AB51" i="1"/>
  <c r="K45" i="16" s="1"/>
  <c r="AA51" i="1"/>
  <c r="Z51" i="1"/>
  <c r="G45" i="16" s="1"/>
  <c r="Y51" i="1"/>
  <c r="X51" i="1"/>
  <c r="C45" i="16" s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AK51" i="1" s="1"/>
  <c r="AI50" i="1"/>
  <c r="AH50" i="1"/>
  <c r="AG50" i="1"/>
  <c r="AF50" i="1"/>
  <c r="AE50" i="1"/>
  <c r="AD50" i="1"/>
  <c r="AC50" i="1"/>
  <c r="AB50" i="1"/>
  <c r="K44" i="16" s="1"/>
  <c r="AA50" i="1"/>
  <c r="Z50" i="1"/>
  <c r="G44" i="16" s="1"/>
  <c r="Y50" i="1"/>
  <c r="X50" i="1"/>
  <c r="C44" i="16" s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G50" i="1" s="1"/>
  <c r="H50" i="1"/>
  <c r="AI49" i="1"/>
  <c r="AH49" i="1"/>
  <c r="AG49" i="1"/>
  <c r="AF49" i="1"/>
  <c r="AE49" i="1"/>
  <c r="AD49" i="1"/>
  <c r="AC49" i="1"/>
  <c r="AB49" i="1"/>
  <c r="K43" i="16" s="1"/>
  <c r="AA49" i="1"/>
  <c r="Z49" i="1"/>
  <c r="G43" i="16" s="1"/>
  <c r="Y49" i="1"/>
  <c r="X49" i="1"/>
  <c r="C43" i="16" s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G49" i="1" s="1"/>
  <c r="H49" i="1"/>
  <c r="AK49" i="1" s="1"/>
  <c r="AI48" i="1"/>
  <c r="AH48" i="1"/>
  <c r="AG48" i="1"/>
  <c r="AF48" i="1"/>
  <c r="AE48" i="1"/>
  <c r="AD48" i="1"/>
  <c r="AC48" i="1"/>
  <c r="AB48" i="1"/>
  <c r="K42" i="16" s="1"/>
  <c r="AA48" i="1"/>
  <c r="Z48" i="1"/>
  <c r="G42" i="16" s="1"/>
  <c r="Y48" i="1"/>
  <c r="X48" i="1"/>
  <c r="C42" i="16" s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AK48" i="1" s="1"/>
  <c r="AI47" i="1"/>
  <c r="AH47" i="1"/>
  <c r="AG47" i="1"/>
  <c r="AF47" i="1"/>
  <c r="AE47" i="1"/>
  <c r="AD47" i="1"/>
  <c r="AC47" i="1"/>
  <c r="AB47" i="1"/>
  <c r="K41" i="16" s="1"/>
  <c r="AA47" i="1"/>
  <c r="Z47" i="1"/>
  <c r="G41" i="16" s="1"/>
  <c r="Y47" i="1"/>
  <c r="X47" i="1"/>
  <c r="C41" i="16" s="1"/>
  <c r="W47" i="1"/>
  <c r="V47" i="1"/>
  <c r="U47" i="1"/>
  <c r="T47" i="1"/>
  <c r="S47" i="1"/>
  <c r="R47" i="1"/>
  <c r="Q47" i="1"/>
  <c r="G47" i="1" s="1"/>
  <c r="P47" i="1"/>
  <c r="O47" i="1"/>
  <c r="N47" i="1"/>
  <c r="M47" i="1"/>
  <c r="L47" i="1"/>
  <c r="K47" i="1"/>
  <c r="J47" i="1"/>
  <c r="I47" i="1"/>
  <c r="H47" i="1"/>
  <c r="AI46" i="1"/>
  <c r="AH46" i="1"/>
  <c r="AG46" i="1"/>
  <c r="AF46" i="1"/>
  <c r="AE46" i="1"/>
  <c r="AD46" i="1"/>
  <c r="AC46" i="1"/>
  <c r="AB46" i="1"/>
  <c r="K40" i="16" s="1"/>
  <c r="AA46" i="1"/>
  <c r="Z46" i="1"/>
  <c r="G40" i="16" s="1"/>
  <c r="Y46" i="1"/>
  <c r="X46" i="1"/>
  <c r="C40" i="16" s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AI45" i="1"/>
  <c r="AH45" i="1"/>
  <c r="AG45" i="1"/>
  <c r="AF45" i="1"/>
  <c r="AE45" i="1"/>
  <c r="AD45" i="1"/>
  <c r="AC45" i="1"/>
  <c r="AB45" i="1"/>
  <c r="K39" i="16" s="1"/>
  <c r="AA45" i="1"/>
  <c r="Z45" i="1"/>
  <c r="G39" i="16" s="1"/>
  <c r="Y45" i="1"/>
  <c r="X45" i="1"/>
  <c r="C39" i="16" s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G45" i="1" s="1"/>
  <c r="H45" i="1"/>
  <c r="AK45" i="1" s="1"/>
  <c r="AI44" i="1"/>
  <c r="AH44" i="1"/>
  <c r="AG44" i="1"/>
  <c r="AF44" i="1"/>
  <c r="AE44" i="1"/>
  <c r="AD44" i="1"/>
  <c r="AC44" i="1"/>
  <c r="AB44" i="1"/>
  <c r="K38" i="16" s="1"/>
  <c r="L38" i="16" s="1"/>
  <c r="AA44" i="1"/>
  <c r="Z44" i="1"/>
  <c r="G38" i="16" s="1"/>
  <c r="Y44" i="1"/>
  <c r="X44" i="1"/>
  <c r="C38" i="16" s="1"/>
  <c r="W44" i="1"/>
  <c r="V44" i="1"/>
  <c r="U44" i="1"/>
  <c r="T44" i="1"/>
  <c r="S44" i="1"/>
  <c r="R44" i="1"/>
  <c r="Q44" i="1"/>
  <c r="G44" i="1" s="1"/>
  <c r="P44" i="1"/>
  <c r="O44" i="1"/>
  <c r="N44" i="1"/>
  <c r="M44" i="1"/>
  <c r="L44" i="1"/>
  <c r="AK44" i="1" s="1"/>
  <c r="K44" i="1"/>
  <c r="J44" i="1"/>
  <c r="I44" i="1"/>
  <c r="H44" i="1"/>
  <c r="AI43" i="1"/>
  <c r="AH43" i="1"/>
  <c r="AG43" i="1"/>
  <c r="AF43" i="1"/>
  <c r="AE43" i="1"/>
  <c r="AD43" i="1"/>
  <c r="AC43" i="1"/>
  <c r="AB43" i="1"/>
  <c r="K37" i="16" s="1"/>
  <c r="AA43" i="1"/>
  <c r="Z43" i="1"/>
  <c r="G37" i="16" s="1"/>
  <c r="Y43" i="1"/>
  <c r="X43" i="1"/>
  <c r="C37" i="16" s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AK43" i="1" s="1"/>
  <c r="AI42" i="1"/>
  <c r="AH42" i="1"/>
  <c r="AG42" i="1"/>
  <c r="AF42" i="1"/>
  <c r="AE42" i="1"/>
  <c r="AD42" i="1"/>
  <c r="AC42" i="1"/>
  <c r="AB42" i="1"/>
  <c r="K36" i="16" s="1"/>
  <c r="AA42" i="1"/>
  <c r="Z42" i="1"/>
  <c r="G36" i="16" s="1"/>
  <c r="Y42" i="1"/>
  <c r="X42" i="1"/>
  <c r="C36" i="16" s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G42" i="1" s="1"/>
  <c r="H42" i="1"/>
  <c r="AK42" i="1" s="1"/>
  <c r="AI41" i="1"/>
  <c r="AH41" i="1"/>
  <c r="AG41" i="1"/>
  <c r="AF41" i="1"/>
  <c r="AE41" i="1"/>
  <c r="AD41" i="1"/>
  <c r="AC41" i="1"/>
  <c r="AB41" i="1"/>
  <c r="K35" i="16" s="1"/>
  <c r="L35" i="16" s="1"/>
  <c r="AA41" i="1"/>
  <c r="Z41" i="1"/>
  <c r="G35" i="16" s="1"/>
  <c r="Y41" i="1"/>
  <c r="X41" i="1"/>
  <c r="C35" i="16" s="1"/>
  <c r="W41" i="1"/>
  <c r="V41" i="1"/>
  <c r="U41" i="1"/>
  <c r="T41" i="1"/>
  <c r="S41" i="1"/>
  <c r="R41" i="1"/>
  <c r="Q41" i="1"/>
  <c r="P41" i="1"/>
  <c r="O41" i="1"/>
  <c r="N41" i="1"/>
  <c r="M41" i="1"/>
  <c r="L41" i="1"/>
  <c r="AK41" i="1" s="1"/>
  <c r="K41" i="1"/>
  <c r="J41" i="1"/>
  <c r="I41" i="1"/>
  <c r="G41" i="1" s="1"/>
  <c r="H41" i="1"/>
  <c r="AI40" i="1"/>
  <c r="AH40" i="1"/>
  <c r="AG40" i="1"/>
  <c r="AF40" i="1"/>
  <c r="AE40" i="1"/>
  <c r="AD40" i="1"/>
  <c r="AC40" i="1"/>
  <c r="AB40" i="1"/>
  <c r="K34" i="16" s="1"/>
  <c r="AA40" i="1"/>
  <c r="Z40" i="1"/>
  <c r="G34" i="16" s="1"/>
  <c r="Y40" i="1"/>
  <c r="X40" i="1"/>
  <c r="C34" i="16" s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AK40" i="1" s="1"/>
  <c r="AI39" i="1"/>
  <c r="AH39" i="1"/>
  <c r="AG39" i="1"/>
  <c r="AF39" i="1"/>
  <c r="AE39" i="1"/>
  <c r="AD39" i="1"/>
  <c r="AC39" i="1"/>
  <c r="AB39" i="1"/>
  <c r="K33" i="16" s="1"/>
  <c r="AA39" i="1"/>
  <c r="Z39" i="1"/>
  <c r="G33" i="16" s="1"/>
  <c r="Y39" i="1"/>
  <c r="X39" i="1"/>
  <c r="C33" i="16" s="1"/>
  <c r="W39" i="1"/>
  <c r="V39" i="1"/>
  <c r="U39" i="1"/>
  <c r="T39" i="1"/>
  <c r="S39" i="1"/>
  <c r="R39" i="1"/>
  <c r="Q39" i="1"/>
  <c r="G39" i="1" s="1"/>
  <c r="P39" i="1"/>
  <c r="O39" i="1"/>
  <c r="N39" i="1"/>
  <c r="M39" i="1"/>
  <c r="L39" i="1"/>
  <c r="K39" i="1"/>
  <c r="J39" i="1"/>
  <c r="I39" i="1"/>
  <c r="H39" i="1"/>
  <c r="AI38" i="1"/>
  <c r="AH38" i="1"/>
  <c r="AG38" i="1"/>
  <c r="AF38" i="1"/>
  <c r="AE38" i="1"/>
  <c r="AD38" i="1"/>
  <c r="AC38" i="1"/>
  <c r="AB38" i="1"/>
  <c r="K32" i="16" s="1"/>
  <c r="AA38" i="1"/>
  <c r="Z38" i="1"/>
  <c r="G32" i="16" s="1"/>
  <c r="Y38" i="1"/>
  <c r="X38" i="1"/>
  <c r="C32" i="16" s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AK37" i="1"/>
  <c r="H37" i="1"/>
  <c r="AI36" i="1"/>
  <c r="AH36" i="1"/>
  <c r="AG36" i="1"/>
  <c r="AF36" i="1"/>
  <c r="AE36" i="1"/>
  <c r="AD36" i="1"/>
  <c r="AC36" i="1"/>
  <c r="AB36" i="1"/>
  <c r="K30" i="16" s="1"/>
  <c r="L30" i="16" s="1"/>
  <c r="AA36" i="1"/>
  <c r="Z36" i="1"/>
  <c r="G30" i="16" s="1"/>
  <c r="Y36" i="1"/>
  <c r="X36" i="1"/>
  <c r="C30" i="16" s="1"/>
  <c r="W36" i="1"/>
  <c r="V36" i="1"/>
  <c r="U36" i="1"/>
  <c r="T36" i="1"/>
  <c r="S36" i="1"/>
  <c r="R36" i="1"/>
  <c r="Q36" i="1"/>
  <c r="P36" i="1"/>
  <c r="O36" i="1"/>
  <c r="N36" i="1"/>
  <c r="M36" i="1"/>
  <c r="L36" i="1"/>
  <c r="AK36" i="1" s="1"/>
  <c r="K36" i="1"/>
  <c r="J36" i="1"/>
  <c r="I36" i="1"/>
  <c r="H36" i="1"/>
  <c r="G36" i="1"/>
  <c r="AI35" i="1"/>
  <c r="AH35" i="1"/>
  <c r="AG35" i="1"/>
  <c r="AF35" i="1"/>
  <c r="AE35" i="1"/>
  <c r="AD35" i="1"/>
  <c r="AC35" i="1"/>
  <c r="AB35" i="1"/>
  <c r="K29" i="16" s="1"/>
  <c r="AA35" i="1"/>
  <c r="Z35" i="1"/>
  <c r="G29" i="16" s="1"/>
  <c r="Y35" i="1"/>
  <c r="X35" i="1"/>
  <c r="C29" i="16" s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AI34" i="1"/>
  <c r="AH34" i="1"/>
  <c r="AG34" i="1"/>
  <c r="AF34" i="1"/>
  <c r="AE34" i="1"/>
  <c r="AD34" i="1"/>
  <c r="AC34" i="1"/>
  <c r="AB34" i="1"/>
  <c r="K28" i="16" s="1"/>
  <c r="L28" i="16" s="1"/>
  <c r="AA34" i="1"/>
  <c r="Z34" i="1"/>
  <c r="G28" i="16" s="1"/>
  <c r="Y34" i="1"/>
  <c r="X34" i="1"/>
  <c r="C28" i="16" s="1"/>
  <c r="W34" i="1"/>
  <c r="V34" i="1"/>
  <c r="U34" i="1"/>
  <c r="T34" i="1"/>
  <c r="S34" i="1"/>
  <c r="R34" i="1"/>
  <c r="Q34" i="1"/>
  <c r="P34" i="1"/>
  <c r="AK34" i="1" s="1"/>
  <c r="O34" i="1"/>
  <c r="N34" i="1"/>
  <c r="M34" i="1"/>
  <c r="L34" i="1"/>
  <c r="K34" i="1"/>
  <c r="J34" i="1"/>
  <c r="I34" i="1"/>
  <c r="G34" i="1" s="1"/>
  <c r="H34" i="1"/>
  <c r="AI33" i="1"/>
  <c r="AH33" i="1"/>
  <c r="AG33" i="1"/>
  <c r="AF33" i="1"/>
  <c r="AE33" i="1"/>
  <c r="AD33" i="1"/>
  <c r="AC33" i="1"/>
  <c r="AB33" i="1"/>
  <c r="K27" i="16" s="1"/>
  <c r="L27" i="16" s="1"/>
  <c r="AA33" i="1"/>
  <c r="Z33" i="1"/>
  <c r="G27" i="16" s="1"/>
  <c r="Y33" i="1"/>
  <c r="X33" i="1"/>
  <c r="C27" i="16" s="1"/>
  <c r="W33" i="1"/>
  <c r="V33" i="1"/>
  <c r="U33" i="1"/>
  <c r="T33" i="1"/>
  <c r="S33" i="1"/>
  <c r="R33" i="1"/>
  <c r="Q33" i="1"/>
  <c r="P33" i="1"/>
  <c r="O33" i="1"/>
  <c r="N33" i="1"/>
  <c r="M33" i="1"/>
  <c r="L33" i="1"/>
  <c r="AK33" i="1" s="1"/>
  <c r="K33" i="1"/>
  <c r="J33" i="1"/>
  <c r="I33" i="1"/>
  <c r="G33" i="1" s="1"/>
  <c r="H33" i="1"/>
  <c r="AI32" i="1"/>
  <c r="AH32" i="1"/>
  <c r="AG32" i="1"/>
  <c r="AF32" i="1"/>
  <c r="AE32" i="1"/>
  <c r="AD32" i="1"/>
  <c r="AC32" i="1"/>
  <c r="AB32" i="1"/>
  <c r="K26" i="16" s="1"/>
  <c r="AA32" i="1"/>
  <c r="Z32" i="1"/>
  <c r="G26" i="16" s="1"/>
  <c r="Y32" i="1"/>
  <c r="X32" i="1"/>
  <c r="C26" i="16" s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AI31" i="1"/>
  <c r="AH31" i="1"/>
  <c r="AG31" i="1"/>
  <c r="AF31" i="1"/>
  <c r="AE31" i="1"/>
  <c r="AD31" i="1"/>
  <c r="AC31" i="1"/>
  <c r="AB31" i="1"/>
  <c r="K25" i="16" s="1"/>
  <c r="AA31" i="1"/>
  <c r="Z31" i="1"/>
  <c r="G25" i="16" s="1"/>
  <c r="Y31" i="1"/>
  <c r="X31" i="1"/>
  <c r="C25" i="16" s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AI30" i="1"/>
  <c r="AH30" i="1"/>
  <c r="AG30" i="1"/>
  <c r="AF30" i="1"/>
  <c r="AE30" i="1"/>
  <c r="AD30" i="1"/>
  <c r="AC30" i="1"/>
  <c r="AB30" i="1"/>
  <c r="K24" i="16" s="1"/>
  <c r="AA30" i="1"/>
  <c r="Z30" i="1"/>
  <c r="G24" i="16" s="1"/>
  <c r="Y30" i="1"/>
  <c r="X30" i="1"/>
  <c r="C24" i="16" s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G30" i="1" s="1"/>
  <c r="H30" i="1"/>
  <c r="AK30" i="1" s="1"/>
  <c r="AI29" i="1"/>
  <c r="AH29" i="1"/>
  <c r="AG29" i="1"/>
  <c r="AF29" i="1"/>
  <c r="AE29" i="1"/>
  <c r="AD29" i="1"/>
  <c r="AC29" i="1"/>
  <c r="AB29" i="1"/>
  <c r="K23" i="16" s="1"/>
  <c r="AA29" i="1"/>
  <c r="Z29" i="1"/>
  <c r="G23" i="16" s="1"/>
  <c r="Y29" i="1"/>
  <c r="X29" i="1"/>
  <c r="C23" i="16" s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AK29" i="1" s="1"/>
  <c r="AI28" i="1"/>
  <c r="AH28" i="1"/>
  <c r="AG28" i="1"/>
  <c r="AF28" i="1"/>
  <c r="AE28" i="1"/>
  <c r="AD28" i="1"/>
  <c r="AC28" i="1"/>
  <c r="AB28" i="1"/>
  <c r="K22" i="16" s="1"/>
  <c r="L22" i="16" s="1"/>
  <c r="AA28" i="1"/>
  <c r="Z28" i="1"/>
  <c r="G22" i="16" s="1"/>
  <c r="Y28" i="1"/>
  <c r="X28" i="1"/>
  <c r="C22" i="16" s="1"/>
  <c r="W28" i="1"/>
  <c r="V28" i="1"/>
  <c r="U28" i="1"/>
  <c r="T28" i="1"/>
  <c r="S28" i="1"/>
  <c r="R28" i="1"/>
  <c r="Q28" i="1"/>
  <c r="G28" i="1" s="1"/>
  <c r="P28" i="1"/>
  <c r="O28" i="1"/>
  <c r="N28" i="1"/>
  <c r="M28" i="1"/>
  <c r="L28" i="1"/>
  <c r="AK28" i="1" s="1"/>
  <c r="K28" i="1"/>
  <c r="J28" i="1"/>
  <c r="I28" i="1"/>
  <c r="H28" i="1"/>
  <c r="AK27" i="1"/>
  <c r="AI26" i="1"/>
  <c r="AH26" i="1"/>
  <c r="AG26" i="1"/>
  <c r="AF26" i="1"/>
  <c r="AE26" i="1"/>
  <c r="AD26" i="1"/>
  <c r="AC26" i="1"/>
  <c r="AB26" i="1"/>
  <c r="K20" i="16" s="1"/>
  <c r="L20" i="16" s="1"/>
  <c r="AA26" i="1"/>
  <c r="Z26" i="1"/>
  <c r="G20" i="16" s="1"/>
  <c r="Y26" i="1"/>
  <c r="X26" i="1"/>
  <c r="C20" i="16" s="1"/>
  <c r="W26" i="1"/>
  <c r="V26" i="1"/>
  <c r="U26" i="1"/>
  <c r="T26" i="1"/>
  <c r="S26" i="1"/>
  <c r="R26" i="1"/>
  <c r="Q26" i="1"/>
  <c r="G26" i="1" s="1"/>
  <c r="P26" i="1"/>
  <c r="O26" i="1"/>
  <c r="N26" i="1"/>
  <c r="M26" i="1"/>
  <c r="L26" i="1"/>
  <c r="AK26" i="1" s="1"/>
  <c r="K26" i="1"/>
  <c r="J26" i="1"/>
  <c r="I26" i="1"/>
  <c r="H26" i="1"/>
  <c r="AI25" i="1"/>
  <c r="AH25" i="1"/>
  <c r="AG25" i="1"/>
  <c r="AF25" i="1"/>
  <c r="AE25" i="1"/>
  <c r="AD25" i="1"/>
  <c r="AC25" i="1"/>
  <c r="AB25" i="1"/>
  <c r="K19" i="16" s="1"/>
  <c r="AA25" i="1"/>
  <c r="Z25" i="1"/>
  <c r="G19" i="16" s="1"/>
  <c r="Y25" i="1"/>
  <c r="X25" i="1"/>
  <c r="C19" i="16" s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G25" i="1" s="1"/>
  <c r="H25" i="1"/>
  <c r="AI24" i="1"/>
  <c r="AH24" i="1"/>
  <c r="AG24" i="1"/>
  <c r="AF24" i="1"/>
  <c r="AF8" i="1" s="1"/>
  <c r="AE24" i="1"/>
  <c r="AD24" i="1"/>
  <c r="AC24" i="1"/>
  <c r="AB24" i="1"/>
  <c r="K18" i="16" s="1"/>
  <c r="AA24" i="1"/>
  <c r="Z24" i="1"/>
  <c r="G18" i="16" s="1"/>
  <c r="Y24" i="1"/>
  <c r="X24" i="1"/>
  <c r="C18" i="16" s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AK24" i="1" s="1"/>
  <c r="AI23" i="1"/>
  <c r="AH23" i="1"/>
  <c r="AG23" i="1"/>
  <c r="AF23" i="1"/>
  <c r="AE23" i="1"/>
  <c r="AD23" i="1"/>
  <c r="AC23" i="1"/>
  <c r="AB23" i="1"/>
  <c r="K17" i="16" s="1"/>
  <c r="L17" i="16" s="1"/>
  <c r="AA23" i="1"/>
  <c r="Z23" i="1"/>
  <c r="G17" i="16" s="1"/>
  <c r="Y23" i="1"/>
  <c r="X23" i="1"/>
  <c r="C17" i="16" s="1"/>
  <c r="W23" i="1"/>
  <c r="V23" i="1"/>
  <c r="U23" i="1"/>
  <c r="T23" i="1"/>
  <c r="S23" i="1"/>
  <c r="R23" i="1"/>
  <c r="Q23" i="1"/>
  <c r="P23" i="1"/>
  <c r="O23" i="1"/>
  <c r="N23" i="1"/>
  <c r="M23" i="1"/>
  <c r="L23" i="1"/>
  <c r="AK23" i="1" s="1"/>
  <c r="K23" i="1"/>
  <c r="J23" i="1"/>
  <c r="I23" i="1"/>
  <c r="G23" i="1" s="1"/>
  <c r="H23" i="1"/>
  <c r="AI22" i="1"/>
  <c r="AH22" i="1"/>
  <c r="AG22" i="1"/>
  <c r="AF22" i="1"/>
  <c r="AE22" i="1"/>
  <c r="AD22" i="1"/>
  <c r="AC22" i="1"/>
  <c r="AB22" i="1"/>
  <c r="K16" i="16" s="1"/>
  <c r="AA22" i="1"/>
  <c r="Z22" i="1"/>
  <c r="G16" i="16" s="1"/>
  <c r="Y22" i="1"/>
  <c r="X22" i="1"/>
  <c r="C16" i="16" s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AI21" i="1"/>
  <c r="AH21" i="1"/>
  <c r="AG21" i="1"/>
  <c r="AF21" i="1"/>
  <c r="AE21" i="1"/>
  <c r="AD21" i="1"/>
  <c r="AC21" i="1"/>
  <c r="AB21" i="1"/>
  <c r="K15" i="16" s="1"/>
  <c r="AA21" i="1"/>
  <c r="Z21" i="1"/>
  <c r="G15" i="16" s="1"/>
  <c r="Y21" i="1"/>
  <c r="X21" i="1"/>
  <c r="C15" i="16" s="1"/>
  <c r="W21" i="1"/>
  <c r="V21" i="1"/>
  <c r="U21" i="1"/>
  <c r="T21" i="1"/>
  <c r="S21" i="1"/>
  <c r="R21" i="1"/>
  <c r="Q21" i="1"/>
  <c r="G21" i="1" s="1"/>
  <c r="P21" i="1"/>
  <c r="O21" i="1"/>
  <c r="N21" i="1"/>
  <c r="M21" i="1"/>
  <c r="L21" i="1"/>
  <c r="K21" i="1"/>
  <c r="J21" i="1"/>
  <c r="I21" i="1"/>
  <c r="H21" i="1"/>
  <c r="AI20" i="1"/>
  <c r="AH20" i="1"/>
  <c r="AG20" i="1"/>
  <c r="AF20" i="1"/>
  <c r="AE20" i="1"/>
  <c r="AD20" i="1"/>
  <c r="AC20" i="1"/>
  <c r="AB20" i="1"/>
  <c r="K14" i="16" s="1"/>
  <c r="L14" i="16" s="1"/>
  <c r="AA20" i="1"/>
  <c r="Z20" i="1"/>
  <c r="G14" i="16" s="1"/>
  <c r="Y20" i="1"/>
  <c r="X20" i="1"/>
  <c r="C14" i="16" s="1"/>
  <c r="W20" i="1"/>
  <c r="V20" i="1"/>
  <c r="U20" i="1"/>
  <c r="T20" i="1"/>
  <c r="T8" i="1" s="1"/>
  <c r="S20" i="1"/>
  <c r="R20" i="1"/>
  <c r="Q20" i="1"/>
  <c r="P20" i="1"/>
  <c r="O20" i="1"/>
  <c r="N20" i="1"/>
  <c r="M20" i="1"/>
  <c r="L20" i="1"/>
  <c r="AK20" i="1" s="1"/>
  <c r="K20" i="1"/>
  <c r="J20" i="1"/>
  <c r="I20" i="1"/>
  <c r="G20" i="1" s="1"/>
  <c r="H20" i="1"/>
  <c r="AI19" i="1"/>
  <c r="AH19" i="1"/>
  <c r="AG19" i="1"/>
  <c r="AF19" i="1"/>
  <c r="AE19" i="1"/>
  <c r="AD19" i="1"/>
  <c r="AC19" i="1"/>
  <c r="AB19" i="1"/>
  <c r="K13" i="16" s="1"/>
  <c r="AA19" i="1"/>
  <c r="Z19" i="1"/>
  <c r="G13" i="16" s="1"/>
  <c r="Y19" i="1"/>
  <c r="X19" i="1"/>
  <c r="C13" i="16" s="1"/>
  <c r="W19" i="1"/>
  <c r="V19" i="1"/>
  <c r="U19" i="1"/>
  <c r="T19" i="1"/>
  <c r="S19" i="1"/>
  <c r="R19" i="1"/>
  <c r="Q19" i="1"/>
  <c r="G19" i="1" s="1"/>
  <c r="P19" i="1"/>
  <c r="O19" i="1"/>
  <c r="N19" i="1"/>
  <c r="M19" i="1"/>
  <c r="L19" i="1"/>
  <c r="K19" i="1"/>
  <c r="J19" i="1"/>
  <c r="I19" i="1"/>
  <c r="H19" i="1"/>
  <c r="AK19" i="1" s="1"/>
  <c r="AI18" i="1"/>
  <c r="AH18" i="1"/>
  <c r="AG18" i="1"/>
  <c r="AF18" i="1"/>
  <c r="AE18" i="1"/>
  <c r="AD18" i="1"/>
  <c r="AC18" i="1"/>
  <c r="AB18" i="1"/>
  <c r="K12" i="16" s="1"/>
  <c r="L12" i="16" s="1"/>
  <c r="AA18" i="1"/>
  <c r="Z18" i="1"/>
  <c r="G12" i="16" s="1"/>
  <c r="Y18" i="1"/>
  <c r="X18" i="1"/>
  <c r="C12" i="16" s="1"/>
  <c r="W18" i="1"/>
  <c r="V18" i="1"/>
  <c r="U18" i="1"/>
  <c r="T18" i="1"/>
  <c r="S18" i="1"/>
  <c r="R18" i="1"/>
  <c r="Q18" i="1"/>
  <c r="G18" i="1" s="1"/>
  <c r="P18" i="1"/>
  <c r="O18" i="1"/>
  <c r="N18" i="1"/>
  <c r="M18" i="1"/>
  <c r="L18" i="1"/>
  <c r="AK18" i="1" s="1"/>
  <c r="K18" i="1"/>
  <c r="J18" i="1"/>
  <c r="I18" i="1"/>
  <c r="H18" i="1"/>
  <c r="AI17" i="1"/>
  <c r="AH17" i="1"/>
  <c r="AG17" i="1"/>
  <c r="AF17" i="1"/>
  <c r="AE17" i="1"/>
  <c r="AD17" i="1"/>
  <c r="AC17" i="1"/>
  <c r="AB17" i="1"/>
  <c r="K11" i="16" s="1"/>
  <c r="AA17" i="1"/>
  <c r="Z17" i="1"/>
  <c r="G11" i="16" s="1"/>
  <c r="Y17" i="1"/>
  <c r="X17" i="1"/>
  <c r="C11" i="16" s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AI16" i="1"/>
  <c r="AH16" i="1"/>
  <c r="AG16" i="1"/>
  <c r="AF16" i="1"/>
  <c r="AE16" i="1"/>
  <c r="AD16" i="1"/>
  <c r="AC16" i="1"/>
  <c r="AB16" i="1"/>
  <c r="K10" i="16" s="1"/>
  <c r="L10" i="16" s="1"/>
  <c r="AA16" i="1"/>
  <c r="Z16" i="1"/>
  <c r="G10" i="16" s="1"/>
  <c r="Y16" i="1"/>
  <c r="X16" i="1"/>
  <c r="C10" i="16" s="1"/>
  <c r="W16" i="1"/>
  <c r="V16" i="1"/>
  <c r="U16" i="1"/>
  <c r="T16" i="1"/>
  <c r="S16" i="1"/>
  <c r="R16" i="1"/>
  <c r="Q16" i="1"/>
  <c r="P16" i="1"/>
  <c r="AK16" i="1" s="1"/>
  <c r="O16" i="1"/>
  <c r="N16" i="1"/>
  <c r="M16" i="1"/>
  <c r="L16" i="1"/>
  <c r="K16" i="1"/>
  <c r="J16" i="1"/>
  <c r="I16" i="1"/>
  <c r="G16" i="1" s="1"/>
  <c r="H16" i="1"/>
  <c r="AI15" i="1"/>
  <c r="AH15" i="1"/>
  <c r="AG15" i="1"/>
  <c r="AF15" i="1"/>
  <c r="AE15" i="1"/>
  <c r="AD15" i="1"/>
  <c r="AC15" i="1"/>
  <c r="AB15" i="1"/>
  <c r="K9" i="16" s="1"/>
  <c r="L9" i="16" s="1"/>
  <c r="AA15" i="1"/>
  <c r="Z15" i="1"/>
  <c r="G9" i="16" s="1"/>
  <c r="Y15" i="1"/>
  <c r="X15" i="1"/>
  <c r="C9" i="16" s="1"/>
  <c r="W15" i="1"/>
  <c r="V15" i="1"/>
  <c r="U15" i="1"/>
  <c r="T15" i="1"/>
  <c r="S15" i="1"/>
  <c r="R15" i="1"/>
  <c r="Q15" i="1"/>
  <c r="P15" i="1"/>
  <c r="O15" i="1"/>
  <c r="N15" i="1"/>
  <c r="M15" i="1"/>
  <c r="L15" i="1"/>
  <c r="AK15" i="1" s="1"/>
  <c r="K15" i="1"/>
  <c r="J15" i="1"/>
  <c r="I15" i="1"/>
  <c r="G15" i="1" s="1"/>
  <c r="H15" i="1"/>
  <c r="AI14" i="1"/>
  <c r="AH14" i="1"/>
  <c r="AG14" i="1"/>
  <c r="AF14" i="1"/>
  <c r="AE14" i="1"/>
  <c r="AD14" i="1"/>
  <c r="AD9" i="1" s="1"/>
  <c r="AC14" i="1"/>
  <c r="AB14" i="1"/>
  <c r="K8" i="16" s="1"/>
  <c r="AA14" i="1"/>
  <c r="Z14" i="1"/>
  <c r="G8" i="16" s="1"/>
  <c r="Y14" i="1"/>
  <c r="X14" i="1"/>
  <c r="C8" i="16" s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8" i="1" s="1"/>
  <c r="B29" i="1" s="1"/>
  <c r="B30" i="1" s="1"/>
  <c r="B31" i="1" s="1"/>
  <c r="B32" i="1" s="1"/>
  <c r="B33" i="1" s="1"/>
  <c r="B34" i="1" s="1"/>
  <c r="B35" i="1" s="1"/>
  <c r="B36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19" i="1" s="1"/>
  <c r="B120" i="1" s="1"/>
  <c r="B121" i="1" s="1"/>
  <c r="B122" i="1" s="1"/>
  <c r="B123" i="1" s="1"/>
  <c r="B124" i="1" s="1"/>
  <c r="B125" i="1" s="1"/>
  <c r="B126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4" i="1" s="1"/>
  <c r="B145" i="1" s="1"/>
  <c r="B146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AI13" i="1"/>
  <c r="AH13" i="1"/>
  <c r="AG13" i="1"/>
  <c r="AF13" i="1"/>
  <c r="AE13" i="1"/>
  <c r="AD13" i="1"/>
  <c r="AC13" i="1"/>
  <c r="AB13" i="1"/>
  <c r="K7" i="16" s="1"/>
  <c r="AA13" i="1"/>
  <c r="Z13" i="1"/>
  <c r="Y13" i="1"/>
  <c r="X13" i="1"/>
  <c r="C7" i="16" s="1"/>
  <c r="W13" i="1"/>
  <c r="V13" i="1"/>
  <c r="U13" i="1"/>
  <c r="T13" i="1"/>
  <c r="S13" i="1"/>
  <c r="R13" i="1"/>
  <c r="R8" i="1" s="1"/>
  <c r="Q13" i="1"/>
  <c r="P13" i="1"/>
  <c r="O13" i="1"/>
  <c r="N13" i="1"/>
  <c r="M13" i="1"/>
  <c r="L13" i="1"/>
  <c r="K13" i="1"/>
  <c r="J13" i="1"/>
  <c r="I13" i="1"/>
  <c r="H13" i="1"/>
  <c r="B13" i="1"/>
  <c r="AI12" i="1"/>
  <c r="AH12" i="1"/>
  <c r="AG12" i="1"/>
  <c r="AF12" i="1"/>
  <c r="AE12" i="1"/>
  <c r="AD12" i="1"/>
  <c r="AD8" i="1" s="1"/>
  <c r="AC12" i="1"/>
  <c r="AB12" i="1"/>
  <c r="AA12" i="1"/>
  <c r="Z12" i="1"/>
  <c r="G6" i="16" s="1"/>
  <c r="Y12" i="1"/>
  <c r="X12" i="1"/>
  <c r="C6" i="16" s="1"/>
  <c r="W12" i="1"/>
  <c r="V12" i="1"/>
  <c r="V9" i="1" s="1"/>
  <c r="U12" i="1"/>
  <c r="T12" i="1"/>
  <c r="S12" i="1"/>
  <c r="R12" i="1"/>
  <c r="Q12" i="1"/>
  <c r="P12" i="1"/>
  <c r="O12" i="1"/>
  <c r="N12" i="1"/>
  <c r="N8" i="1" s="1"/>
  <c r="M12" i="1"/>
  <c r="L12" i="1"/>
  <c r="K12" i="1"/>
  <c r="J12" i="1"/>
  <c r="I12" i="1"/>
  <c r="G12" i="1" s="1"/>
  <c r="H12" i="1"/>
  <c r="AK12" i="1" s="1"/>
  <c r="N9" i="1"/>
  <c r="X8" i="1"/>
  <c r="H8" i="1"/>
  <c r="G31" i="1" l="1"/>
  <c r="G188" i="1"/>
  <c r="G189" i="1"/>
  <c r="G208" i="1"/>
  <c r="G209" i="1"/>
  <c r="H41" i="5"/>
  <c r="H49" i="5"/>
  <c r="H52" i="5"/>
  <c r="H61" i="5"/>
  <c r="H96" i="5"/>
  <c r="H143" i="5"/>
  <c r="H178" i="5"/>
  <c r="H180" i="5"/>
  <c r="H186" i="5"/>
  <c r="H188" i="5"/>
  <c r="H190" i="5"/>
  <c r="H197" i="5"/>
  <c r="H199" i="5"/>
  <c r="G48" i="1"/>
  <c r="AK65" i="1"/>
  <c r="G105" i="1"/>
  <c r="G106" i="1"/>
  <c r="H26" i="5"/>
  <c r="H58" i="5"/>
  <c r="H98" i="5"/>
  <c r="H132" i="5"/>
  <c r="H207" i="5"/>
  <c r="H209" i="5"/>
  <c r="H212" i="5"/>
  <c r="G13" i="1"/>
  <c r="G154" i="1"/>
  <c r="G155" i="1"/>
  <c r="H12" i="5"/>
  <c r="H30" i="5"/>
  <c r="H34" i="5"/>
  <c r="H36" i="5"/>
  <c r="H44" i="5"/>
  <c r="H53" i="5"/>
  <c r="H55" i="5"/>
  <c r="H57" i="5"/>
  <c r="H60" i="5"/>
  <c r="H62" i="5"/>
  <c r="H66" i="5"/>
  <c r="H72" i="5"/>
  <c r="H140" i="5"/>
  <c r="H146" i="5"/>
  <c r="H148" i="5"/>
  <c r="H154" i="5"/>
  <c r="H156" i="5"/>
  <c r="H168" i="5"/>
  <c r="H191" i="5"/>
  <c r="H193" i="5"/>
  <c r="H196" i="5"/>
  <c r="H202" i="5"/>
  <c r="H68" i="5"/>
  <c r="H104" i="5"/>
  <c r="H108" i="5"/>
  <c r="AK38" i="1"/>
  <c r="F7" i="5"/>
  <c r="H15" i="5"/>
  <c r="H32" i="5"/>
  <c r="H63" i="5"/>
  <c r="H65" i="5"/>
  <c r="H69" i="5"/>
  <c r="H71" i="5"/>
  <c r="H79" i="5"/>
  <c r="H81" i="5"/>
  <c r="H85" i="5"/>
  <c r="H87" i="5"/>
  <c r="H89" i="5"/>
  <c r="H93" i="5"/>
  <c r="H137" i="5"/>
  <c r="H145" i="5"/>
  <c r="H149" i="5"/>
  <c r="H151" i="5"/>
  <c r="H153" i="5"/>
  <c r="H157" i="5"/>
  <c r="H201" i="5"/>
  <c r="AK93" i="1"/>
  <c r="G137" i="1"/>
  <c r="AK141" i="1"/>
  <c r="G144" i="1"/>
  <c r="G219" i="1"/>
  <c r="H9" i="5"/>
  <c r="H17" i="5"/>
  <c r="H21" i="5"/>
  <c r="H23" i="5"/>
  <c r="H25" i="5"/>
  <c r="H29" i="5"/>
  <c r="H40" i="5"/>
  <c r="H73" i="5"/>
  <c r="H95" i="5"/>
  <c r="H97" i="5"/>
  <c r="H101" i="5"/>
  <c r="H103" i="5"/>
  <c r="H106" i="5"/>
  <c r="H111" i="5"/>
  <c r="H128" i="5"/>
  <c r="H159" i="5"/>
  <c r="H161" i="5"/>
  <c r="H165" i="5"/>
  <c r="H167" i="5"/>
  <c r="H170" i="5"/>
  <c r="H175" i="5"/>
  <c r="AK47" i="1"/>
  <c r="AK176" i="1"/>
  <c r="H31" i="5"/>
  <c r="H33" i="5"/>
  <c r="H37" i="5"/>
  <c r="H39" i="5"/>
  <c r="H42" i="5"/>
  <c r="H47" i="5"/>
  <c r="H105" i="5"/>
  <c r="H113" i="5"/>
  <c r="H117" i="5"/>
  <c r="H119" i="5"/>
  <c r="H121" i="5"/>
  <c r="H125" i="5"/>
  <c r="H136" i="5"/>
  <c r="H169" i="5"/>
  <c r="H177" i="5"/>
  <c r="H181" i="5"/>
  <c r="H183" i="5"/>
  <c r="H185" i="5"/>
  <c r="H189" i="5"/>
  <c r="H200" i="5"/>
  <c r="G81" i="1"/>
  <c r="AK25" i="1"/>
  <c r="G29" i="1"/>
  <c r="G32" i="1"/>
  <c r="AK39" i="1"/>
  <c r="G58" i="1"/>
  <c r="G61" i="1"/>
  <c r="G62" i="1"/>
  <c r="G66" i="1"/>
  <c r="G69" i="1"/>
  <c r="G70" i="1"/>
  <c r="G75" i="1"/>
  <c r="G76" i="1"/>
  <c r="AK79" i="1"/>
  <c r="G119" i="1"/>
  <c r="G129" i="1"/>
  <c r="G130" i="1"/>
  <c r="G162" i="1"/>
  <c r="G163" i="1"/>
  <c r="G176" i="1"/>
  <c r="G180" i="1"/>
  <c r="G181" i="1"/>
  <c r="G193" i="1"/>
  <c r="AK196" i="1"/>
  <c r="G14" i="1"/>
  <c r="P9" i="1"/>
  <c r="G40" i="1"/>
  <c r="G43" i="1"/>
  <c r="G80" i="1"/>
  <c r="G83" i="1"/>
  <c r="G98" i="1"/>
  <c r="AK101" i="1"/>
  <c r="AK166" i="1"/>
  <c r="G197" i="1"/>
  <c r="G200" i="1"/>
  <c r="G201" i="1"/>
  <c r="P8" i="1"/>
  <c r="B211" i="1"/>
  <c r="B212" i="1"/>
  <c r="B213" i="1" s="1"/>
  <c r="B214" i="1" s="1"/>
  <c r="B215" i="1" s="1"/>
  <c r="B216" i="1" s="1"/>
  <c r="B218" i="1" s="1"/>
  <c r="B219" i="1" s="1"/>
  <c r="B220" i="1" s="1"/>
  <c r="H10" i="1" s="1"/>
  <c r="G7" i="16"/>
  <c r="Z9" i="1"/>
  <c r="J9" i="1"/>
  <c r="AK13" i="1"/>
  <c r="AK31" i="1"/>
  <c r="G46" i="1"/>
  <c r="AK218" i="1"/>
  <c r="K118" i="2"/>
  <c r="I118" i="2"/>
  <c r="I212" i="2"/>
  <c r="K212" i="2"/>
  <c r="K40" i="3"/>
  <c r="I40" i="3"/>
  <c r="I165" i="7"/>
  <c r="K165" i="7"/>
  <c r="I38" i="9"/>
  <c r="K38" i="9"/>
  <c r="V8" i="1"/>
  <c r="L9" i="1"/>
  <c r="AF9" i="1"/>
  <c r="AK22" i="1"/>
  <c r="AK46" i="1"/>
  <c r="L41" i="16"/>
  <c r="L65" i="16"/>
  <c r="L71" i="16"/>
  <c r="AK97" i="1"/>
  <c r="G100" i="1"/>
  <c r="AK128" i="1"/>
  <c r="G148" i="1"/>
  <c r="AK153" i="1"/>
  <c r="AK172" i="1"/>
  <c r="G174" i="1"/>
  <c r="G175" i="1"/>
  <c r="G182" i="1"/>
  <c r="AK187" i="1"/>
  <c r="G195" i="1"/>
  <c r="G202" i="1"/>
  <c r="AK207" i="1"/>
  <c r="K72" i="2"/>
  <c r="I104" i="2"/>
  <c r="K164" i="2"/>
  <c r="I85" i="3"/>
  <c r="K85" i="3"/>
  <c r="I88" i="3"/>
  <c r="I145" i="3"/>
  <c r="I186" i="3"/>
  <c r="K186" i="3"/>
  <c r="K36" i="4"/>
  <c r="I138" i="4"/>
  <c r="K138" i="4"/>
  <c r="I81" i="7"/>
  <c r="K101" i="7"/>
  <c r="J8" i="1"/>
  <c r="K195" i="2"/>
  <c r="L8" i="1"/>
  <c r="AB8" i="1"/>
  <c r="R9" i="1"/>
  <c r="AK21" i="1"/>
  <c r="G22" i="1"/>
  <c r="G24" i="1"/>
  <c r="G38" i="1"/>
  <c r="L43" i="16"/>
  <c r="L53" i="16"/>
  <c r="AK64" i="1"/>
  <c r="G78" i="1"/>
  <c r="AK83" i="1"/>
  <c r="AK86" i="1"/>
  <c r="G97" i="1"/>
  <c r="AK121" i="1"/>
  <c r="AK122" i="1"/>
  <c r="AK132" i="1"/>
  <c r="AK133" i="1"/>
  <c r="AK140" i="1"/>
  <c r="AK157" i="1"/>
  <c r="AK158" i="1"/>
  <c r="AK211" i="1"/>
  <c r="AK212" i="1"/>
  <c r="I88" i="2"/>
  <c r="I214" i="2"/>
  <c r="K214" i="2"/>
  <c r="I17" i="3"/>
  <c r="K17" i="3"/>
  <c r="I67" i="3"/>
  <c r="I93" i="3"/>
  <c r="K93" i="3"/>
  <c r="I108" i="3"/>
  <c r="K108" i="3"/>
  <c r="I181" i="3"/>
  <c r="K10" i="4"/>
  <c r="K54" i="4"/>
  <c r="I54" i="4"/>
  <c r="H3" i="4" s="1"/>
  <c r="N2" i="1" s="1"/>
  <c r="K102" i="4"/>
  <c r="I102" i="4"/>
  <c r="K71" i="6"/>
  <c r="I71" i="6"/>
  <c r="K103" i="6"/>
  <c r="I103" i="6"/>
  <c r="K70" i="2"/>
  <c r="I70" i="2"/>
  <c r="K150" i="2"/>
  <c r="I150" i="2"/>
  <c r="K10" i="3"/>
  <c r="K1" i="3" s="1"/>
  <c r="I10" i="3"/>
  <c r="G218" i="1"/>
  <c r="I136" i="2"/>
  <c r="I205" i="2"/>
  <c r="I58" i="3"/>
  <c r="K164" i="6"/>
  <c r="I164" i="6"/>
  <c r="T9" i="1"/>
  <c r="K6" i="16"/>
  <c r="L6" i="16" s="1"/>
  <c r="AB9" i="1"/>
  <c r="AK14" i="1"/>
  <c r="AK17" i="1"/>
  <c r="AK32" i="1"/>
  <c r="L33" i="16"/>
  <c r="L39" i="16"/>
  <c r="AK60" i="1"/>
  <c r="AK78" i="1"/>
  <c r="G86" i="1"/>
  <c r="AK96" i="1"/>
  <c r="G121" i="1"/>
  <c r="AK129" i="1"/>
  <c r="G132" i="1"/>
  <c r="G139" i="1"/>
  <c r="G145" i="1"/>
  <c r="AK154" i="1"/>
  <c r="G157" i="1"/>
  <c r="G164" i="1"/>
  <c r="AK188" i="1"/>
  <c r="AK208" i="1"/>
  <c r="K134" i="2"/>
  <c r="I134" i="2"/>
  <c r="K175" i="2"/>
  <c r="I175" i="2"/>
  <c r="K56" i="3"/>
  <c r="I56" i="3"/>
  <c r="K175" i="3"/>
  <c r="I208" i="3"/>
  <c r="K208" i="3"/>
  <c r="I84" i="4"/>
  <c r="K84" i="4"/>
  <c r="K55" i="6"/>
  <c r="I55" i="6"/>
  <c r="G138" i="1"/>
  <c r="K165" i="3"/>
  <c r="I165" i="3"/>
  <c r="I20" i="3"/>
  <c r="H3" i="3" s="1"/>
  <c r="T2" i="1" s="1"/>
  <c r="I94" i="4"/>
  <c r="K94" i="4"/>
  <c r="X9" i="1"/>
  <c r="G17" i="1"/>
  <c r="L24" i="16"/>
  <c r="G35" i="1"/>
  <c r="AK50" i="1"/>
  <c r="G51" i="1"/>
  <c r="G60" i="1"/>
  <c r="AK68" i="1"/>
  <c r="G71" i="1"/>
  <c r="AK74" i="1"/>
  <c r="G77" i="1"/>
  <c r="L75" i="16"/>
  <c r="G96" i="1"/>
  <c r="G126" i="1"/>
  <c r="K137" i="16"/>
  <c r="L137" i="16" s="1"/>
  <c r="AK143" i="1"/>
  <c r="AK150" i="1"/>
  <c r="G172" i="1"/>
  <c r="AK184" i="1"/>
  <c r="AK204" i="1"/>
  <c r="G216" i="1"/>
  <c r="K56" i="2"/>
  <c r="K86" i="2"/>
  <c r="I86" i="2"/>
  <c r="K203" i="2"/>
  <c r="I203" i="2"/>
  <c r="I77" i="3"/>
  <c r="K77" i="3"/>
  <c r="K157" i="3"/>
  <c r="I157" i="3"/>
  <c r="I202" i="3"/>
  <c r="K202" i="3"/>
  <c r="F182" i="5"/>
  <c r="H182" i="5"/>
  <c r="K114" i="9"/>
  <c r="I114" i="9"/>
  <c r="G128" i="1"/>
  <c r="K49" i="3"/>
  <c r="I49" i="3"/>
  <c r="Z8" i="1"/>
  <c r="K102" i="2"/>
  <c r="I102" i="2"/>
  <c r="I72" i="3"/>
  <c r="H9" i="1"/>
  <c r="L18" i="16"/>
  <c r="AK35" i="1"/>
  <c r="G68" i="1"/>
  <c r="G74" i="1"/>
  <c r="G85" i="1"/>
  <c r="G120" i="1"/>
  <c r="G131" i="1"/>
  <c r="G149" i="1"/>
  <c r="G156" i="1"/>
  <c r="G183" i="1"/>
  <c r="G190" i="1"/>
  <c r="G203" i="1"/>
  <c r="G210" i="1"/>
  <c r="K54" i="2"/>
  <c r="I54" i="2"/>
  <c r="H3" i="2" s="1"/>
  <c r="V2" i="1" s="1"/>
  <c r="I172" i="2"/>
  <c r="K172" i="2"/>
  <c r="K65" i="3"/>
  <c r="I65" i="3"/>
  <c r="I116" i="3"/>
  <c r="K116" i="3"/>
  <c r="I170" i="3"/>
  <c r="K170" i="3"/>
  <c r="K1" i="4"/>
  <c r="I74" i="4"/>
  <c r="K74" i="4"/>
  <c r="F54" i="5"/>
  <c r="H54" i="5"/>
  <c r="H120" i="5"/>
  <c r="I143" i="7"/>
  <c r="K143" i="7"/>
  <c r="I46" i="8"/>
  <c r="K46" i="8"/>
  <c r="I92" i="9"/>
  <c r="K92" i="9"/>
  <c r="L59" i="16"/>
  <c r="L73" i="16"/>
  <c r="L87" i="16"/>
  <c r="L95" i="16"/>
  <c r="L116" i="16"/>
  <c r="L127" i="16"/>
  <c r="L135" i="16"/>
  <c r="L144" i="16"/>
  <c r="L152" i="16"/>
  <c r="L160" i="16"/>
  <c r="L170" i="16"/>
  <c r="L178" i="16"/>
  <c r="L190" i="16"/>
  <c r="L198" i="16"/>
  <c r="L206" i="16"/>
  <c r="K57" i="2"/>
  <c r="K73" i="2"/>
  <c r="K89" i="2"/>
  <c r="K105" i="2"/>
  <c r="K121" i="2"/>
  <c r="K137" i="2"/>
  <c r="K153" i="2"/>
  <c r="K168" i="2"/>
  <c r="K173" i="2"/>
  <c r="K178" i="2"/>
  <c r="K206" i="2"/>
  <c r="K21" i="3"/>
  <c r="I71" i="3"/>
  <c r="K71" i="3"/>
  <c r="I79" i="3"/>
  <c r="K79" i="3"/>
  <c r="I87" i="3"/>
  <c r="K87" i="3"/>
  <c r="K109" i="3"/>
  <c r="K132" i="3"/>
  <c r="K149" i="3"/>
  <c r="K42" i="4"/>
  <c r="I142" i="4"/>
  <c r="K142" i="4"/>
  <c r="F22" i="5"/>
  <c r="H22" i="5"/>
  <c r="F150" i="5"/>
  <c r="H150" i="5"/>
  <c r="K122" i="6"/>
  <c r="I122" i="6"/>
  <c r="K148" i="6"/>
  <c r="I148" i="6"/>
  <c r="K27" i="7"/>
  <c r="I52" i="7"/>
  <c r="K52" i="7"/>
  <c r="K127" i="7"/>
  <c r="K213" i="7"/>
  <c r="I213" i="7"/>
  <c r="I114" i="8"/>
  <c r="K114" i="8"/>
  <c r="I162" i="8"/>
  <c r="K162" i="8"/>
  <c r="I202" i="8"/>
  <c r="K202" i="8"/>
  <c r="K172" i="9"/>
  <c r="I210" i="9"/>
  <c r="K210" i="9"/>
  <c r="K23" i="12"/>
  <c r="I23" i="12"/>
  <c r="L11" i="16"/>
  <c r="L19" i="16"/>
  <c r="L29" i="16"/>
  <c r="L32" i="16"/>
  <c r="L40" i="16"/>
  <c r="L58" i="16"/>
  <c r="L72" i="16"/>
  <c r="L80" i="16"/>
  <c r="L86" i="16"/>
  <c r="L94" i="16"/>
  <c r="L115" i="16"/>
  <c r="L126" i="16"/>
  <c r="L134" i="16"/>
  <c r="L140" i="16"/>
  <c r="L143" i="16"/>
  <c r="L151" i="16"/>
  <c r="L159" i="16"/>
  <c r="L169" i="16"/>
  <c r="L177" i="16"/>
  <c r="L189" i="16"/>
  <c r="L197" i="16"/>
  <c r="L205" i="16"/>
  <c r="K55" i="2"/>
  <c r="K71" i="2"/>
  <c r="K80" i="2"/>
  <c r="K87" i="2"/>
  <c r="K96" i="2"/>
  <c r="K103" i="2"/>
  <c r="K112" i="2"/>
  <c r="K119" i="2"/>
  <c r="K128" i="2"/>
  <c r="K135" i="2"/>
  <c r="K144" i="2"/>
  <c r="K151" i="2"/>
  <c r="K181" i="2"/>
  <c r="K204" i="2"/>
  <c r="K213" i="2"/>
  <c r="K11" i="3"/>
  <c r="K19" i="3"/>
  <c r="K34" i="3"/>
  <c r="I39" i="3"/>
  <c r="K50" i="3"/>
  <c r="I55" i="3"/>
  <c r="K66" i="3"/>
  <c r="K76" i="3"/>
  <c r="K84" i="3"/>
  <c r="K92" i="3"/>
  <c r="K141" i="3"/>
  <c r="K158" i="3"/>
  <c r="I164" i="3"/>
  <c r="K164" i="3"/>
  <c r="K174" i="3"/>
  <c r="K190" i="3"/>
  <c r="K207" i="3"/>
  <c r="K32" i="4"/>
  <c r="K106" i="4"/>
  <c r="K116" i="4"/>
  <c r="H88" i="5"/>
  <c r="K7" i="6"/>
  <c r="I7" i="6"/>
  <c r="K39" i="6"/>
  <c r="I39" i="6"/>
  <c r="I19" i="7"/>
  <c r="H3" i="7" s="1"/>
  <c r="J2" i="1" s="1"/>
  <c r="K19" i="7"/>
  <c r="I49" i="7"/>
  <c r="K49" i="7"/>
  <c r="K157" i="7"/>
  <c r="I157" i="7"/>
  <c r="I186" i="7"/>
  <c r="K186" i="7"/>
  <c r="I96" i="8"/>
  <c r="K96" i="8"/>
  <c r="I138" i="8"/>
  <c r="K138" i="8"/>
  <c r="K40" i="9"/>
  <c r="I40" i="9"/>
  <c r="K124" i="9"/>
  <c r="I146" i="9"/>
  <c r="K146" i="9"/>
  <c r="K162" i="9"/>
  <c r="I162" i="9"/>
  <c r="I178" i="9"/>
  <c r="L8" i="16"/>
  <c r="L16" i="16"/>
  <c r="L26" i="16"/>
  <c r="L37" i="16"/>
  <c r="L45" i="16"/>
  <c r="L55" i="16"/>
  <c r="L63" i="16"/>
  <c r="L69" i="16"/>
  <c r="L77" i="16"/>
  <c r="L91" i="16"/>
  <c r="L99" i="16"/>
  <c r="L120" i="16"/>
  <c r="L123" i="16"/>
  <c r="L131" i="16"/>
  <c r="L148" i="16"/>
  <c r="L156" i="16"/>
  <c r="L166" i="16"/>
  <c r="L174" i="16"/>
  <c r="L182" i="16"/>
  <c r="L194" i="16"/>
  <c r="L202" i="16"/>
  <c r="L212" i="16"/>
  <c r="K49" i="2"/>
  <c r="K65" i="2"/>
  <c r="K81" i="2"/>
  <c r="K97" i="2"/>
  <c r="K113" i="2"/>
  <c r="K129" i="2"/>
  <c r="K145" i="2"/>
  <c r="K190" i="2"/>
  <c r="K12" i="3"/>
  <c r="I75" i="3"/>
  <c r="K75" i="3"/>
  <c r="I83" i="3"/>
  <c r="K83" i="3"/>
  <c r="I91" i="3"/>
  <c r="K91" i="3"/>
  <c r="K102" i="3"/>
  <c r="I148" i="3"/>
  <c r="K148" i="3"/>
  <c r="K151" i="3"/>
  <c r="K46" i="4"/>
  <c r="I110" i="4"/>
  <c r="K110" i="4"/>
  <c r="H64" i="5"/>
  <c r="F86" i="5"/>
  <c r="H86" i="5"/>
  <c r="H192" i="5"/>
  <c r="F214" i="5"/>
  <c r="H214" i="5"/>
  <c r="I13" i="6"/>
  <c r="K13" i="6"/>
  <c r="I29" i="6"/>
  <c r="K29" i="6"/>
  <c r="I67" i="6"/>
  <c r="K67" i="6"/>
  <c r="K119" i="6"/>
  <c r="I119" i="6"/>
  <c r="I75" i="7"/>
  <c r="K75" i="7"/>
  <c r="I202" i="7"/>
  <c r="K202" i="7"/>
  <c r="I205" i="7"/>
  <c r="K205" i="7"/>
  <c r="I128" i="8"/>
  <c r="K128" i="8"/>
  <c r="I44" i="9"/>
  <c r="K44" i="9"/>
  <c r="K87" i="12"/>
  <c r="I87" i="12"/>
  <c r="I199" i="13"/>
  <c r="K199" i="13"/>
  <c r="L7" i="16"/>
  <c r="L15" i="16"/>
  <c r="L25" i="16"/>
  <c r="L36" i="16"/>
  <c r="L44" i="16"/>
  <c r="L54" i="16"/>
  <c r="L62" i="16"/>
  <c r="L68" i="16"/>
  <c r="L76" i="16"/>
  <c r="L90" i="16"/>
  <c r="L98" i="16"/>
  <c r="L119" i="16"/>
  <c r="L122" i="16"/>
  <c r="L130" i="16"/>
  <c r="L147" i="16"/>
  <c r="L155" i="16"/>
  <c r="L173" i="16"/>
  <c r="L181" i="16"/>
  <c r="L193" i="16"/>
  <c r="L201" i="16"/>
  <c r="L209" i="16"/>
  <c r="K47" i="2"/>
  <c r="K1" i="2" s="1"/>
  <c r="K63" i="2"/>
  <c r="K79" i="2"/>
  <c r="K95" i="2"/>
  <c r="K111" i="2"/>
  <c r="K127" i="2"/>
  <c r="K143" i="2"/>
  <c r="K180" i="2"/>
  <c r="I47" i="3"/>
  <c r="I63" i="3"/>
  <c r="K94" i="3"/>
  <c r="K140" i="3"/>
  <c r="H24" i="5"/>
  <c r="H152" i="5"/>
  <c r="I21" i="6"/>
  <c r="K21" i="6"/>
  <c r="I37" i="6"/>
  <c r="K37" i="6"/>
  <c r="I77" i="6"/>
  <c r="K77" i="6"/>
  <c r="I93" i="6"/>
  <c r="K93" i="6"/>
  <c r="I132" i="6"/>
  <c r="K173" i="7"/>
  <c r="I173" i="7"/>
  <c r="K193" i="7"/>
  <c r="I193" i="7"/>
  <c r="K55" i="11"/>
  <c r="I55" i="11"/>
  <c r="H3" i="11" s="1"/>
  <c r="L2" i="1" s="1"/>
  <c r="K69" i="12"/>
  <c r="I69" i="12"/>
  <c r="I72" i="12"/>
  <c r="K72" i="12"/>
  <c r="L89" i="16"/>
  <c r="L97" i="16"/>
  <c r="L118" i="16"/>
  <c r="L129" i="16"/>
  <c r="L146" i="16"/>
  <c r="L154" i="16"/>
  <c r="L172" i="16"/>
  <c r="L180" i="16"/>
  <c r="L192" i="16"/>
  <c r="L200" i="16"/>
  <c r="L208" i="16"/>
  <c r="I73" i="3"/>
  <c r="K73" i="3"/>
  <c r="I81" i="3"/>
  <c r="K81" i="3"/>
  <c r="I89" i="3"/>
  <c r="K89" i="3"/>
  <c r="I126" i="4"/>
  <c r="K126" i="4"/>
  <c r="F118" i="5"/>
  <c r="H118" i="5"/>
  <c r="K10" i="6"/>
  <c r="I10" i="6"/>
  <c r="K26" i="6"/>
  <c r="I26" i="6"/>
  <c r="K52" i="6"/>
  <c r="I52" i="6"/>
  <c r="K57" i="6"/>
  <c r="I57" i="6"/>
  <c r="I69" i="6"/>
  <c r="K69" i="6"/>
  <c r="I85" i="6"/>
  <c r="K85" i="6"/>
  <c r="I101" i="6"/>
  <c r="K101" i="6"/>
  <c r="K212" i="6"/>
  <c r="I212" i="6"/>
  <c r="I76" i="7"/>
  <c r="K76" i="7"/>
  <c r="K141" i="7"/>
  <c r="I141" i="7"/>
  <c r="I181" i="7"/>
  <c r="K181" i="7"/>
  <c r="I108" i="8"/>
  <c r="K108" i="8"/>
  <c r="L13" i="16"/>
  <c r="L23" i="16"/>
  <c r="L34" i="16"/>
  <c r="L42" i="16"/>
  <c r="L52" i="16"/>
  <c r="L60" i="16"/>
  <c r="L74" i="16"/>
  <c r="L88" i="16"/>
  <c r="L96" i="16"/>
  <c r="L117" i="16"/>
  <c r="L128" i="16"/>
  <c r="L145" i="16"/>
  <c r="L153" i="16"/>
  <c r="L171" i="16"/>
  <c r="L179" i="16"/>
  <c r="L191" i="16"/>
  <c r="L199" i="16"/>
  <c r="L207" i="16"/>
  <c r="K196" i="2"/>
  <c r="I43" i="3"/>
  <c r="I59" i="3"/>
  <c r="K112" i="3"/>
  <c r="K206" i="3"/>
  <c r="I78" i="4"/>
  <c r="K78" i="4"/>
  <c r="H56" i="5"/>
  <c r="H184" i="5"/>
  <c r="K58" i="6"/>
  <c r="I58" i="6"/>
  <c r="K74" i="6"/>
  <c r="I74" i="6"/>
  <c r="K90" i="6"/>
  <c r="I90" i="6"/>
  <c r="K109" i="6"/>
  <c r="K116" i="6"/>
  <c r="I116" i="6"/>
  <c r="K121" i="6"/>
  <c r="I121" i="6"/>
  <c r="K180" i="6"/>
  <c r="I180" i="6"/>
  <c r="I74" i="8"/>
  <c r="K74" i="8"/>
  <c r="I156" i="8"/>
  <c r="K156" i="8"/>
  <c r="I28" i="9"/>
  <c r="H3" i="9" s="1"/>
  <c r="AD2" i="1" s="1"/>
  <c r="K28" i="9"/>
  <c r="K65" i="10"/>
  <c r="K181" i="10"/>
  <c r="I145" i="13"/>
  <c r="K145" i="13"/>
  <c r="K127" i="3"/>
  <c r="K180" i="3"/>
  <c r="K214" i="3"/>
  <c r="H38" i="5"/>
  <c r="H70" i="5"/>
  <c r="H102" i="5"/>
  <c r="H134" i="5"/>
  <c r="H166" i="5"/>
  <c r="H198" i="5"/>
  <c r="K36" i="6"/>
  <c r="I36" i="6"/>
  <c r="K100" i="6"/>
  <c r="I100" i="6"/>
  <c r="I128" i="6"/>
  <c r="K128" i="6"/>
  <c r="I142" i="6"/>
  <c r="K142" i="6"/>
  <c r="I160" i="6"/>
  <c r="K160" i="6"/>
  <c r="I174" i="6"/>
  <c r="K174" i="6"/>
  <c r="I192" i="6"/>
  <c r="K192" i="6"/>
  <c r="I206" i="6"/>
  <c r="K206" i="6"/>
  <c r="I48" i="7"/>
  <c r="K48" i="7"/>
  <c r="K1" i="7" s="1"/>
  <c r="K62" i="7"/>
  <c r="K71" i="7"/>
  <c r="I149" i="7"/>
  <c r="K149" i="7"/>
  <c r="K16" i="8"/>
  <c r="K26" i="8"/>
  <c r="K42" i="8"/>
  <c r="I124" i="8"/>
  <c r="K124" i="8"/>
  <c r="K102" i="9"/>
  <c r="K89" i="10"/>
  <c r="K66" i="11"/>
  <c r="K210" i="11"/>
  <c r="I210" i="11"/>
  <c r="K111" i="3"/>
  <c r="K198" i="3"/>
  <c r="H13" i="5"/>
  <c r="H16" i="5"/>
  <c r="H45" i="5"/>
  <c r="H48" i="5"/>
  <c r="H77" i="5"/>
  <c r="H80" i="5"/>
  <c r="H109" i="5"/>
  <c r="H112" i="5"/>
  <c r="H141" i="5"/>
  <c r="H144" i="5"/>
  <c r="H173" i="5"/>
  <c r="H176" i="5"/>
  <c r="H205" i="5"/>
  <c r="H208" i="5"/>
  <c r="K23" i="6"/>
  <c r="I23" i="6"/>
  <c r="K42" i="6"/>
  <c r="I42" i="6"/>
  <c r="I53" i="6"/>
  <c r="K53" i="6"/>
  <c r="K87" i="6"/>
  <c r="I87" i="6"/>
  <c r="K106" i="6"/>
  <c r="I106" i="6"/>
  <c r="I117" i="6"/>
  <c r="K117" i="6"/>
  <c r="I40" i="7"/>
  <c r="K40" i="7"/>
  <c r="I133" i="7"/>
  <c r="K133" i="7"/>
  <c r="K209" i="7"/>
  <c r="I209" i="7"/>
  <c r="I10" i="8"/>
  <c r="H3" i="8" s="1"/>
  <c r="H2" i="1" s="1"/>
  <c r="K10" i="8"/>
  <c r="I146" i="8"/>
  <c r="K146" i="8"/>
  <c r="K60" i="9"/>
  <c r="I82" i="9"/>
  <c r="K82" i="9"/>
  <c r="K98" i="9"/>
  <c r="I98" i="9"/>
  <c r="K117" i="10"/>
  <c r="K169" i="10"/>
  <c r="K209" i="10"/>
  <c r="I209" i="10"/>
  <c r="K68" i="6"/>
  <c r="I68" i="6"/>
  <c r="I126" i="6"/>
  <c r="K126" i="6"/>
  <c r="I144" i="6"/>
  <c r="K144" i="6"/>
  <c r="I158" i="6"/>
  <c r="K158" i="6"/>
  <c r="I176" i="6"/>
  <c r="K176" i="6"/>
  <c r="I190" i="6"/>
  <c r="K190" i="6"/>
  <c r="I208" i="6"/>
  <c r="K208" i="6"/>
  <c r="I92" i="8"/>
  <c r="K92" i="8"/>
  <c r="I102" i="8"/>
  <c r="K102" i="8"/>
  <c r="I208" i="8"/>
  <c r="K208" i="8"/>
  <c r="I18" i="9"/>
  <c r="K18" i="9"/>
  <c r="K1" i="9" s="1"/>
  <c r="K34" i="9"/>
  <c r="I34" i="9"/>
  <c r="K7" i="10"/>
  <c r="I7" i="10"/>
  <c r="H3" i="10" s="1"/>
  <c r="AF2" i="1" s="1"/>
  <c r="K95" i="3"/>
  <c r="K182" i="3"/>
  <c r="H14" i="5"/>
  <c r="H46" i="5"/>
  <c r="H78" i="5"/>
  <c r="H110" i="5"/>
  <c r="H142" i="5"/>
  <c r="H174" i="5"/>
  <c r="H206" i="5"/>
  <c r="K20" i="6"/>
  <c r="I20" i="6"/>
  <c r="K84" i="6"/>
  <c r="I84" i="6"/>
  <c r="K53" i="7"/>
  <c r="K59" i="7"/>
  <c r="I68" i="7"/>
  <c r="K68" i="7"/>
  <c r="K175" i="7"/>
  <c r="I82" i="8"/>
  <c r="K82" i="8"/>
  <c r="I134" i="8"/>
  <c r="K134" i="8"/>
  <c r="I190" i="8"/>
  <c r="K190" i="8"/>
  <c r="I198" i="8"/>
  <c r="K198" i="8"/>
  <c r="K72" i="9"/>
  <c r="K88" i="9"/>
  <c r="I69" i="11"/>
  <c r="K69" i="11"/>
  <c r="K75" i="11"/>
  <c r="I75" i="11"/>
  <c r="I31" i="13"/>
  <c r="K31" i="13"/>
  <c r="I127" i="13"/>
  <c r="K127" i="13"/>
  <c r="K137" i="7"/>
  <c r="I137" i="7"/>
  <c r="K153" i="7"/>
  <c r="I153" i="7"/>
  <c r="K169" i="7"/>
  <c r="I169" i="7"/>
  <c r="K185" i="7"/>
  <c r="I185" i="7"/>
  <c r="I12" i="8"/>
  <c r="K12" i="8"/>
  <c r="K1" i="8" s="1"/>
  <c r="I22" i="8"/>
  <c r="K22" i="8"/>
  <c r="I58" i="8"/>
  <c r="K58" i="8"/>
  <c r="I174" i="8"/>
  <c r="K174" i="8"/>
  <c r="K9" i="10"/>
  <c r="K57" i="10"/>
  <c r="K111" i="11"/>
  <c r="I8" i="12"/>
  <c r="K8" i="12"/>
  <c r="K61" i="12"/>
  <c r="I61" i="12"/>
  <c r="I64" i="12"/>
  <c r="K64" i="12"/>
  <c r="H11" i="5"/>
  <c r="H19" i="5"/>
  <c r="H27" i="5"/>
  <c r="H35" i="5"/>
  <c r="H43" i="5"/>
  <c r="H51" i="5"/>
  <c r="H59" i="5"/>
  <c r="H67" i="5"/>
  <c r="H75" i="5"/>
  <c r="H83" i="5"/>
  <c r="H91" i="5"/>
  <c r="H99" i="5"/>
  <c r="H107" i="5"/>
  <c r="H115" i="5"/>
  <c r="H123" i="5"/>
  <c r="H131" i="5"/>
  <c r="H139" i="5"/>
  <c r="H147" i="5"/>
  <c r="H155" i="5"/>
  <c r="H163" i="5"/>
  <c r="H171" i="5"/>
  <c r="H179" i="5"/>
  <c r="H187" i="5"/>
  <c r="H195" i="5"/>
  <c r="H203" i="5"/>
  <c r="H211" i="5"/>
  <c r="K8" i="7"/>
  <c r="K16" i="7"/>
  <c r="K24" i="7"/>
  <c r="K32" i="7"/>
  <c r="K63" i="7"/>
  <c r="K90" i="7"/>
  <c r="K96" i="7"/>
  <c r="K106" i="7"/>
  <c r="K112" i="7"/>
  <c r="K122" i="7"/>
  <c r="K128" i="7"/>
  <c r="K138" i="7"/>
  <c r="K144" i="7"/>
  <c r="K154" i="7"/>
  <c r="K160" i="7"/>
  <c r="K170" i="7"/>
  <c r="K176" i="7"/>
  <c r="I28" i="8"/>
  <c r="K28" i="8"/>
  <c r="K66" i="9"/>
  <c r="I66" i="9"/>
  <c r="K130" i="9"/>
  <c r="I130" i="9"/>
  <c r="K194" i="9"/>
  <c r="I194" i="9"/>
  <c r="K41" i="10"/>
  <c r="K53" i="10"/>
  <c r="K85" i="10"/>
  <c r="K133" i="10"/>
  <c r="K135" i="11"/>
  <c r="I135" i="11"/>
  <c r="K133" i="12"/>
  <c r="I133" i="12"/>
  <c r="K159" i="12"/>
  <c r="I159" i="12"/>
  <c r="K50" i="14"/>
  <c r="K129" i="7"/>
  <c r="I129" i="7"/>
  <c r="K145" i="7"/>
  <c r="I145" i="7"/>
  <c r="K161" i="7"/>
  <c r="I161" i="7"/>
  <c r="K177" i="7"/>
  <c r="I177" i="7"/>
  <c r="I34" i="8"/>
  <c r="K34" i="8"/>
  <c r="I188" i="8"/>
  <c r="K188" i="8"/>
  <c r="K39" i="10"/>
  <c r="K51" i="7"/>
  <c r="K56" i="7"/>
  <c r="K74" i="7"/>
  <c r="K91" i="7"/>
  <c r="K107" i="7"/>
  <c r="K123" i="7"/>
  <c r="K192" i="7"/>
  <c r="K206" i="7"/>
  <c r="I60" i="8"/>
  <c r="K60" i="8"/>
  <c r="K70" i="8"/>
  <c r="K80" i="8"/>
  <c r="K112" i="8"/>
  <c r="K130" i="8"/>
  <c r="I140" i="8"/>
  <c r="K140" i="8"/>
  <c r="K142" i="8"/>
  <c r="I150" i="8"/>
  <c r="K150" i="8"/>
  <c r="K178" i="8"/>
  <c r="I186" i="8"/>
  <c r="K186" i="8"/>
  <c r="K56" i="9"/>
  <c r="K120" i="9"/>
  <c r="K184" i="9"/>
  <c r="K93" i="10"/>
  <c r="K129" i="10"/>
  <c r="K185" i="10"/>
  <c r="K213" i="10"/>
  <c r="K139" i="11"/>
  <c r="I197" i="11"/>
  <c r="K197" i="11"/>
  <c r="K63" i="12"/>
  <c r="I63" i="12"/>
  <c r="K125" i="12"/>
  <c r="I125" i="12"/>
  <c r="I128" i="12"/>
  <c r="K128" i="12"/>
  <c r="K153" i="10"/>
  <c r="K165" i="10"/>
  <c r="K14" i="11"/>
  <c r="K196" i="11"/>
  <c r="I196" i="11"/>
  <c r="I209" i="13"/>
  <c r="K209" i="13"/>
  <c r="K86" i="7"/>
  <c r="K94" i="7"/>
  <c r="K102" i="7"/>
  <c r="K110" i="7"/>
  <c r="K118" i="7"/>
  <c r="K126" i="7"/>
  <c r="K134" i="7"/>
  <c r="K142" i="7"/>
  <c r="K150" i="7"/>
  <c r="K158" i="7"/>
  <c r="K166" i="7"/>
  <c r="K174" i="7"/>
  <c r="K182" i="7"/>
  <c r="I44" i="8"/>
  <c r="K44" i="8"/>
  <c r="I172" i="8"/>
  <c r="K172" i="8"/>
  <c r="K36" i="9"/>
  <c r="K68" i="9"/>
  <c r="K100" i="9"/>
  <c r="K132" i="9"/>
  <c r="K164" i="9"/>
  <c r="K196" i="9"/>
  <c r="K23" i="10"/>
  <c r="K61" i="10"/>
  <c r="K87" i="10"/>
  <c r="K125" i="10"/>
  <c r="K151" i="10"/>
  <c r="K7" i="11"/>
  <c r="K12" i="11"/>
  <c r="I85" i="11"/>
  <c r="K85" i="11"/>
  <c r="I208" i="11"/>
  <c r="K173" i="12"/>
  <c r="I173" i="12"/>
  <c r="I55" i="13"/>
  <c r="K55" i="13"/>
  <c r="K84" i="7"/>
  <c r="K92" i="7"/>
  <c r="K100" i="7"/>
  <c r="K108" i="7"/>
  <c r="K116" i="7"/>
  <c r="K124" i="7"/>
  <c r="K132" i="7"/>
  <c r="K140" i="7"/>
  <c r="K148" i="7"/>
  <c r="K156" i="7"/>
  <c r="K164" i="7"/>
  <c r="K172" i="7"/>
  <c r="K180" i="7"/>
  <c r="K198" i="7"/>
  <c r="K215" i="7"/>
  <c r="I215" i="7"/>
  <c r="K32" i="8"/>
  <c r="K54" i="8"/>
  <c r="K66" i="8"/>
  <c r="I76" i="8"/>
  <c r="K76" i="8"/>
  <c r="K78" i="8"/>
  <c r="K90" i="8"/>
  <c r="K160" i="8"/>
  <c r="K182" i="8"/>
  <c r="K194" i="8"/>
  <c r="I204" i="8"/>
  <c r="K204" i="8"/>
  <c r="K206" i="8"/>
  <c r="K45" i="10"/>
  <c r="K71" i="10"/>
  <c r="K109" i="10"/>
  <c r="K135" i="10"/>
  <c r="K199" i="10"/>
  <c r="K68" i="11"/>
  <c r="K191" i="11"/>
  <c r="K194" i="11"/>
  <c r="I194" i="11"/>
  <c r="K127" i="12"/>
  <c r="I127" i="12"/>
  <c r="K199" i="12"/>
  <c r="I199" i="12"/>
  <c r="K213" i="12"/>
  <c r="I213" i="12"/>
  <c r="K25" i="13"/>
  <c r="K183" i="13"/>
  <c r="K72" i="11"/>
  <c r="K183" i="11"/>
  <c r="I183" i="11"/>
  <c r="K200" i="11"/>
  <c r="I200" i="11"/>
  <c r="K37" i="12"/>
  <c r="I37" i="12"/>
  <c r="K55" i="12"/>
  <c r="I55" i="12"/>
  <c r="K101" i="12"/>
  <c r="I101" i="12"/>
  <c r="K119" i="12"/>
  <c r="I119" i="12"/>
  <c r="K149" i="12"/>
  <c r="I149" i="12"/>
  <c r="K197" i="12"/>
  <c r="I197" i="12"/>
  <c r="I119" i="13"/>
  <c r="K119" i="13"/>
  <c r="K72" i="14"/>
  <c r="K84" i="14"/>
  <c r="K19" i="10"/>
  <c r="K35" i="10"/>
  <c r="K51" i="10"/>
  <c r="K67" i="10"/>
  <c r="K83" i="10"/>
  <c r="K99" i="10"/>
  <c r="K115" i="10"/>
  <c r="K131" i="10"/>
  <c r="K147" i="10"/>
  <c r="K163" i="10"/>
  <c r="K179" i="10"/>
  <c r="K195" i="10"/>
  <c r="I103" i="11"/>
  <c r="K31" i="12"/>
  <c r="I31" i="12"/>
  <c r="K34" i="12"/>
  <c r="K95" i="12"/>
  <c r="I95" i="12"/>
  <c r="K98" i="12"/>
  <c r="K183" i="12"/>
  <c r="I183" i="12"/>
  <c r="I23" i="13"/>
  <c r="H3" i="13" s="1"/>
  <c r="X2" i="1" s="1"/>
  <c r="K23" i="13"/>
  <c r="K89" i="13"/>
  <c r="K165" i="13"/>
  <c r="K145" i="10"/>
  <c r="K161" i="10"/>
  <c r="K177" i="10"/>
  <c r="K193" i="10"/>
  <c r="K59" i="11"/>
  <c r="I143" i="11"/>
  <c r="K143" i="11"/>
  <c r="K175" i="12"/>
  <c r="I175" i="12"/>
  <c r="K189" i="12"/>
  <c r="I189" i="12"/>
  <c r="K40" i="11"/>
  <c r="I87" i="11"/>
  <c r="I101" i="11"/>
  <c r="K101" i="11"/>
  <c r="K162" i="11"/>
  <c r="K184" i="11"/>
  <c r="K187" i="11"/>
  <c r="K29" i="12"/>
  <c r="I29" i="12"/>
  <c r="I32" i="12"/>
  <c r="K32" i="12"/>
  <c r="K93" i="12"/>
  <c r="I93" i="12"/>
  <c r="I96" i="12"/>
  <c r="K96" i="12"/>
  <c r="K167" i="12"/>
  <c r="I167" i="12"/>
  <c r="K181" i="12"/>
  <c r="I181" i="12"/>
  <c r="I87" i="13"/>
  <c r="K87" i="13"/>
  <c r="K129" i="13"/>
  <c r="I155" i="13"/>
  <c r="K155" i="13"/>
  <c r="K10" i="11"/>
  <c r="K26" i="11"/>
  <c r="K41" i="11"/>
  <c r="K88" i="11"/>
  <c r="K98" i="11"/>
  <c r="K132" i="11"/>
  <c r="K169" i="11"/>
  <c r="K26" i="12"/>
  <c r="K58" i="12"/>
  <c r="K90" i="12"/>
  <c r="K122" i="12"/>
  <c r="K151" i="12"/>
  <c r="I151" i="12"/>
  <c r="K165" i="12"/>
  <c r="I165" i="12"/>
  <c r="K215" i="12"/>
  <c r="I215" i="12"/>
  <c r="K17" i="13"/>
  <c r="K49" i="13"/>
  <c r="K81" i="13"/>
  <c r="K113" i="13"/>
  <c r="K8" i="14"/>
  <c r="K56" i="14"/>
  <c r="K82" i="14"/>
  <c r="K8" i="11"/>
  <c r="K24" i="11"/>
  <c r="K57" i="11"/>
  <c r="K114" i="11"/>
  <c r="K148" i="11"/>
  <c r="K185" i="11"/>
  <c r="K206" i="11"/>
  <c r="I206" i="11"/>
  <c r="K15" i="12"/>
  <c r="I15" i="12"/>
  <c r="K21" i="12"/>
  <c r="I21" i="12"/>
  <c r="K47" i="12"/>
  <c r="I47" i="12"/>
  <c r="K53" i="12"/>
  <c r="I53" i="12"/>
  <c r="K79" i="12"/>
  <c r="I79" i="12"/>
  <c r="K85" i="12"/>
  <c r="I85" i="12"/>
  <c r="K111" i="12"/>
  <c r="I111" i="12"/>
  <c r="K117" i="12"/>
  <c r="I117" i="12"/>
  <c r="K143" i="12"/>
  <c r="I143" i="12"/>
  <c r="K157" i="12"/>
  <c r="I157" i="12"/>
  <c r="K207" i="12"/>
  <c r="I207" i="12"/>
  <c r="K163" i="13"/>
  <c r="K181" i="13"/>
  <c r="K1" i="13" s="1"/>
  <c r="K20" i="14"/>
  <c r="K68" i="14"/>
  <c r="K20" i="11"/>
  <c r="K52" i="11"/>
  <c r="K89" i="11"/>
  <c r="K133" i="11"/>
  <c r="K136" i="11"/>
  <c r="K146" i="11"/>
  <c r="K180" i="11"/>
  <c r="K13" i="12"/>
  <c r="I13" i="12"/>
  <c r="K24" i="12"/>
  <c r="K39" i="12"/>
  <c r="I39" i="12"/>
  <c r="K45" i="12"/>
  <c r="I45" i="12"/>
  <c r="K56" i="12"/>
  <c r="K71" i="12"/>
  <c r="I71" i="12"/>
  <c r="K77" i="12"/>
  <c r="I77" i="12"/>
  <c r="K88" i="12"/>
  <c r="K103" i="12"/>
  <c r="I103" i="12"/>
  <c r="K109" i="12"/>
  <c r="I109" i="12"/>
  <c r="K120" i="12"/>
  <c r="K135" i="12"/>
  <c r="I135" i="12"/>
  <c r="K141" i="12"/>
  <c r="I141" i="12"/>
  <c r="K191" i="12"/>
  <c r="I191" i="12"/>
  <c r="K205" i="12"/>
  <c r="I205" i="12"/>
  <c r="K15" i="13"/>
  <c r="K40" i="14"/>
  <c r="K48" i="11"/>
  <c r="K64" i="11"/>
  <c r="K80" i="11"/>
  <c r="K96" i="11"/>
  <c r="K112" i="11"/>
  <c r="K128" i="11"/>
  <c r="K144" i="11"/>
  <c r="K160" i="11"/>
  <c r="K176" i="11"/>
  <c r="K192" i="11"/>
  <c r="H3" i="14"/>
  <c r="AB2" i="1" s="1"/>
  <c r="K16" i="14"/>
  <c r="K1" i="14" s="1"/>
  <c r="K32" i="14"/>
  <c r="K48" i="14"/>
  <c r="K64" i="14"/>
  <c r="K80" i="14"/>
  <c r="K109" i="14"/>
  <c r="K115" i="14"/>
  <c r="K46" i="11"/>
  <c r="K62" i="11"/>
  <c r="K78" i="11"/>
  <c r="K94" i="11"/>
  <c r="K110" i="11"/>
  <c r="K126" i="11"/>
  <c r="K142" i="11"/>
  <c r="K158" i="11"/>
  <c r="K174" i="11"/>
  <c r="K190" i="11"/>
  <c r="K11" i="12"/>
  <c r="I11" i="12"/>
  <c r="K19" i="12"/>
  <c r="I19" i="12"/>
  <c r="K27" i="12"/>
  <c r="I27" i="12"/>
  <c r="K35" i="12"/>
  <c r="I35" i="12"/>
  <c r="K43" i="12"/>
  <c r="I43" i="12"/>
  <c r="K51" i="12"/>
  <c r="I51" i="12"/>
  <c r="K59" i="12"/>
  <c r="I59" i="12"/>
  <c r="K67" i="12"/>
  <c r="I67" i="12"/>
  <c r="K75" i="12"/>
  <c r="I75" i="12"/>
  <c r="K83" i="12"/>
  <c r="I83" i="12"/>
  <c r="K91" i="12"/>
  <c r="I91" i="12"/>
  <c r="K99" i="12"/>
  <c r="I99" i="12"/>
  <c r="K107" i="12"/>
  <c r="I107" i="12"/>
  <c r="K115" i="12"/>
  <c r="I115" i="12"/>
  <c r="K123" i="12"/>
  <c r="I123" i="12"/>
  <c r="K131" i="12"/>
  <c r="I131" i="12"/>
  <c r="K139" i="12"/>
  <c r="I139" i="12"/>
  <c r="K147" i="12"/>
  <c r="I147" i="12"/>
  <c r="K155" i="12"/>
  <c r="I155" i="12"/>
  <c r="K163" i="12"/>
  <c r="I163" i="12"/>
  <c r="K171" i="12"/>
  <c r="I171" i="12"/>
  <c r="K179" i="12"/>
  <c r="I179" i="12"/>
  <c r="K187" i="12"/>
  <c r="I187" i="12"/>
  <c r="K195" i="12"/>
  <c r="I195" i="12"/>
  <c r="K203" i="12"/>
  <c r="I203" i="12"/>
  <c r="K211" i="12"/>
  <c r="I211" i="12"/>
  <c r="K14" i="14"/>
  <c r="K30" i="14"/>
  <c r="K46" i="14"/>
  <c r="K62" i="14"/>
  <c r="K78" i="14"/>
  <c r="K94" i="14"/>
  <c r="K74" i="11"/>
  <c r="K90" i="11"/>
  <c r="K106" i="11"/>
  <c r="K122" i="11"/>
  <c r="K138" i="11"/>
  <c r="K186" i="11"/>
  <c r="K9" i="12"/>
  <c r="I9" i="12"/>
  <c r="K17" i="12"/>
  <c r="I17" i="12"/>
  <c r="K25" i="12"/>
  <c r="I25" i="12"/>
  <c r="K33" i="12"/>
  <c r="I33" i="12"/>
  <c r="K41" i="12"/>
  <c r="I41" i="12"/>
  <c r="K49" i="12"/>
  <c r="I49" i="12"/>
  <c r="K57" i="12"/>
  <c r="I57" i="12"/>
  <c r="K65" i="12"/>
  <c r="I65" i="12"/>
  <c r="K73" i="12"/>
  <c r="I73" i="12"/>
  <c r="K81" i="12"/>
  <c r="I81" i="12"/>
  <c r="K89" i="12"/>
  <c r="I89" i="12"/>
  <c r="K97" i="12"/>
  <c r="I97" i="12"/>
  <c r="K105" i="12"/>
  <c r="I105" i="12"/>
  <c r="K113" i="12"/>
  <c r="I113" i="12"/>
  <c r="K121" i="12"/>
  <c r="I121" i="12"/>
  <c r="K129" i="12"/>
  <c r="I129" i="12"/>
  <c r="K137" i="12"/>
  <c r="I137" i="12"/>
  <c r="K145" i="12"/>
  <c r="I145" i="12"/>
  <c r="K153" i="12"/>
  <c r="I153" i="12"/>
  <c r="K161" i="12"/>
  <c r="I161" i="12"/>
  <c r="K169" i="12"/>
  <c r="I169" i="12"/>
  <c r="K177" i="12"/>
  <c r="I177" i="12"/>
  <c r="K185" i="12"/>
  <c r="I185" i="12"/>
  <c r="K193" i="12"/>
  <c r="I193" i="12"/>
  <c r="K201" i="12"/>
  <c r="I201" i="12"/>
  <c r="K209" i="12"/>
  <c r="I209" i="12"/>
  <c r="K10" i="14"/>
  <c r="K26" i="14"/>
  <c r="K90" i="14"/>
  <c r="K101" i="14"/>
  <c r="K107" i="14"/>
  <c r="K103" i="14"/>
  <c r="K111" i="14"/>
  <c r="E3" i="5" l="1"/>
  <c r="P2" i="1" s="1"/>
  <c r="H1" i="5"/>
  <c r="K1" i="10"/>
  <c r="K1" i="11"/>
  <c r="K1" i="6"/>
  <c r="AH5" i="1"/>
  <c r="K1" i="12"/>
  <c r="H3" i="12"/>
  <c r="Z2" i="1" s="1"/>
  <c r="H3" i="6"/>
  <c r="R2" i="1" s="1"/>
  <c r="AH2" i="1" l="1"/>
</calcChain>
</file>

<file path=xl/sharedStrings.xml><?xml version="1.0" encoding="utf-8"?>
<sst xmlns="http://schemas.openxmlformats.org/spreadsheetml/2006/main" count="5844" uniqueCount="569">
  <si>
    <t>nixo</t>
  </si>
  <si>
    <t>2024-2025 Sheldon ISD ADA Dashboard</t>
  </si>
  <si>
    <t>Estimated $ Missed Annually</t>
  </si>
  <si>
    <t>CE</t>
  </si>
  <si>
    <t>GE</t>
  </si>
  <si>
    <t>ME</t>
  </si>
  <si>
    <t>RE</t>
  </si>
  <si>
    <t>SE</t>
  </si>
  <si>
    <t>SLE</t>
  </si>
  <si>
    <t>CECA</t>
  </si>
  <si>
    <t>SECA</t>
  </si>
  <si>
    <t>KHS</t>
  </si>
  <si>
    <t>9TH GR CAMPUS</t>
  </si>
  <si>
    <t>ECHS</t>
  </si>
  <si>
    <t>KMS</t>
  </si>
  <si>
    <t>NMS</t>
  </si>
  <si>
    <t>Highpnt</t>
  </si>
  <si>
    <t>KASE</t>
  </si>
  <si>
    <t>ADA</t>
  </si>
  <si>
    <t>Enrollment</t>
  </si>
  <si>
    <t>KASE Weekly Attendance</t>
  </si>
  <si>
    <t>ADA % BY CAMPUS</t>
  </si>
  <si>
    <t>EcoDis</t>
  </si>
  <si>
    <t>&gt;&gt;Click Here To View Your Students With Less Than 95% ADA&lt;&lt;</t>
  </si>
  <si>
    <t xml:space="preserve"># OF DAYS LESS THAN 95% ADA  </t>
  </si>
  <si>
    <t xml:space="preserve"># OF DAYS LESS THAN 90% ADA  </t>
  </si>
  <si>
    <t>TOTAL OPERATIONAL MINUTES</t>
  </si>
  <si>
    <t>MINS</t>
  </si>
  <si>
    <t>DAYS</t>
  </si>
  <si>
    <t>DATE</t>
  </si>
  <si>
    <t>DAY</t>
  </si>
  <si>
    <t>ENR</t>
  </si>
  <si>
    <t>Day 1</t>
  </si>
  <si>
    <t>Monday</t>
  </si>
  <si>
    <t>Day 2</t>
  </si>
  <si>
    <t>Tuesday</t>
  </si>
  <si>
    <t>Day 3</t>
  </si>
  <si>
    <t>Wednesday</t>
  </si>
  <si>
    <t>Day 4</t>
  </si>
  <si>
    <t>Thursday</t>
  </si>
  <si>
    <t>Day 5</t>
  </si>
  <si>
    <t>Friday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</si>
  <si>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</si>
  <si>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</si>
  <si>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</si>
  <si>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</si>
  <si>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</si>
  <si>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</si>
  <si>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</si>
  <si>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</si>
  <si>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</si>
  <si>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</si>
  <si>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HOLIDAY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</si>
  <si>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</si>
  <si>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</si>
  <si>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</si>
  <si>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</si>
  <si>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</si>
  <si>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</si>
  <si>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</si>
  <si>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</si>
  <si>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</si>
  <si>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PD DAY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</si>
  <si>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</si>
  <si>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</si>
  <si>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</si>
  <si>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</si>
  <si>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</si>
  <si>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</si>
  <si>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</si>
  <si>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</si>
  <si>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</si>
  <si>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</si>
  <si>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</si>
  <si>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</si>
  <si>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</si>
  <si>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</si>
  <si>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BREAK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</si>
  <si>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</si>
  <si>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</si>
  <si>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</si>
  <si>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</si>
  <si>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</si>
  <si>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</si>
  <si>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</si>
  <si>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</si>
  <si>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</si>
  <si>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</si>
  <si>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</si>
  <si>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</si>
  <si>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</si>
  <si>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</si>
  <si>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</si>
  <si>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</si>
  <si>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</si>
  <si>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</si>
  <si>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</si>
  <si>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</si>
  <si>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</si>
  <si>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</si>
  <si>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</si>
  <si>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</si>
  <si>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</si>
  <si>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</si>
  <si>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</si>
  <si>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</si>
  <si>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</si>
  <si>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</si>
  <si>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</si>
  <si>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</si>
  <si>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</si>
  <si>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</si>
  <si>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</si>
  <si>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</si>
  <si>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</si>
  <si>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</si>
  <si>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</si>
  <si>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</si>
  <si>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</si>
  <si>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</si>
  <si>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</si>
  <si>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</si>
  <si>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</si>
  <si>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</si>
  <si>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</si>
  <si>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</si>
  <si>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</si>
  <si>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</si>
  <si>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</si>
  <si>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</si>
  <si>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</si>
  <si>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</si>
  <si>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</si>
  <si>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</si>
  <si>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</si>
  <si>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</si>
  <si>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</si>
  <si>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</si>
  <si>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</si>
  <si>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</si>
  <si>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</si>
  <si>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</si>
  <si>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</si>
  <si>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</si>
  <si>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</si>
  <si>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</si>
  <si>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</si>
  <si>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</si>
  <si>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</si>
  <si>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</si>
  <si>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</si>
  <si>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</si>
  <si>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</si>
  <si>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</si>
  <si>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</si>
  <si>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</si>
  <si>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</si>
  <si>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</si>
  <si>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</si>
  <si>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</si>
  <si>
    <t>Day 121</t>
  </si>
  <si>
    <t>Day 122</t>
  </si>
  <si>
    <t>Day 123</t>
  </si>
  <si>
    <t>Day 124</t>
  </si>
  <si>
    <t>Day 125</t>
  </si>
  <si>
    <t>Day 126</t>
  </si>
  <si>
    <t>Day 127</t>
  </si>
  <si>
    <t>Day 128</t>
  </si>
  <si>
    <t>Day 129</t>
  </si>
  <si>
    <t>Day 130</t>
  </si>
  <si>
    <t>Day 131</t>
  </si>
  <si>
    <t>Day 132</t>
  </si>
  <si>
    <t>Day 133</t>
  </si>
  <si>
    <t>Day 134</t>
  </si>
  <si>
    <t>Day 135</t>
  </si>
  <si>
    <t>Day 136</t>
  </si>
  <si>
    <t>Day 137</t>
  </si>
  <si>
    <t>Day 138</t>
  </si>
  <si>
    <t>Day 139</t>
  </si>
  <si>
    <t>Day 140</t>
  </si>
  <si>
    <t>Day 141</t>
  </si>
  <si>
    <t>Day 142</t>
  </si>
  <si>
    <t>Day 143</t>
  </si>
  <si>
    <t>Day 144</t>
  </si>
  <si>
    <t>Day 145</t>
  </si>
  <si>
    <t>Day 146</t>
  </si>
  <si>
    <t>Day 147</t>
  </si>
  <si>
    <t>Day 148</t>
  </si>
  <si>
    <t>Day 149</t>
  </si>
  <si>
    <t>Day 150</t>
  </si>
  <si>
    <t>Day 151</t>
  </si>
  <si>
    <t>Day 152</t>
  </si>
  <si>
    <t>Day 153</t>
  </si>
  <si>
    <t>Day 154</t>
  </si>
  <si>
    <t>Day 155</t>
  </si>
  <si>
    <t>Day 156</t>
  </si>
  <si>
    <t>Day 157</t>
  </si>
  <si>
    <t>Day 158</t>
  </si>
  <si>
    <t>Day 159</t>
  </si>
  <si>
    <t>Day 160</t>
  </si>
  <si>
    <t>Day 161</t>
  </si>
  <si>
    <t>Day 162</t>
  </si>
  <si>
    <t>Day 163</t>
  </si>
  <si>
    <t>Day 164</t>
  </si>
  <si>
    <t>Day 165</t>
  </si>
  <si>
    <t>Day 166</t>
  </si>
  <si>
    <t>Day 167</t>
  </si>
  <si>
    <t>Day 168</t>
  </si>
  <si>
    <t>Day 169</t>
  </si>
  <si>
    <t>Day 170</t>
  </si>
  <si>
    <t>Day 171</t>
  </si>
  <si>
    <t>SHELDON ECA</t>
  </si>
  <si>
    <t>District Goal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</si>
  <si>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</si>
  <si>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Estimated $ Per Student</t>
  </si>
  <si>
    <t>Date</t>
  </si>
  <si>
    <t>Day of the Week</t>
  </si>
  <si>
    <t>Campus ADA %</t>
  </si>
  <si>
    <t>Is ADA Below 90%? (Yes/No)</t>
  </si>
  <si>
    <t>If "Yes" Give Reason</t>
  </si>
  <si>
    <t>Explain if  "Other"</t>
  </si>
  <si>
    <t xml:space="preserve">Enrollment </t>
  </si>
  <si>
    <t># Students Absent</t>
  </si>
  <si>
    <t xml:space="preserve">Estimated $ Missed </t>
  </si>
  <si>
    <t>DISTRICTS # ABS GOAL</t>
  </si>
  <si>
    <t>NO</t>
  </si>
  <si>
    <t>no</t>
  </si>
  <si>
    <t>yes</t>
  </si>
  <si>
    <t>Health</t>
  </si>
  <si>
    <t>many student had the flu, covid,upset stomach.</t>
  </si>
  <si>
    <t>flu, common colds.</t>
  </si>
  <si>
    <t>colds, flu</t>
  </si>
  <si>
    <t>YES</t>
  </si>
  <si>
    <t>Other</t>
  </si>
  <si>
    <t>Low attendance on fridays</t>
  </si>
  <si>
    <t>ILLNESS</t>
  </si>
  <si>
    <t>illness</t>
  </si>
  <si>
    <t>unknown</t>
  </si>
  <si>
    <t>low attendance on mondays</t>
  </si>
  <si>
    <t>Day after halloween</t>
  </si>
  <si>
    <t>Thanksgivivng luncheon</t>
  </si>
  <si>
    <t xml:space="preserve">FRIDAY </t>
  </si>
  <si>
    <t>many students were sent home for health reasons</t>
  </si>
  <si>
    <t>common colds.</t>
  </si>
  <si>
    <t>christmas parties</t>
  </si>
  <si>
    <t>half a day.christmas break</t>
  </si>
  <si>
    <t>Weather</t>
  </si>
  <si>
    <t>freezing temps</t>
  </si>
  <si>
    <t xml:space="preserve">cold front </t>
  </si>
  <si>
    <t>No School/Snow Day</t>
  </si>
  <si>
    <t>Freezing Temps and Icy roads</t>
  </si>
  <si>
    <t>cold weather</t>
  </si>
  <si>
    <t>Protest Day</t>
  </si>
  <si>
    <t xml:space="preserve">Health- flu -colds </t>
  </si>
  <si>
    <t xml:space="preserve">Low Attendance on mondays </t>
  </si>
  <si>
    <t xml:space="preserve">common colds, flu </t>
  </si>
  <si>
    <t>flu</t>
  </si>
  <si>
    <t>FLU</t>
  </si>
  <si>
    <t>low attendance on mondays.illness.</t>
  </si>
  <si>
    <t>CRAVENS ECA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</si>
  <si>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</si>
  <si>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N</t>
  </si>
  <si>
    <t xml:space="preserve"> </t>
  </si>
  <si>
    <t>Y</t>
  </si>
  <si>
    <t xml:space="preserve">day before fall break </t>
  </si>
  <si>
    <t>Friday after Halloween</t>
  </si>
  <si>
    <t>Friday, thanksgiving luncheon</t>
  </si>
  <si>
    <t>low ADA due to Health</t>
  </si>
  <si>
    <t xml:space="preserve">Friday, last day before thanksgiving break </t>
  </si>
  <si>
    <t xml:space="preserve">3 students sent home this morning </t>
  </si>
  <si>
    <t>illness, Friday, many students not returning for last week before christmas break</t>
  </si>
  <si>
    <t>5 students sent home by nurse before attendance. many students not returning for last week</t>
  </si>
  <si>
    <t xml:space="preserve">low ADA due to health and last week before holiday break </t>
  </si>
  <si>
    <t xml:space="preserve">holiday parties </t>
  </si>
  <si>
    <t>last half day before Christmas break</t>
  </si>
  <si>
    <t xml:space="preserve">cold weather + first day back from winter break </t>
  </si>
  <si>
    <t>cold weather + rain, already expect low attendance on Fridays</t>
  </si>
  <si>
    <t xml:space="preserve">snow day - no school </t>
  </si>
  <si>
    <t>Yes</t>
  </si>
  <si>
    <t xml:space="preserve">snow day recovery/ cold weather </t>
  </si>
  <si>
    <t xml:space="preserve">Weather </t>
  </si>
  <si>
    <t>Friday, snow day recovery</t>
  </si>
  <si>
    <t>No</t>
  </si>
  <si>
    <t>immigration boycott</t>
  </si>
  <si>
    <t>1 D-Z, 1 student at nurse, 2 teacher corrections</t>
  </si>
  <si>
    <t xml:space="preserve">picture day </t>
  </si>
  <si>
    <t xml:space="preserve">no power in the early am, delayed start </t>
  </si>
  <si>
    <t>Friday + illnesses, everybody here is coughing</t>
  </si>
  <si>
    <t xml:space="preserve">Monday, illness, last week before spring break  </t>
  </si>
  <si>
    <t>ROYALWOOD ELEMENTARY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</si>
  <si>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</si>
  <si>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</t>
  </si>
  <si>
    <t xml:space="preserve">no </t>
  </si>
  <si>
    <t xml:space="preserve">NO </t>
  </si>
  <si>
    <t>no.</t>
  </si>
  <si>
    <t xml:space="preserve">christmas vacation </t>
  </si>
  <si>
    <t>Christmas Break</t>
  </si>
  <si>
    <t>Sick/Christmas Break</t>
  </si>
  <si>
    <t>weather</t>
  </si>
  <si>
    <t>Immigration Protesting</t>
  </si>
  <si>
    <t>SHELDON ELEMENTARY</t>
  </si>
  <si>
    <t xml:space="preserve">No 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</si>
  <si>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</si>
  <si>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                                                                                                                   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</si>
  <si>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</si>
  <si>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                                                                                              </t>
  </si>
  <si>
    <t>CARROLL ELEMENTARY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</si>
  <si>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</si>
  <si>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Power outage, no school.</t>
  </si>
  <si>
    <t>District closed due to weather</t>
  </si>
  <si>
    <t xml:space="preserve">Immigration Protesting </t>
  </si>
  <si>
    <t>KING MIDDLE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</si>
  <si>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</si>
  <si>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first day count (balanced @ 6:48pm)</t>
  </si>
  <si>
    <t>fixed NS kids &amp; enrolled new</t>
  </si>
  <si>
    <t>first fire drill during 2nd prd @10:12am</t>
  </si>
  <si>
    <t xml:space="preserve">all grades have assembly  </t>
  </si>
  <si>
    <t>lots of kids being out sick</t>
  </si>
  <si>
    <t>bad weather</t>
  </si>
  <si>
    <t xml:space="preserve">skyward went down 5th came back 7th </t>
  </si>
  <si>
    <t>bad weather PM</t>
  </si>
  <si>
    <t>friday before a holiday</t>
  </si>
  <si>
    <t>heavy rain scheduled for all day/only rained PM</t>
  </si>
  <si>
    <t>bad weather day AM</t>
  </si>
  <si>
    <t>raininy day</t>
  </si>
  <si>
    <t>school threat</t>
  </si>
  <si>
    <t>Reconciliation</t>
  </si>
  <si>
    <r>
      <rPr>
        <sz val="10"/>
        <color rgb="FF000000"/>
        <rFont val="Arial"/>
        <family val="2"/>
      </rPr>
      <t>End of 1st 6wks</t>
    </r>
  </si>
  <si>
    <t>schools in district getting threats</t>
  </si>
  <si>
    <t>fire drill/active shooter drill/KHS ground break ceremony</t>
  </si>
  <si>
    <t>6th grade Guidence Assembly</t>
  </si>
  <si>
    <t>7th grade Guidence Assembly</t>
  </si>
  <si>
    <t>STEM Field Trip/some kids GT testing</t>
  </si>
  <si>
    <t>DCA Testings</t>
  </si>
  <si>
    <t>some kids GT testing/day before holiday</t>
  </si>
  <si>
    <t>back from break</t>
  </si>
  <si>
    <t>STEM Field Trip</t>
  </si>
  <si>
    <t>power went out cam back on/8th grd testing</t>
  </si>
  <si>
    <t>Activity Bell Schedule/Teach VS Stud Volleyball Game</t>
  </si>
  <si>
    <t>AVID Field Trip to Rice Univ/Internet on and off</t>
  </si>
  <si>
    <t>fire drill</t>
  </si>
  <si>
    <t>A DAYskyward did not reflect/6th&amp;7th Test/Superitendant Meeting/8th grd STEM Field Trip</t>
  </si>
  <si>
    <t>B DAY/8th grd test went to 8th prd</t>
  </si>
  <si>
    <t>A DAY advisory/Halloween/Theater Field Trip went to 7th prd</t>
  </si>
  <si>
    <t>B DAY/day before break</t>
  </si>
  <si>
    <t>B DAY/testing/6th &amp; 7th grd went to 8th prd/2 kids went to high school</t>
  </si>
  <si>
    <t>A DAY 8th grd testing/went to 7th prd</t>
  </si>
  <si>
    <t>End of 2nd 6wks</t>
  </si>
  <si>
    <t>STEM FIELD TRIP</t>
  </si>
  <si>
    <t>bad weather day</t>
  </si>
  <si>
    <t>Dance Field Trip/Superintendent Scolar Meeting FT</t>
  </si>
  <si>
    <t>fire drill /day before break</t>
  </si>
  <si>
    <t>Spelling Bee</t>
  </si>
  <si>
    <t>Choir FT/Band FT/Art FT/Dance FT/Theater FT/CAP FT</t>
  </si>
  <si>
    <t>ADay wit adv/ELA DCA</t>
  </si>
  <si>
    <t>BDay with advi/ELA DCA</t>
  </si>
  <si>
    <t>ADay wit adv/ELA&amp;Science DCA</t>
  </si>
  <si>
    <t>BDay wit adv/ELA&amp;Science DCA</t>
  </si>
  <si>
    <t>Reg Bell Sched/fire drill</t>
  </si>
  <si>
    <t>fire alarm went off during 3rd prd</t>
  </si>
  <si>
    <t>A Day Sched/ No Advi/day before winter break/winter dance</t>
  </si>
  <si>
    <t>first day back/A Day with Adv</t>
  </si>
  <si>
    <t>cold weather day</t>
  </si>
  <si>
    <t>End of 3rd 6wks</t>
  </si>
  <si>
    <t>cold weather day/fire alarm went off in Dance room/drug dog came</t>
  </si>
  <si>
    <t xml:space="preserve">     </t>
  </si>
  <si>
    <t>some kids goto FFA</t>
  </si>
  <si>
    <t>all 8th grd going to KHS/some kids goto FFA</t>
  </si>
  <si>
    <t xml:space="preserve">NO SCHOOL/bad weather/cold </t>
  </si>
  <si>
    <t>NO SCHOOL/bad weather/snow day</t>
  </si>
  <si>
    <t>a lot of kids out due to cold weather</t>
  </si>
  <si>
    <t>A Day with Advisory/Superintendent Scolar Meeting FT</t>
  </si>
  <si>
    <t>drg test/reginal day/rainy day</t>
  </si>
  <si>
    <t>protesting day/a lot of kids out</t>
  </si>
  <si>
    <t>STEM FT/Choir UIL FT</t>
  </si>
  <si>
    <t>spelling bee/6th &amp; 7th grd assembly</t>
  </si>
  <si>
    <t>day before break</t>
  </si>
  <si>
    <t>rainy day</t>
  </si>
  <si>
    <t>recconciliation day</t>
  </si>
  <si>
    <t>Valentine Day/friday before holiday</t>
  </si>
  <si>
    <t>6th gradde testing prds 1-4th</t>
  </si>
  <si>
    <t>7th grade testing/cold rainy weather day (kind of snowed)</t>
  </si>
  <si>
    <t>8th grade telpas testing/really cold weather day</t>
  </si>
  <si>
    <t>End of 4th 6wks</t>
  </si>
  <si>
    <t>After School FT</t>
  </si>
  <si>
    <t>AVID FT/6th grd Telpas</t>
  </si>
  <si>
    <t>7th grd Telpas</t>
  </si>
  <si>
    <t>7th grd STEM Boys FT/testing</t>
  </si>
  <si>
    <t>Superintendent Scolar Meeting FT/6th grd Dance FT/Band FT/testing</t>
  </si>
  <si>
    <t>fire drill during 2nd prd</t>
  </si>
  <si>
    <t>reg bell sched/Choir UIL FT</t>
  </si>
  <si>
    <t>bad weather day/power went out/late start to school/A Day no advi/Choir UIL FT</t>
  </si>
  <si>
    <t>reg bell sched/all grades testing/BAND UIL FT</t>
  </si>
  <si>
    <t>Mock Testing/BAND UIL FT/HCC FT/A day no adv</t>
  </si>
  <si>
    <t>B day sched/no advi/makeup test</t>
  </si>
  <si>
    <t>reg bell sched/makeup telpas testing</t>
  </si>
  <si>
    <t>reg bell sched/shelter in place drill during 2nd prd</t>
  </si>
  <si>
    <t>glow party</t>
  </si>
  <si>
    <t>Superintendent Scolar Meeting FT</t>
  </si>
  <si>
    <t>STEM FT</t>
  </si>
  <si>
    <t>End of 5th 6wks</t>
  </si>
  <si>
    <t xml:space="preserve">                                                     </t>
  </si>
  <si>
    <t>NULL MIDDLE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</si>
  <si>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</si>
  <si>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fire alarm went off during first day count </t>
  </si>
  <si>
    <t xml:space="preserve">fire alarm went off (false alarm) </t>
  </si>
  <si>
    <t xml:space="preserve">late buses and alot of kids are out sick </t>
  </si>
  <si>
    <t xml:space="preserve">bad weather, alot of kids sick </t>
  </si>
  <si>
    <t xml:space="preserve">kids out sick </t>
  </si>
  <si>
    <t xml:space="preserve">skyward was down 5th period </t>
  </si>
  <si>
    <t xml:space="preserve">heavy rain during 6th period  </t>
  </si>
  <si>
    <t xml:space="preserve">holiday weekend </t>
  </si>
  <si>
    <t xml:space="preserve">Bad weather </t>
  </si>
  <si>
    <t>Reconciliation/School Threat</t>
  </si>
  <si>
    <t>Safety</t>
  </si>
  <si>
    <t xml:space="preserve">School Threat/Students getting picked up before funing period </t>
  </si>
  <si>
    <t>Stem field trip</t>
  </si>
  <si>
    <t>DCA testing/day before school break</t>
  </si>
  <si>
    <t>returning from school break</t>
  </si>
  <si>
    <t xml:space="preserve">8th grade PSAT testing </t>
  </si>
  <si>
    <t xml:space="preserve">fire alarm went off during funding period </t>
  </si>
  <si>
    <t xml:space="preserve"> day after halloween </t>
  </si>
  <si>
    <t>day before break/fire drill</t>
  </si>
  <si>
    <t xml:space="preserve">Fine arts Field trip </t>
  </si>
  <si>
    <t>DCA TESTING</t>
  </si>
  <si>
    <t>DCA testing</t>
  </si>
  <si>
    <t>Last day before break</t>
  </si>
  <si>
    <t>the day before break</t>
  </si>
  <si>
    <t xml:space="preserve">1st day back from break </t>
  </si>
  <si>
    <t xml:space="preserve">Cold front/students are out sick/DCA retakes </t>
  </si>
  <si>
    <t>NO SCHOOL/SNOW DAY</t>
  </si>
  <si>
    <t>BAD WEATHER</t>
  </si>
  <si>
    <t>assembly</t>
  </si>
  <si>
    <t xml:space="preserve">Drug testing /Regional 4 meeting </t>
  </si>
  <si>
    <t>Immigration Protest</t>
  </si>
  <si>
    <t>CHOIR UIL</t>
  </si>
  <si>
    <t>FIRE DRILL/HOLD DRILL</t>
  </si>
  <si>
    <t xml:space="preserve">RECONCILIATION </t>
  </si>
  <si>
    <t>VALENTINES DAY/VALENTINES DANCE</t>
  </si>
  <si>
    <t>6th grade TELPAS TESTING</t>
  </si>
  <si>
    <t xml:space="preserve">7TH GRADE TELPAS </t>
  </si>
  <si>
    <t>8TH GRADE TELPAS TESTING /COLD WEATHER</t>
  </si>
  <si>
    <t>TELPAS RETAKE/5TH GRADE SHOWCASE /COLD WEATHER</t>
  </si>
  <si>
    <t>CIVIL AIR PATROL FIELD TRIP</t>
  </si>
  <si>
    <t>CIVIL AIR PATROL FIELD TRIP/6TH GRADETELPAS TESTING</t>
  </si>
  <si>
    <t>STEM BOYS FIELD TRIP/7TH GRADE TELPAS TESTING</t>
  </si>
  <si>
    <t xml:space="preserve">6th-8th MOCK TESTING </t>
  </si>
  <si>
    <t>BAND UIL</t>
  </si>
  <si>
    <t>8TH SCIENCE GRADE MOCK/BAND UIL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</si>
  <si>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</si>
  <si>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LAST DAY BEFORE BREAK</t>
  </si>
  <si>
    <t xml:space="preserve">Break before thanksgiving </t>
  </si>
  <si>
    <t>Day before Holiday break</t>
  </si>
  <si>
    <t xml:space="preserve">yes </t>
  </si>
  <si>
    <t xml:space="preserve">Health/weather </t>
  </si>
  <si>
    <t xml:space="preserve">protest </t>
  </si>
  <si>
    <t>ME had no power in the morning</t>
  </si>
  <si>
    <t>KING HIGH SCHOOL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</si>
  <si>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</si>
  <si>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 xml:space="preserve">students didnt show up </t>
  </si>
  <si>
    <t>students were on vacations</t>
  </si>
  <si>
    <t xml:space="preserve">
no</t>
  </si>
  <si>
    <t>Snow Days</t>
  </si>
  <si>
    <t>Parent Concerns</t>
  </si>
  <si>
    <t>Holiday</t>
  </si>
  <si>
    <t>Cold Weather</t>
  </si>
  <si>
    <t>Bad Weather/power outage</t>
  </si>
  <si>
    <t xml:space="preserve">Alot of students out ill 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</si>
  <si>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</si>
  <si>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DAY AFTER HALLOWEEN</t>
  </si>
  <si>
    <t>BEFORE THE THANKSGIVING BREAK</t>
  </si>
  <si>
    <t>no school</t>
  </si>
  <si>
    <t>after snow storm</t>
  </si>
  <si>
    <t>Cold weather</t>
  </si>
  <si>
    <t>Sr. Pictures</t>
  </si>
  <si>
    <t>Telpas Testing</t>
  </si>
  <si>
    <t>Sr. Skip day</t>
  </si>
  <si>
    <r>
      <rPr>
        <b/>
        <u/>
        <sz val="12"/>
        <color rgb="FFFFFFFF"/>
        <rFont val="Arial"/>
        <family val="2"/>
      </rPr>
      <t>Campus Teams</t>
    </r>
    <r>
      <rPr>
        <sz val="12"/>
        <color rgb="FFFFFFFF"/>
        <rFont val="Arial"/>
        <family val="2"/>
      </rPr>
      <t xml:space="preserve">
</t>
    </r>
    <r>
      <rPr>
        <b/>
        <sz val="12"/>
        <color rgb="FFFFFF00"/>
        <rFont val="Arial"/>
        <family val="2"/>
      </rPr>
      <t>HIGHLIGHTED CELLS INDICATE # OF STUDENTS ABSENT ABOVE DISTRICT GOAL</t>
    </r>
  </si>
  <si>
    <t>San Jac power outage in the a.m.</t>
  </si>
  <si>
    <t>Day before Thanksgiving holidays</t>
  </si>
  <si>
    <t>Day before long weekend</t>
  </si>
  <si>
    <t>freeze/snow</t>
  </si>
  <si>
    <t>freeze</t>
  </si>
  <si>
    <t>Day after freeze</t>
  </si>
  <si>
    <t>Day of Immigration protest</t>
  </si>
  <si>
    <t>very cold with wind chill and senior pic</t>
  </si>
  <si>
    <t>Senior skip day</t>
  </si>
  <si>
    <t>*</t>
  </si>
  <si>
    <t>DAILY DATA</t>
  </si>
  <si>
    <t>WEEKLY DATA</t>
  </si>
  <si>
    <t>ADA 09 
(Dropout Recovery)</t>
  </si>
  <si>
    <t>ADA 07
(KASE)</t>
  </si>
  <si>
    <t>Daily Total Enrolled</t>
  </si>
  <si>
    <t>Week Range</t>
  </si>
  <si>
    <t>Week</t>
  </si>
  <si>
    <t># of Students With Hours Greater Than or Equal 20 (ADA 07)</t>
  </si>
  <si>
    <t>Weekly Total Enrolled 
(ADA 07)</t>
  </si>
  <si>
    <t>% of Attendance</t>
  </si>
  <si>
    <t>Notes About Attendance</t>
  </si>
  <si>
    <t>8/12 - 8/16</t>
  </si>
  <si>
    <t>Week 1</t>
  </si>
  <si>
    <t>8/19 - 8/23</t>
  </si>
  <si>
    <t>Week 2</t>
  </si>
  <si>
    <t>8/26 - 8/30</t>
  </si>
  <si>
    <t>Week 3</t>
  </si>
  <si>
    <t>9/2 - 9/6</t>
  </si>
  <si>
    <t>Week 4</t>
  </si>
  <si>
    <t>9/9 - 9/13</t>
  </si>
  <si>
    <t>Week 5</t>
  </si>
  <si>
    <t>9/16 - 9/20</t>
  </si>
  <si>
    <t>Week 6</t>
  </si>
  <si>
    <t>9/23 - 9/27</t>
  </si>
  <si>
    <t>Week 7</t>
  </si>
  <si>
    <t>9/30 - 10/4</t>
  </si>
  <si>
    <t>Week 8</t>
  </si>
  <si>
    <t>10/14 - 10/18</t>
  </si>
  <si>
    <t>Week 9</t>
  </si>
  <si>
    <t>10/21 - 10/25</t>
  </si>
  <si>
    <t>Week 10</t>
  </si>
  <si>
    <t>10/28 -11/01</t>
  </si>
  <si>
    <t>Week 11</t>
  </si>
  <si>
    <t>11/04 - 11/08</t>
  </si>
  <si>
    <t>Week 12</t>
  </si>
  <si>
    <t>11/11 - 11/15</t>
  </si>
  <si>
    <t>Week 13</t>
  </si>
  <si>
    <t>11/18 - 11/22</t>
  </si>
  <si>
    <t>Week 14</t>
  </si>
  <si>
    <t>12/02 - 12/06</t>
  </si>
  <si>
    <t>Week 15</t>
  </si>
  <si>
    <t>12/09 - 12/13</t>
  </si>
  <si>
    <t>Week 16</t>
  </si>
  <si>
    <t>12/16 - 12/20</t>
  </si>
  <si>
    <t>Week 17</t>
  </si>
  <si>
    <t>01/08 - 01/10</t>
  </si>
  <si>
    <t>Week 18</t>
  </si>
  <si>
    <t>01/13 - 01/17</t>
  </si>
  <si>
    <t>Week 19</t>
  </si>
  <si>
    <t>01/21 - 01/24</t>
  </si>
  <si>
    <t>Week 20</t>
  </si>
  <si>
    <t>01/27 - 01/31</t>
  </si>
  <si>
    <t>Week 21</t>
  </si>
  <si>
    <t>02/03 - 02/07</t>
  </si>
  <si>
    <t>Week 22</t>
  </si>
  <si>
    <t>02/12 - 02/14</t>
  </si>
  <si>
    <t>Week 23</t>
  </si>
  <si>
    <t>02/17 - 02/21</t>
  </si>
  <si>
    <t>Week 24</t>
  </si>
  <si>
    <t>02/24 - 02/28</t>
  </si>
  <si>
    <t>Week 25</t>
  </si>
  <si>
    <t>03/03 - 03/07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</si>
  <si>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</si>
  <si>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</si>
  <si>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</si>
  <si>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</si>
  <si>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</si>
  <si>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</si>
  <si>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</si>
  <si>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</si>
  <si>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</si>
  <si>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</si>
  <si>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</si>
  <si>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</si>
  <si>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 xml:space="preserve">Campus </t>
  </si>
  <si>
    <t>9TH GRADE</t>
  </si>
  <si>
    <t>AVEGAGE</t>
  </si>
  <si>
    <t>Highpoint</t>
  </si>
  <si>
    <t>Attendance/Enrollment</t>
  </si>
  <si>
    <t>Enrollment Numbers</t>
  </si>
  <si>
    <t># OF STUDENTS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</si>
</sst>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61" x14ac:knownFonts="1">
    <font>
      <sz val="10"/>
      <color rgb="FF000000"/>
      <name val="Arial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24"/>
      <color rgb="FFFFFFFF"/>
      <name val="Arial"/>
      <family val="2"/>
    </font>
    <font>
      <b/>
      <sz val="18"/>
      <color theme="1"/>
      <name val="Arial"/>
      <family val="2"/>
    </font>
    <font>
      <i/>
      <sz val="11"/>
      <color rgb="FFFFFFFF"/>
      <name val="Arial"/>
      <family val="2"/>
      <scheme val="minor"/>
    </font>
    <font>
      <sz val="10"/>
      <name val="Arial"/>
      <family val="2"/>
    </font>
    <font>
      <i/>
      <sz val="8"/>
      <color rgb="FFFFFFFF"/>
      <name val="Arial"/>
      <family val="2"/>
    </font>
    <font>
      <b/>
      <sz val="11"/>
      <color rgb="FFE06666"/>
      <name val="Arial"/>
      <family val="2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i/>
      <sz val="11"/>
      <color rgb="FFFFFFFF"/>
      <name val="Calibri"/>
      <family val="2"/>
    </font>
    <font>
      <b/>
      <i/>
      <sz val="10"/>
      <color rgb="FF000000"/>
      <name val="Arial"/>
      <family val="2"/>
    </font>
    <font>
      <b/>
      <i/>
      <sz val="25"/>
      <color rgb="FFF9CB9C"/>
      <name val="Arial"/>
      <family val="2"/>
    </font>
    <font>
      <i/>
      <sz val="11"/>
      <color rgb="FFFFFFFF"/>
      <name val="Calibri"/>
      <family val="2"/>
    </font>
    <font>
      <b/>
      <u/>
      <sz val="15"/>
      <color rgb="FFFFFF00"/>
      <name val="Arial"/>
      <family val="2"/>
    </font>
    <font>
      <i/>
      <sz val="10"/>
      <color rgb="FF000000"/>
      <name val="Arial"/>
      <family val="2"/>
    </font>
    <font>
      <b/>
      <i/>
      <sz val="10"/>
      <color rgb="FFFFFFFF"/>
      <name val="Arial"/>
      <family val="2"/>
    </font>
    <font>
      <sz val="8"/>
      <color rgb="FFFFFFFF"/>
      <name val="Arial"/>
      <family val="2"/>
      <scheme val="minor"/>
    </font>
    <font>
      <i/>
      <sz val="8"/>
      <color rgb="FFFFFF00"/>
      <name val="Arial"/>
      <family val="2"/>
      <scheme val="minor"/>
    </font>
    <font>
      <sz val="9"/>
      <color rgb="FFFFFFFF"/>
      <name val="Calibri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sz val="9"/>
      <color theme="0"/>
      <name val="Calibri"/>
      <family val="2"/>
    </font>
    <font>
      <sz val="9"/>
      <color theme="1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21"/>
      <color rgb="FF073763"/>
      <name val="Arial"/>
      <family val="2"/>
      <scheme val="minor"/>
    </font>
    <font>
      <sz val="12"/>
      <color rgb="FFFFFFFF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9"/>
      <color rgb="FFFFFFFF"/>
      <name val="Arial"/>
      <family val="2"/>
      <scheme val="minor"/>
    </font>
    <font>
      <sz val="36"/>
      <color rgb="FFFFFFFF"/>
      <name val="Arial"/>
      <family val="2"/>
      <scheme val="minor"/>
    </font>
    <font>
      <sz val="21"/>
      <color rgb="FFFFFFFF"/>
      <name val="Arial"/>
      <family val="2"/>
      <scheme val="minor"/>
    </font>
    <font>
      <sz val="9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u/>
      <sz val="12"/>
      <color rgb="FFFFFFFF"/>
      <name val="Arial"/>
      <family val="2"/>
      <scheme val="minor"/>
    </font>
    <font>
      <sz val="18"/>
      <color theme="1"/>
      <name val="Arial"/>
      <family val="2"/>
      <scheme val="minor"/>
    </font>
    <font>
      <b/>
      <sz val="17"/>
      <color rgb="FFFFFFFF"/>
      <name val="Arial"/>
      <family val="2"/>
      <scheme val="minor"/>
    </font>
    <font>
      <i/>
      <sz val="9"/>
      <color rgb="FFFFFFFF"/>
      <name val="Arial"/>
      <family val="2"/>
      <scheme val="minor"/>
    </font>
    <font>
      <sz val="11"/>
      <color rgb="FF000000"/>
      <name val="Calibri"/>
      <family val="2"/>
    </font>
    <font>
      <sz val="18"/>
      <color rgb="FFFFFFFF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u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FFFF00"/>
      <name val="Arial"/>
      <family val="2"/>
    </font>
    <font>
      <sz val="9"/>
      <name val="Arial"/>
      <family val="2"/>
      <scheme val="minor"/>
    </font>
    <font>
      <b/>
      <sz val="12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351C75"/>
        <bgColor rgb="FF351C75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0000FF"/>
        <bgColor rgb="FF0000FF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0B5394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rgb="FF000000"/>
      </patternFill>
    </fill>
  </fills>
  <borders count="3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FFFFFF"/>
      </top>
      <bottom style="thick">
        <color rgb="FFFFFFFF"/>
      </bottom>
      <diagonal/>
    </border>
    <border>
      <left style="thin">
        <color rgb="FF000000"/>
      </left>
      <right/>
      <top style="thick">
        <color rgb="FFFFFFFF"/>
      </top>
      <bottom style="thick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73763"/>
      </bottom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3" fontId="9" fillId="2" borderId="1" xfId="0" applyNumberFormat="1" applyFont="1" applyFill="1" applyBorder="1" applyAlignment="1">
      <alignment horizontal="center" textRotation="90"/>
    </xf>
    <xf numFmtId="0" fontId="10" fillId="4" borderId="10" xfId="0" applyFont="1" applyFill="1" applyBorder="1" applyAlignment="1">
      <alignment horizontal="center" textRotation="90"/>
    </xf>
    <xf numFmtId="0" fontId="10" fillId="4" borderId="11" xfId="0" applyFont="1" applyFill="1" applyBorder="1" applyAlignment="1">
      <alignment horizontal="center" textRotation="90"/>
    </xf>
    <xf numFmtId="0" fontId="11" fillId="4" borderId="12" xfId="0" applyFont="1" applyFill="1" applyBorder="1" applyAlignment="1">
      <alignment horizontal="center"/>
    </xf>
    <xf numFmtId="0" fontId="12" fillId="4" borderId="12" xfId="0" applyFont="1" applyFill="1" applyBorder="1"/>
    <xf numFmtId="0" fontId="12" fillId="4" borderId="10" xfId="0" applyFont="1" applyFill="1" applyBorder="1"/>
    <xf numFmtId="10" fontId="13" fillId="2" borderId="1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 textRotation="90"/>
    </xf>
    <xf numFmtId="0" fontId="14" fillId="5" borderId="14" xfId="0" applyFont="1" applyFill="1" applyBorder="1" applyAlignment="1">
      <alignment horizontal="center" textRotation="90"/>
    </xf>
    <xf numFmtId="0" fontId="14" fillId="5" borderId="15" xfId="0" applyFont="1" applyFill="1" applyBorder="1" applyAlignment="1">
      <alignment horizontal="center" textRotation="90"/>
    </xf>
    <xf numFmtId="10" fontId="14" fillId="5" borderId="15" xfId="0" applyNumberFormat="1" applyFont="1" applyFill="1" applyBorder="1" applyAlignment="1">
      <alignment horizontal="center" textRotation="90"/>
    </xf>
    <xf numFmtId="3" fontId="14" fillId="5" borderId="14" xfId="0" applyNumberFormat="1" applyFont="1" applyFill="1" applyBorder="1" applyAlignment="1">
      <alignment horizontal="center" textRotation="90"/>
    </xf>
    <xf numFmtId="0" fontId="14" fillId="5" borderId="16" xfId="0" applyFont="1" applyFill="1" applyBorder="1" applyAlignment="1">
      <alignment horizontal="center" textRotation="90"/>
    </xf>
    <xf numFmtId="0" fontId="14" fillId="4" borderId="0" xfId="0" applyFont="1" applyFill="1" applyAlignment="1">
      <alignment horizontal="center" textRotation="90"/>
    </xf>
    <xf numFmtId="0" fontId="16" fillId="2" borderId="1" xfId="0" applyFont="1" applyFill="1" applyBorder="1" applyAlignment="1">
      <alignment horizontal="right" wrapText="1"/>
    </xf>
    <xf numFmtId="3" fontId="19" fillId="2" borderId="1" xfId="0" applyNumberFormat="1" applyFont="1" applyFill="1" applyBorder="1" applyAlignment="1">
      <alignment horizontal="right" wrapText="1"/>
    </xf>
    <xf numFmtId="0" fontId="23" fillId="2" borderId="5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5" fillId="4" borderId="23" xfId="0" applyFont="1" applyFill="1" applyBorder="1" applyAlignment="1">
      <alignment horizontal="center"/>
    </xf>
    <xf numFmtId="0" fontId="25" fillId="4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3" fontId="10" fillId="4" borderId="0" xfId="0" applyNumberFormat="1" applyFont="1" applyFill="1"/>
    <xf numFmtId="3" fontId="10" fillId="4" borderId="16" xfId="0" applyNumberFormat="1" applyFont="1" applyFill="1" applyBorder="1"/>
    <xf numFmtId="10" fontId="27" fillId="0" borderId="0" xfId="0" applyNumberFormat="1" applyFont="1" applyAlignment="1">
      <alignment horizontal="center"/>
    </xf>
    <xf numFmtId="0" fontId="27" fillId="0" borderId="14" xfId="0" applyFont="1" applyBorder="1" applyAlignment="1">
      <alignment horizontal="center"/>
    </xf>
    <xf numFmtId="10" fontId="27" fillId="0" borderId="15" xfId="0" applyNumberFormat="1" applyFont="1" applyBorder="1" applyAlignment="1">
      <alignment horizontal="center"/>
    </xf>
    <xf numFmtId="3" fontId="27" fillId="0" borderId="14" xfId="0" applyNumberFormat="1" applyFont="1" applyBorder="1" applyAlignment="1">
      <alignment horizontal="center"/>
    </xf>
    <xf numFmtId="9" fontId="27" fillId="0" borderId="15" xfId="0" applyNumberFormat="1" applyFont="1" applyBorder="1" applyAlignment="1">
      <alignment horizontal="center"/>
    </xf>
    <xf numFmtId="0" fontId="27" fillId="0" borderId="0" xfId="0" applyFont="1"/>
    <xf numFmtId="0" fontId="27" fillId="0" borderId="15" xfId="0" applyFont="1" applyBorder="1"/>
    <xf numFmtId="0" fontId="27" fillId="4" borderId="0" xfId="0" applyFont="1" applyFill="1"/>
    <xf numFmtId="10" fontId="27" fillId="10" borderId="0" xfId="0" applyNumberFormat="1" applyFont="1" applyFill="1"/>
    <xf numFmtId="0" fontId="27" fillId="10" borderId="0" xfId="0" applyFont="1" applyFill="1"/>
    <xf numFmtId="0" fontId="28" fillId="4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14" fontId="25" fillId="11" borderId="0" xfId="0" applyNumberFormat="1" applyFont="1" applyFill="1" applyAlignment="1">
      <alignment horizontal="center"/>
    </xf>
    <xf numFmtId="3" fontId="10" fillId="11" borderId="0" xfId="0" applyNumberFormat="1" applyFont="1" applyFill="1"/>
    <xf numFmtId="0" fontId="10" fillId="11" borderId="0" xfId="0" applyFont="1" applyFill="1" applyAlignment="1">
      <alignment horizontal="center"/>
    </xf>
    <xf numFmtId="14" fontId="25" fillId="4" borderId="0" xfId="0" applyNumberFormat="1" applyFont="1" applyFill="1" applyAlignment="1">
      <alignment horizontal="center"/>
    </xf>
    <xf numFmtId="10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10" fontId="30" fillId="0" borderId="15" xfId="0" applyNumberFormat="1" applyFont="1" applyBorder="1" applyAlignment="1">
      <alignment horizontal="center"/>
    </xf>
    <xf numFmtId="0" fontId="27" fillId="11" borderId="0" xfId="0" applyFont="1" applyFill="1"/>
    <xf numFmtId="0" fontId="27" fillId="0" borderId="14" xfId="0" applyFont="1" applyBorder="1"/>
    <xf numFmtId="10" fontId="31" fillId="0" borderId="15" xfId="0" applyNumberFormat="1" applyFont="1" applyBorder="1" applyAlignment="1">
      <alignment horizontal="center"/>
    </xf>
    <xf numFmtId="10" fontId="10" fillId="11" borderId="0" xfId="0" applyNumberFormat="1" applyFont="1" applyFill="1" applyAlignment="1">
      <alignment horizontal="center"/>
    </xf>
    <xf numFmtId="0" fontId="27" fillId="11" borderId="0" xfId="0" applyFont="1" applyFill="1" applyAlignment="1">
      <alignment horizontal="center"/>
    </xf>
    <xf numFmtId="0" fontId="27" fillId="11" borderId="14" xfId="0" applyFont="1" applyFill="1" applyBorder="1" applyAlignment="1">
      <alignment horizontal="center"/>
    </xf>
    <xf numFmtId="0" fontId="27" fillId="11" borderId="15" xfId="0" applyFont="1" applyFill="1" applyBorder="1" applyAlignment="1">
      <alignment horizontal="center"/>
    </xf>
    <xf numFmtId="10" fontId="27" fillId="11" borderId="15" xfId="0" applyNumberFormat="1" applyFont="1" applyFill="1" applyBorder="1" applyAlignment="1">
      <alignment horizontal="center"/>
    </xf>
    <xf numFmtId="3" fontId="27" fillId="11" borderId="14" xfId="0" applyNumberFormat="1" applyFont="1" applyFill="1" applyBorder="1" applyAlignment="1">
      <alignment horizontal="center"/>
    </xf>
    <xf numFmtId="0" fontId="27" fillId="11" borderId="15" xfId="0" applyFont="1" applyFill="1" applyBorder="1"/>
    <xf numFmtId="0" fontId="27" fillId="0" borderId="15" xfId="0" applyFont="1" applyBorder="1" applyAlignment="1">
      <alignment horizontal="center"/>
    </xf>
    <xf numFmtId="0" fontId="27" fillId="4" borderId="0" xfId="0" applyFont="1" applyFill="1" applyAlignment="1">
      <alignment horizontal="center"/>
    </xf>
    <xf numFmtId="0" fontId="27" fillId="4" borderId="14" xfId="0" applyFont="1" applyFill="1" applyBorder="1" applyAlignment="1">
      <alignment horizontal="center"/>
    </xf>
    <xf numFmtId="0" fontId="27" fillId="4" borderId="15" xfId="0" applyFont="1" applyFill="1" applyBorder="1" applyAlignment="1">
      <alignment horizontal="center"/>
    </xf>
    <xf numFmtId="10" fontId="27" fillId="4" borderId="15" xfId="0" applyNumberFormat="1" applyFont="1" applyFill="1" applyBorder="1" applyAlignment="1">
      <alignment horizontal="center"/>
    </xf>
    <xf numFmtId="3" fontId="27" fillId="4" borderId="14" xfId="0" applyNumberFormat="1" applyFont="1" applyFill="1" applyBorder="1" applyAlignment="1">
      <alignment horizontal="center"/>
    </xf>
    <xf numFmtId="0" fontId="27" fillId="4" borderId="15" xfId="0" applyFont="1" applyFill="1" applyBorder="1"/>
    <xf numFmtId="0" fontId="32" fillId="4" borderId="23" xfId="0" applyFont="1" applyFill="1" applyBorder="1"/>
    <xf numFmtId="14" fontId="29" fillId="0" borderId="0" xfId="0" applyNumberFormat="1" applyFont="1" applyAlignment="1">
      <alignment horizontal="center"/>
    </xf>
    <xf numFmtId="3" fontId="32" fillId="4" borderId="0" xfId="0" applyNumberFormat="1" applyFont="1" applyFill="1"/>
    <xf numFmtId="3" fontId="33" fillId="4" borderId="16" xfId="0" applyNumberFormat="1" applyFont="1" applyFill="1" applyBorder="1" applyAlignment="1">
      <alignment horizontal="right"/>
    </xf>
    <xf numFmtId="0" fontId="32" fillId="4" borderId="0" xfId="0" applyFont="1" applyFill="1"/>
    <xf numFmtId="0" fontId="32" fillId="12" borderId="0" xfId="0" applyFont="1" applyFill="1"/>
    <xf numFmtId="0" fontId="10" fillId="0" borderId="14" xfId="0" applyFont="1" applyBorder="1"/>
    <xf numFmtId="0" fontId="26" fillId="4" borderId="0" xfId="0" applyFont="1" applyFill="1" applyAlignment="1">
      <alignment horizontal="center"/>
    </xf>
    <xf numFmtId="0" fontId="31" fillId="4" borderId="0" xfId="0" applyFont="1" applyFill="1"/>
    <xf numFmtId="0" fontId="31" fillId="0" borderId="0" xfId="0" applyFont="1"/>
    <xf numFmtId="0" fontId="25" fillId="4" borderId="24" xfId="0" applyFont="1" applyFill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34" fillId="13" borderId="0" xfId="0" applyFont="1" applyFill="1" applyAlignment="1">
      <alignment horizontal="center"/>
    </xf>
    <xf numFmtId="4" fontId="35" fillId="2" borderId="0" xfId="0" applyNumberFormat="1" applyFont="1" applyFill="1" applyAlignment="1">
      <alignment horizontal="center"/>
    </xf>
    <xf numFmtId="4" fontId="36" fillId="2" borderId="0" xfId="0" applyNumberFormat="1" applyFont="1" applyFill="1" applyAlignment="1">
      <alignment horizontal="center"/>
    </xf>
    <xf numFmtId="3" fontId="37" fillId="14" borderId="0" xfId="0" applyNumberFormat="1" applyFont="1" applyFill="1"/>
    <xf numFmtId="4" fontId="38" fillId="2" borderId="20" xfId="0" applyNumberFormat="1" applyFont="1" applyFill="1" applyBorder="1" applyAlignment="1">
      <alignment horizontal="center"/>
    </xf>
    <xf numFmtId="0" fontId="42" fillId="15" borderId="27" xfId="0" applyFont="1" applyFill="1" applyBorder="1" applyAlignment="1">
      <alignment horizontal="center" wrapText="1"/>
    </xf>
    <xf numFmtId="0" fontId="42" fillId="15" borderId="28" xfId="0" applyFont="1" applyFill="1" applyBorder="1" applyAlignment="1">
      <alignment horizontal="center" wrapText="1"/>
    </xf>
    <xf numFmtId="10" fontId="42" fillId="15" borderId="28" xfId="0" applyNumberFormat="1" applyFont="1" applyFill="1" applyBorder="1" applyAlignment="1">
      <alignment horizontal="center" wrapText="1"/>
    </xf>
    <xf numFmtId="0" fontId="25" fillId="15" borderId="28" xfId="0" applyFont="1" applyFill="1" applyBorder="1" applyAlignment="1">
      <alignment horizontal="center" wrapText="1"/>
    </xf>
    <xf numFmtId="3" fontId="42" fillId="2" borderId="28" xfId="0" applyNumberFormat="1" applyFont="1" applyFill="1" applyBorder="1" applyAlignment="1">
      <alignment horizontal="center" wrapText="1"/>
    </xf>
    <xf numFmtId="3" fontId="42" fillId="2" borderId="29" xfId="0" applyNumberFormat="1" applyFont="1" applyFill="1" applyBorder="1" applyAlignment="1">
      <alignment horizontal="center" wrapText="1"/>
    </xf>
    <xf numFmtId="3" fontId="42" fillId="2" borderId="26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43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center" wrapText="1"/>
    </xf>
    <xf numFmtId="0" fontId="43" fillId="0" borderId="0" xfId="0" applyFont="1"/>
    <xf numFmtId="3" fontId="43" fillId="16" borderId="26" xfId="0" applyNumberFormat="1" applyFont="1" applyFill="1" applyBorder="1"/>
    <xf numFmtId="164" fontId="43" fillId="16" borderId="0" xfId="0" applyNumberFormat="1" applyFont="1" applyFill="1"/>
    <xf numFmtId="3" fontId="43" fillId="2" borderId="26" xfId="0" applyNumberFormat="1" applyFont="1" applyFill="1" applyBorder="1"/>
    <xf numFmtId="3" fontId="43" fillId="2" borderId="25" xfId="0" applyNumberFormat="1" applyFont="1" applyFill="1" applyBorder="1"/>
    <xf numFmtId="0" fontId="44" fillId="0" borderId="0" xfId="0" applyFont="1" applyAlignment="1">
      <alignment horizontal="center"/>
    </xf>
    <xf numFmtId="14" fontId="0" fillId="17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0" fontId="43" fillId="17" borderId="0" xfId="0" applyNumberFormat="1" applyFont="1" applyFill="1" applyAlignment="1">
      <alignment horizontal="center"/>
    </xf>
    <xf numFmtId="0" fontId="43" fillId="17" borderId="0" xfId="0" applyFont="1" applyFill="1" applyAlignment="1">
      <alignment horizontal="center"/>
    </xf>
    <xf numFmtId="0" fontId="43" fillId="17" borderId="0" xfId="0" applyFont="1" applyFill="1" applyAlignment="1">
      <alignment horizontal="center" wrapText="1"/>
    </xf>
    <xf numFmtId="0" fontId="43" fillId="17" borderId="0" xfId="0" applyFont="1" applyFill="1"/>
    <xf numFmtId="14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0" fontId="43" fillId="18" borderId="0" xfId="0" applyNumberFormat="1" applyFont="1" applyFill="1" applyAlignment="1">
      <alignment horizontal="center"/>
    </xf>
    <xf numFmtId="0" fontId="43" fillId="18" borderId="0" xfId="0" applyFont="1" applyFill="1" applyAlignment="1">
      <alignment horizontal="center"/>
    </xf>
    <xf numFmtId="0" fontId="43" fillId="18" borderId="0" xfId="0" applyFont="1" applyFill="1" applyAlignment="1">
      <alignment horizontal="center" wrapText="1"/>
    </xf>
    <xf numFmtId="0" fontId="43" fillId="18" borderId="0" xfId="0" applyFont="1" applyFill="1"/>
    <xf numFmtId="10" fontId="45" fillId="0" borderId="0" xfId="0" applyNumberFormat="1" applyFont="1" applyAlignment="1">
      <alignment horizontal="center"/>
    </xf>
    <xf numFmtId="0" fontId="43" fillId="0" borderId="0" xfId="0" applyFont="1" applyAlignment="1">
      <alignment wrapText="1"/>
    </xf>
    <xf numFmtId="14" fontId="0" fillId="19" borderId="0" xfId="0" applyNumberFormat="1" applyFill="1" applyAlignment="1">
      <alignment horizontal="center"/>
    </xf>
    <xf numFmtId="0" fontId="0" fillId="19" borderId="0" xfId="0" applyFill="1" applyAlignment="1">
      <alignment horizontal="center"/>
    </xf>
    <xf numFmtId="10" fontId="43" fillId="19" borderId="0" xfId="0" applyNumberFormat="1" applyFont="1" applyFill="1" applyAlignment="1">
      <alignment horizontal="center"/>
    </xf>
    <xf numFmtId="0" fontId="43" fillId="19" borderId="0" xfId="0" applyFont="1" applyFill="1" applyAlignment="1">
      <alignment horizontal="center"/>
    </xf>
    <xf numFmtId="0" fontId="43" fillId="19" borderId="0" xfId="0" applyFont="1" applyFill="1" applyAlignment="1">
      <alignment horizontal="center" wrapText="1"/>
    </xf>
    <xf numFmtId="0" fontId="43" fillId="19" borderId="0" xfId="0" applyFont="1" applyFill="1"/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4" fontId="43" fillId="16" borderId="0" xfId="0" applyNumberFormat="1" applyFont="1" applyFill="1"/>
    <xf numFmtId="4" fontId="43" fillId="2" borderId="26" xfId="0" applyNumberFormat="1" applyFont="1" applyFill="1" applyBorder="1"/>
    <xf numFmtId="4" fontId="43" fillId="2" borderId="25" xfId="0" applyNumberFormat="1" applyFont="1" applyFill="1" applyBorder="1"/>
    <xf numFmtId="3" fontId="43" fillId="16" borderId="30" xfId="0" applyNumberFormat="1" applyFont="1" applyFill="1" applyBorder="1"/>
    <xf numFmtId="4" fontId="43" fillId="16" borderId="31" xfId="0" applyNumberFormat="1" applyFont="1" applyFill="1" applyBorder="1"/>
    <xf numFmtId="4" fontId="43" fillId="2" borderId="30" xfId="0" applyNumberFormat="1" applyFont="1" applyFill="1" applyBorder="1"/>
    <xf numFmtId="4" fontId="43" fillId="2" borderId="32" xfId="0" applyNumberFormat="1" applyFont="1" applyFill="1" applyBorder="1"/>
    <xf numFmtId="3" fontId="42" fillId="2" borderId="33" xfId="0" applyNumberFormat="1" applyFont="1" applyFill="1" applyBorder="1" applyAlignment="1">
      <alignment horizontal="center" wrapText="1"/>
    </xf>
    <xf numFmtId="3" fontId="32" fillId="14" borderId="31" xfId="0" applyNumberFormat="1" applyFont="1" applyFill="1" applyBorder="1" applyAlignment="1">
      <alignment horizontal="right"/>
    </xf>
    <xf numFmtId="0" fontId="37" fillId="14" borderId="0" xfId="0" applyFont="1" applyFill="1"/>
    <xf numFmtId="0" fontId="43" fillId="0" borderId="0" xfId="0" applyFont="1" applyAlignment="1">
      <alignment horizontal="right" wrapText="1"/>
    </xf>
    <xf numFmtId="0" fontId="32" fillId="13" borderId="0" xfId="0" applyFont="1" applyFill="1"/>
    <xf numFmtId="4" fontId="32" fillId="2" borderId="0" xfId="0" applyNumberFormat="1" applyFont="1" applyFill="1"/>
    <xf numFmtId="4" fontId="32" fillId="2" borderId="31" xfId="0" applyNumberFormat="1" applyFont="1" applyFill="1" applyBorder="1"/>
    <xf numFmtId="14" fontId="0" fillId="20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  <xf numFmtId="10" fontId="43" fillId="20" borderId="0" xfId="0" applyNumberFormat="1" applyFont="1" applyFill="1" applyAlignment="1">
      <alignment horizontal="center"/>
    </xf>
    <xf numFmtId="0" fontId="43" fillId="20" borderId="0" xfId="0" applyFont="1" applyFill="1" applyAlignment="1">
      <alignment horizontal="center"/>
    </xf>
    <xf numFmtId="0" fontId="43" fillId="20" borderId="0" xfId="0" applyFont="1" applyFill="1" applyAlignment="1">
      <alignment horizontal="center" wrapText="1"/>
    </xf>
    <xf numFmtId="0" fontId="43" fillId="20" borderId="0" xfId="0" applyFont="1" applyFill="1"/>
    <xf numFmtId="0" fontId="44" fillId="12" borderId="0" xfId="0" applyFont="1" applyFill="1" applyAlignment="1">
      <alignment horizontal="center"/>
    </xf>
    <xf numFmtId="10" fontId="43" fillId="12" borderId="0" xfId="0" applyNumberFormat="1" applyFont="1" applyFill="1" applyAlignment="1">
      <alignment horizontal="center"/>
    </xf>
    <xf numFmtId="0" fontId="43" fillId="14" borderId="0" xfId="0" applyFont="1" applyFill="1" applyAlignment="1">
      <alignment horizontal="center"/>
    </xf>
    <xf numFmtId="10" fontId="43" fillId="21" borderId="0" xfId="0" applyNumberFormat="1" applyFont="1" applyFill="1" applyAlignment="1">
      <alignment horizontal="center"/>
    </xf>
    <xf numFmtId="9" fontId="43" fillId="0" borderId="0" xfId="0" applyNumberFormat="1" applyFont="1" applyAlignment="1">
      <alignment horizontal="center"/>
    </xf>
    <xf numFmtId="10" fontId="43" fillId="0" borderId="0" xfId="0" applyNumberFormat="1" applyFont="1"/>
    <xf numFmtId="0" fontId="47" fillId="22" borderId="7" xfId="0" applyFont="1" applyFill="1" applyBorder="1"/>
    <xf numFmtId="0" fontId="47" fillId="2" borderId="0" xfId="0" applyFont="1" applyFill="1"/>
    <xf numFmtId="0" fontId="47" fillId="2" borderId="20" xfId="0" applyFont="1" applyFill="1" applyBorder="1"/>
    <xf numFmtId="0" fontId="43" fillId="2" borderId="21" xfId="0" applyFont="1" applyFill="1" applyBorder="1"/>
    <xf numFmtId="0" fontId="47" fillId="2" borderId="21" xfId="0" applyFont="1" applyFill="1" applyBorder="1" applyAlignment="1">
      <alignment horizontal="center"/>
    </xf>
    <xf numFmtId="0" fontId="47" fillId="2" borderId="22" xfId="0" applyFont="1" applyFill="1" applyBorder="1" applyAlignment="1">
      <alignment horizontal="center"/>
    </xf>
    <xf numFmtId="0" fontId="48" fillId="2" borderId="0" xfId="0" applyFont="1" applyFill="1" applyAlignment="1">
      <alignment horizontal="center" wrapText="1"/>
    </xf>
    <xf numFmtId="0" fontId="49" fillId="2" borderId="20" xfId="0" applyFont="1" applyFill="1" applyBorder="1" applyAlignment="1">
      <alignment horizontal="center" wrapText="1"/>
    </xf>
    <xf numFmtId="0" fontId="49" fillId="23" borderId="20" xfId="0" applyFont="1" applyFill="1" applyBorder="1" applyAlignment="1">
      <alignment horizontal="center" wrapText="1"/>
    </xf>
    <xf numFmtId="0" fontId="49" fillId="2" borderId="21" xfId="0" applyFont="1" applyFill="1" applyBorder="1" applyAlignment="1">
      <alignment horizontal="center" wrapText="1"/>
    </xf>
    <xf numFmtId="0" fontId="49" fillId="2" borderId="22" xfId="0" applyFont="1" applyFill="1" applyBorder="1" applyAlignment="1">
      <alignment horizontal="center" wrapText="1"/>
    </xf>
    <xf numFmtId="0" fontId="49" fillId="2" borderId="0" xfId="0" applyFont="1" applyFill="1" applyAlignment="1">
      <alignment horizontal="center" wrapText="1"/>
    </xf>
    <xf numFmtId="0" fontId="49" fillId="24" borderId="26" xfId="0" applyFont="1" applyFill="1" applyBorder="1" applyAlignment="1">
      <alignment horizontal="center" wrapText="1"/>
    </xf>
    <xf numFmtId="0" fontId="49" fillId="24" borderId="0" xfId="0" applyFont="1" applyFill="1" applyAlignment="1">
      <alignment horizontal="center" wrapText="1"/>
    </xf>
    <xf numFmtId="0" fontId="49" fillId="23" borderId="0" xfId="0" applyFont="1" applyFill="1" applyAlignment="1">
      <alignment horizontal="center" wrapText="1"/>
    </xf>
    <xf numFmtId="0" fontId="49" fillId="24" borderId="25" xfId="0" applyFont="1" applyFill="1" applyBorder="1" applyAlignment="1">
      <alignment horizontal="center" wrapText="1"/>
    </xf>
    <xf numFmtId="14" fontId="0" fillId="25" borderId="0" xfId="0" applyNumberFormat="1" applyFill="1" applyAlignment="1">
      <alignment horizontal="center"/>
    </xf>
    <xf numFmtId="0" fontId="43" fillId="25" borderId="26" xfId="0" applyFont="1" applyFill="1" applyBorder="1" applyAlignment="1">
      <alignment horizontal="center"/>
    </xf>
    <xf numFmtId="0" fontId="43" fillId="25" borderId="0" xfId="0" applyFont="1" applyFill="1" applyAlignment="1">
      <alignment horizontal="center"/>
    </xf>
    <xf numFmtId="0" fontId="43" fillId="25" borderId="25" xfId="0" applyFont="1" applyFill="1" applyBorder="1" applyAlignment="1">
      <alignment horizontal="center"/>
    </xf>
    <xf numFmtId="0" fontId="50" fillId="2" borderId="0" xfId="0" applyFont="1" applyFill="1" applyAlignment="1">
      <alignment horizontal="right"/>
    </xf>
    <xf numFmtId="0" fontId="50" fillId="0" borderId="26" xfId="0" applyFont="1" applyBorder="1" applyAlignment="1">
      <alignment horizontal="right"/>
    </xf>
    <xf numFmtId="0" fontId="50" fillId="0" borderId="0" xfId="0" applyFont="1" applyAlignment="1">
      <alignment horizontal="right"/>
    </xf>
    <xf numFmtId="0" fontId="50" fillId="0" borderId="0" xfId="0" applyFont="1"/>
    <xf numFmtId="10" fontId="43" fillId="0" borderId="25" xfId="0" applyNumberFormat="1" applyFont="1" applyBorder="1" applyAlignment="1">
      <alignment horizontal="center"/>
    </xf>
    <xf numFmtId="0" fontId="43" fillId="17" borderId="26" xfId="0" applyFont="1" applyFill="1" applyBorder="1" applyAlignment="1">
      <alignment horizontal="center"/>
    </xf>
    <xf numFmtId="0" fontId="43" fillId="18" borderId="26" xfId="0" applyFont="1" applyFill="1" applyBorder="1" applyAlignment="1">
      <alignment horizontal="center"/>
    </xf>
    <xf numFmtId="14" fontId="50" fillId="2" borderId="0" xfId="0" applyNumberFormat="1" applyFont="1" applyFill="1" applyAlignment="1">
      <alignment horizontal="right"/>
    </xf>
    <xf numFmtId="0" fontId="43" fillId="0" borderId="25" xfId="0" applyFont="1" applyBorder="1" applyAlignment="1">
      <alignment horizontal="center"/>
    </xf>
    <xf numFmtId="14" fontId="50" fillId="0" borderId="26" xfId="0" applyNumberFormat="1" applyFont="1" applyBorder="1" applyAlignment="1">
      <alignment horizontal="right"/>
    </xf>
    <xf numFmtId="14" fontId="50" fillId="0" borderId="0" xfId="0" applyNumberFormat="1" applyFont="1" applyAlignment="1">
      <alignment horizontal="right"/>
    </xf>
    <xf numFmtId="0" fontId="43" fillId="19" borderId="26" xfId="0" applyFont="1" applyFill="1" applyBorder="1" applyAlignment="1">
      <alignment horizontal="center"/>
    </xf>
    <xf numFmtId="14" fontId="12" fillId="25" borderId="0" xfId="0" applyNumberFormat="1" applyFont="1" applyFill="1" applyAlignment="1">
      <alignment horizontal="center"/>
    </xf>
    <xf numFmtId="0" fontId="43" fillId="2" borderId="0" xfId="0" applyFont="1" applyFill="1"/>
    <xf numFmtId="0" fontId="43" fillId="0" borderId="26" xfId="0" applyFont="1" applyBorder="1"/>
    <xf numFmtId="0" fontId="51" fillId="23" borderId="0" xfId="0" applyFont="1" applyFill="1" applyAlignment="1">
      <alignment horizontal="center"/>
    </xf>
    <xf numFmtId="10" fontId="51" fillId="23" borderId="0" xfId="0" applyNumberFormat="1" applyFont="1" applyFill="1" applyAlignment="1">
      <alignment horizontal="center"/>
    </xf>
    <xf numFmtId="0" fontId="52" fillId="2" borderId="0" xfId="0" applyFont="1" applyFill="1"/>
    <xf numFmtId="0" fontId="43" fillId="0" borderId="7" xfId="0" applyFont="1" applyBorder="1"/>
    <xf numFmtId="0" fontId="43" fillId="0" borderId="34" xfId="0" applyFont="1" applyBorder="1"/>
    <xf numFmtId="0" fontId="53" fillId="24" borderId="0" xfId="0" applyFont="1" applyFill="1" applyAlignment="1">
      <alignment horizontal="center"/>
    </xf>
    <xf numFmtId="0" fontId="54" fillId="24" borderId="0" xfId="0" applyFont="1" applyFill="1" applyAlignment="1">
      <alignment horizontal="center" wrapText="1"/>
    </xf>
    <xf numFmtId="10" fontId="54" fillId="24" borderId="0" xfId="0" applyNumberFormat="1" applyFont="1" applyFill="1" applyAlignment="1">
      <alignment horizontal="center" wrapText="1"/>
    </xf>
    <xf numFmtId="0" fontId="12" fillId="2" borderId="0" xfId="0" applyFont="1" applyFill="1"/>
    <xf numFmtId="0" fontId="55" fillId="2" borderId="34" xfId="0" applyFont="1" applyFill="1" applyBorder="1" applyAlignment="1">
      <alignment horizontal="center"/>
    </xf>
    <xf numFmtId="10" fontId="32" fillId="0" borderId="0" xfId="0" applyNumberFormat="1" applyFont="1" applyAlignment="1">
      <alignment horizontal="center"/>
    </xf>
    <xf numFmtId="10" fontId="43" fillId="0" borderId="34" xfId="0" applyNumberFormat="1" applyFont="1" applyBorder="1"/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43" fillId="26" borderId="0" xfId="0" applyFont="1" applyFill="1"/>
    <xf numFmtId="0" fontId="43" fillId="0" borderId="13" xfId="0" applyFont="1" applyBorder="1"/>
    <xf numFmtId="0" fontId="53" fillId="2" borderId="0" xfId="0" applyFont="1" applyFill="1" applyAlignment="1">
      <alignment horizontal="center"/>
    </xf>
    <xf numFmtId="0" fontId="54" fillId="2" borderId="0" xfId="0" applyFont="1" applyFill="1" applyAlignment="1">
      <alignment horizontal="center" wrapText="1"/>
    </xf>
    <xf numFmtId="0" fontId="25" fillId="11" borderId="0" xfId="0" applyFont="1" applyFill="1" applyAlignment="1">
      <alignment horizontal="center"/>
    </xf>
    <xf numFmtId="0" fontId="0" fillId="0" borderId="0" xfId="0"/>
    <xf numFmtId="0" fontId="25" fillId="4" borderId="0" xfId="0" applyFont="1" applyFill="1" applyAlignment="1">
      <alignment horizontal="center"/>
    </xf>
    <xf numFmtId="164" fontId="8" fillId="3" borderId="5" xfId="0" applyNumberFormat="1" applyFont="1" applyFill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15" fillId="5" borderId="0" xfId="0" applyFont="1" applyFill="1" applyAlignment="1">
      <alignment horizontal="left" wrapText="1"/>
    </xf>
    <xf numFmtId="10" fontId="18" fillId="2" borderId="0" xfId="0" applyNumberFormat="1" applyFont="1" applyFill="1" applyAlignment="1">
      <alignment horizontal="center"/>
    </xf>
    <xf numFmtId="0" fontId="6" fillId="0" borderId="14" xfId="0" applyFont="1" applyBorder="1"/>
    <xf numFmtId="10" fontId="17" fillId="6" borderId="17" xfId="0" applyNumberFormat="1" applyFont="1" applyFill="1" applyBorder="1" applyAlignment="1">
      <alignment horizontal="center"/>
    </xf>
    <xf numFmtId="0" fontId="6" fillId="0" borderId="18" xfId="0" applyFont="1" applyBorder="1"/>
    <xf numFmtId="0" fontId="21" fillId="9" borderId="19" xfId="0" applyFont="1" applyFill="1" applyBorder="1" applyAlignment="1">
      <alignment horizontal="center"/>
    </xf>
    <xf numFmtId="164" fontId="7" fillId="3" borderId="5" xfId="0" applyNumberFormat="1" applyFont="1" applyFill="1" applyBorder="1" applyAlignment="1">
      <alignment horizontal="center"/>
    </xf>
    <xf numFmtId="10" fontId="17" fillId="6" borderId="5" xfId="0" applyNumberFormat="1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6" fillId="0" borderId="8" xfId="0" applyFont="1" applyBorder="1"/>
    <xf numFmtId="3" fontId="19" fillId="2" borderId="20" xfId="0" applyNumberFormat="1" applyFont="1" applyFill="1" applyBorder="1" applyAlignment="1">
      <alignment horizontal="right" wrapText="1"/>
    </xf>
    <xf numFmtId="0" fontId="6" fillId="0" borderId="21" xfId="0" applyFont="1" applyBorder="1"/>
    <xf numFmtId="0" fontId="6" fillId="0" borderId="22" xfId="0" applyFont="1" applyBorder="1"/>
    <xf numFmtId="3" fontId="22" fillId="4" borderId="5" xfId="0" applyNumberFormat="1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3" fontId="19" fillId="2" borderId="2" xfId="0" applyNumberFormat="1" applyFont="1" applyFill="1" applyBorder="1" applyAlignment="1">
      <alignment horizontal="right" wrapText="1"/>
    </xf>
    <xf numFmtId="0" fontId="6" fillId="0" borderId="3" xfId="0" applyFont="1" applyBorder="1"/>
    <xf numFmtId="0" fontId="6" fillId="0" borderId="4" xfId="0" applyFont="1" applyBorder="1"/>
    <xf numFmtId="0" fontId="21" fillId="9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4" fontId="5" fillId="2" borderId="2" xfId="0" applyNumberFormat="1" applyFont="1" applyFill="1" applyBorder="1" applyAlignment="1">
      <alignment horizontal="right"/>
    </xf>
    <xf numFmtId="10" fontId="11" fillId="4" borderId="9" xfId="0" applyNumberFormat="1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/>
    </xf>
    <xf numFmtId="3" fontId="9" fillId="2" borderId="7" xfId="0" applyNumberFormat="1" applyFont="1" applyFill="1" applyBorder="1" applyAlignment="1">
      <alignment horizontal="center" textRotation="90"/>
    </xf>
    <xf numFmtId="0" fontId="6" fillId="0" borderId="13" xfId="0" applyFont="1" applyBorder="1"/>
    <xf numFmtId="0" fontId="21" fillId="8" borderId="5" xfId="0" applyFont="1" applyFill="1" applyBorder="1" applyAlignment="1">
      <alignment horizontal="center"/>
    </xf>
    <xf numFmtId="0" fontId="20" fillId="7" borderId="17" xfId="0" applyFont="1" applyFill="1" applyBorder="1" applyAlignment="1">
      <alignment horizontal="center"/>
    </xf>
    <xf numFmtId="0" fontId="6" fillId="0" borderId="17" xfId="0" applyFont="1" applyBorder="1"/>
    <xf numFmtId="0" fontId="16" fillId="2" borderId="2" xfId="0" applyFont="1" applyFill="1" applyBorder="1" applyAlignment="1">
      <alignment horizontal="right" wrapText="1"/>
    </xf>
    <xf numFmtId="3" fontId="16" fillId="2" borderId="2" xfId="0" applyNumberFormat="1" applyFont="1" applyFill="1" applyBorder="1" applyAlignment="1">
      <alignment horizontal="right" wrapText="1"/>
    </xf>
    <xf numFmtId="0" fontId="34" fillId="13" borderId="0" xfId="0" applyFont="1" applyFill="1" applyAlignment="1">
      <alignment horizontal="center"/>
    </xf>
    <xf numFmtId="4" fontId="35" fillId="2" borderId="0" xfId="0" applyNumberFormat="1" applyFont="1" applyFill="1" applyAlignment="1">
      <alignment horizontal="center"/>
    </xf>
    <xf numFmtId="0" fontId="6" fillId="0" borderId="25" xfId="0" applyFont="1" applyBorder="1"/>
    <xf numFmtId="4" fontId="35" fillId="2" borderId="22" xfId="0" applyNumberFormat="1" applyFont="1" applyFill="1" applyBorder="1" applyAlignment="1">
      <alignment horizontal="center" wrapText="1"/>
    </xf>
    <xf numFmtId="165" fontId="39" fillId="2" borderId="0" xfId="0" applyNumberFormat="1" applyFont="1" applyFill="1" applyAlignment="1">
      <alignment horizontal="center"/>
    </xf>
    <xf numFmtId="9" fontId="40" fillId="2" borderId="26" xfId="0" applyNumberFormat="1" applyFont="1" applyFill="1" applyBorder="1" applyAlignment="1">
      <alignment horizontal="center"/>
    </xf>
    <xf numFmtId="0" fontId="6" fillId="0" borderId="26" xfId="0" applyFont="1" applyBorder="1"/>
    <xf numFmtId="4" fontId="35" fillId="2" borderId="0" xfId="0" applyNumberFormat="1" applyFont="1" applyFill="1" applyAlignment="1">
      <alignment horizontal="center" wrapText="1"/>
    </xf>
    <xf numFmtId="164" fontId="41" fillId="2" borderId="0" xfId="0" applyNumberFormat="1" applyFont="1" applyFill="1" applyAlignment="1">
      <alignment horizontal="center" wrapText="1"/>
    </xf>
    <xf numFmtId="4" fontId="38" fillId="2" borderId="20" xfId="0" applyNumberFormat="1" applyFont="1" applyFill="1" applyBorder="1" applyAlignment="1">
      <alignment horizontal="center"/>
    </xf>
    <xf numFmtId="165" fontId="39" fillId="2" borderId="26" xfId="0" applyNumberFormat="1" applyFont="1" applyFill="1" applyBorder="1" applyAlignment="1">
      <alignment horizontal="center"/>
    </xf>
    <xf numFmtId="4" fontId="46" fillId="2" borderId="26" xfId="0" applyNumberFormat="1" applyFont="1" applyFill="1" applyBorder="1" applyAlignment="1">
      <alignment horizontal="center" wrapText="1"/>
    </xf>
    <xf numFmtId="164" fontId="41" fillId="2" borderId="30" xfId="0" applyNumberFormat="1" applyFont="1" applyFill="1" applyBorder="1" applyAlignment="1">
      <alignment horizontal="center" wrapText="1"/>
    </xf>
    <xf numFmtId="0" fontId="6" fillId="0" borderId="32" xfId="0" applyFont="1" applyBorder="1"/>
    <xf numFmtId="0" fontId="47" fillId="22" borderId="20" xfId="0" applyFont="1" applyFill="1" applyBorder="1" applyAlignment="1">
      <alignment horizontal="center"/>
    </xf>
    <xf numFmtId="0" fontId="48" fillId="2" borderId="26" xfId="0" applyFont="1" applyFill="1" applyBorder="1" applyAlignment="1">
      <alignment horizontal="center" wrapText="1"/>
    </xf>
    <xf numFmtId="0" fontId="48" fillId="2" borderId="0" xfId="0" applyFont="1" applyFill="1" applyAlignment="1">
      <alignment horizontal="center" wrapText="1"/>
    </xf>
    <xf numFmtId="0" fontId="51" fillId="23" borderId="0" xfId="0" applyFont="1" applyFill="1" applyAlignment="1">
      <alignment horizontal="center"/>
    </xf>
    <xf numFmtId="0" fontId="51" fillId="24" borderId="0" xfId="0" applyFont="1" applyFill="1" applyAlignment="1">
      <alignment horizontal="center"/>
    </xf>
    <xf numFmtId="0" fontId="59" fillId="27" borderId="27" xfId="0" applyFont="1" applyFill="1" applyBorder="1" applyAlignment="1">
      <alignment horizontal="center" wrapText="1"/>
    </xf>
    <xf numFmtId="0" fontId="59" fillId="27" borderId="28" xfId="0" applyFont="1" applyFill="1" applyBorder="1" applyAlignment="1">
      <alignment horizontal="center" wrapText="1"/>
    </xf>
    <xf numFmtId="10" fontId="59" fillId="27" borderId="28" xfId="0" applyNumberFormat="1" applyFont="1" applyFill="1" applyBorder="1" applyAlignment="1">
      <alignment horizontal="center" wrapText="1"/>
    </xf>
    <xf numFmtId="3" fontId="59" fillId="28" borderId="28" xfId="0" applyNumberFormat="1" applyFont="1" applyFill="1" applyBorder="1" applyAlignment="1">
      <alignment horizontal="center" wrapText="1"/>
    </xf>
    <xf numFmtId="3" fontId="42" fillId="29" borderId="29" xfId="0" applyNumberFormat="1" applyFont="1" applyFill="1" applyBorder="1" applyAlignment="1">
      <alignment horizontal="center" wrapText="1"/>
    </xf>
    <xf numFmtId="3" fontId="42" fillId="29" borderId="26" xfId="0" applyNumberFormat="1" applyFont="1" applyFill="1" applyBorder="1" applyAlignment="1">
      <alignment horizontal="center" wrapText="1"/>
    </xf>
    <xf numFmtId="4" fontId="60" fillId="29" borderId="22" xfId="0" applyNumberFormat="1" applyFont="1" applyFill="1" applyBorder="1" applyAlignment="1">
      <alignment horizontal="center" wrapText="1"/>
    </xf>
    <xf numFmtId="4" fontId="57" fillId="30" borderId="22" xfId="0" applyNumberFormat="1" applyFont="1" applyFill="1" applyBorder="1" applyAlignment="1">
      <alignment horizontal="center" wrapText="1"/>
    </xf>
    <xf numFmtId="4" fontId="35" fillId="30" borderId="25" xfId="0" applyNumberFormat="1" applyFont="1" applyFill="1" applyBorder="1" applyAlignment="1">
      <alignment horizontal="center" wrapText="1"/>
    </xf>
    <xf numFmtId="3" fontId="43" fillId="31" borderId="26" xfId="0" applyNumberFormat="1" applyFont="1" applyFill="1" applyBorder="1"/>
    <xf numFmtId="3" fontId="43" fillId="31" borderId="25" xfId="0" applyNumberFormat="1" applyFont="1" applyFill="1" applyBorder="1"/>
  </cellXfs>
  <cellStyles count="1">
    <cellStyle name="Normal" xfId="0" builtinId="0"/>
  </cellStyles>
  <dxfs count="61"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ont>
        <i/>
        <color rgb="FFFF0000"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CC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1924.pdp.esc4.net/index.php/studentCustom/lowAttendanceReport2/student?year=2025&amp;campusID=All&amp;grade=All&amp;sEth=All&amp;spop=0&amp;rePer=all&amp;aPer=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  <pageSetUpPr fitToPage="1"/>
  </sheetPr>
  <dimension ref="A1:AL220"/>
  <sheetViews>
    <sheetView workbookViewId="0">
      <pane ySplit="11" topLeftCell="A12" activePane="bottomLeft" state="frozen"/>
      <selection pane="bottomLeft" activeCell="H5" sqref="H5:AL10"/>
    </sheetView>
  </sheetViews>
  <sheetFormatPr defaultColWidth="12.5703125" defaultRowHeight="15.75" customHeight="1" x14ac:dyDescent="0.2"/>
  <cols>
    <col min="1" max="1" width="1.85546875" customWidth="1"/>
    <col min="2" max="2" width="5.5703125" customWidth="1"/>
    <col min="3" max="3" width="5.42578125" customWidth="1"/>
    <col min="4" max="5" width="9.28515625" customWidth="1"/>
    <col min="6" max="7" width="6.5703125" customWidth="1"/>
    <col min="8" max="8" width="8.5703125" bestFit="1" customWidth="1"/>
    <col min="9" max="9" width="4.42578125" bestFit="1" customWidth="1"/>
    <col min="10" max="10" width="8.5703125" bestFit="1" customWidth="1"/>
    <col min="11" max="11" width="6" bestFit="1" customWidth="1"/>
    <col min="12" max="12" width="8.5703125" bestFit="1" customWidth="1"/>
    <col min="13" max="13" width="4.42578125" bestFit="1" customWidth="1"/>
    <col min="14" max="14" width="8.5703125" bestFit="1" customWidth="1"/>
    <col min="15" max="15" width="4.42578125" bestFit="1" customWidth="1"/>
    <col min="16" max="16" width="8.5703125" bestFit="1" customWidth="1"/>
    <col min="17" max="17" width="4.42578125" bestFit="1" customWidth="1"/>
    <col min="18" max="18" width="8.5703125" bestFit="1" customWidth="1"/>
    <col min="19" max="19" width="4.42578125" bestFit="1" customWidth="1"/>
    <col min="20" max="20" width="8.5703125" bestFit="1" customWidth="1"/>
    <col min="21" max="21" width="4.42578125" bestFit="1" customWidth="1"/>
    <col min="22" max="22" width="8.5703125" bestFit="1" customWidth="1"/>
    <col min="23" max="23" width="4.42578125" customWidth="1"/>
    <col min="24" max="24" width="8.5703125" bestFit="1" customWidth="1"/>
    <col min="25" max="25" width="5.28515625" customWidth="1"/>
    <col min="26" max="26" width="8.5703125" bestFit="1" customWidth="1"/>
    <col min="27" max="27" width="5.7109375" customWidth="1"/>
    <col min="28" max="28" width="8.5703125" bestFit="1" customWidth="1"/>
    <col min="29" max="29" width="5.140625" customWidth="1"/>
    <col min="30" max="30" width="8.5703125" bestFit="1" customWidth="1"/>
    <col min="31" max="31" width="5.85546875" customWidth="1"/>
    <col min="32" max="32" width="7.140625" customWidth="1"/>
    <col min="33" max="33" width="6" customWidth="1"/>
    <col min="34" max="34" width="3" customWidth="1"/>
    <col min="35" max="35" width="7.28515625" customWidth="1"/>
    <col min="36" max="36" width="1" customWidth="1"/>
    <col min="37" max="37" width="8" customWidth="1"/>
    <col min="38" max="38" width="18.42578125" customWidth="1"/>
  </cols>
  <sheetData>
    <row r="1" spans="1:38" ht="30" x14ac:dyDescent="0.4">
      <c r="A1" s="1" t="s">
        <v>0</v>
      </c>
      <c r="B1" s="1"/>
      <c r="C1" s="1"/>
      <c r="D1" s="1"/>
      <c r="E1" s="1"/>
      <c r="F1" s="2"/>
      <c r="G1" s="2"/>
      <c r="H1" s="230" t="s">
        <v>1</v>
      </c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3"/>
      <c r="AI1" s="3"/>
      <c r="AJ1" s="4"/>
      <c r="AK1" s="4"/>
      <c r="AL1" s="4"/>
    </row>
    <row r="2" spans="1:38" ht="20.25" customHeight="1" x14ac:dyDescent="0.25">
      <c r="A2" s="231" t="s">
        <v>2</v>
      </c>
      <c r="B2" s="227"/>
      <c r="C2" s="227"/>
      <c r="D2" s="227"/>
      <c r="E2" s="227"/>
      <c r="F2" s="227"/>
      <c r="G2" s="228"/>
      <c r="H2" s="217">
        <f>CE!H3</f>
        <v>127930.14850000001</v>
      </c>
      <c r="I2" s="210"/>
      <c r="J2" s="217">
        <f>GE!H3</f>
        <v>165234.24500000002</v>
      </c>
      <c r="K2" s="210"/>
      <c r="L2" s="217">
        <f>ME!H3</f>
        <v>170567.28699999998</v>
      </c>
      <c r="M2" s="210"/>
      <c r="N2" s="217">
        <f>SAMPLE!H3</f>
        <v>149891.1777</v>
      </c>
      <c r="O2" s="210"/>
      <c r="P2" s="217">
        <f>'Sheldon Elementary'!E3</f>
        <v>158482.72550000003</v>
      </c>
      <c r="Q2" s="210"/>
      <c r="R2" s="217">
        <f>SLE!H3</f>
        <v>218997.97150000004</v>
      </c>
      <c r="S2" s="210"/>
      <c r="T2" s="217">
        <f>CECA!H3</f>
        <v>219810.99799999991</v>
      </c>
      <c r="U2" s="210"/>
      <c r="V2" s="217">
        <f>SECA!H3</f>
        <v>234562.56449999992</v>
      </c>
      <c r="W2" s="210"/>
      <c r="X2" s="217">
        <f>KHS!H3</f>
        <v>863403.91775000014</v>
      </c>
      <c r="Y2" s="210"/>
      <c r="Z2" s="217">
        <f>'9TH CAMP'!H3</f>
        <v>190510.47950000004</v>
      </c>
      <c r="AA2" s="210"/>
      <c r="AB2" s="217">
        <f>ECHS!H3</f>
        <v>85247.4755</v>
      </c>
      <c r="AC2" s="210"/>
      <c r="AD2" s="217">
        <f>KMS!H3</f>
        <v>318273.85150000005</v>
      </c>
      <c r="AE2" s="210"/>
      <c r="AF2" s="217">
        <f>NMS!H3</f>
        <v>306724.0055000002</v>
      </c>
      <c r="AG2" s="210"/>
      <c r="AH2" s="208">
        <f>SUM(H2:AG2)</f>
        <v>3209636.8474500002</v>
      </c>
      <c r="AI2" s="209"/>
      <c r="AJ2" s="209"/>
      <c r="AK2" s="209"/>
      <c r="AL2" s="210"/>
    </row>
    <row r="3" spans="1:38" ht="33" customHeight="1" x14ac:dyDescent="0.2">
      <c r="A3" s="5"/>
      <c r="B3" s="5"/>
      <c r="C3" s="5"/>
      <c r="D3" s="5"/>
      <c r="E3" s="5"/>
      <c r="F3" s="6"/>
      <c r="G3" s="235"/>
      <c r="H3" s="234" t="s">
        <v>3</v>
      </c>
      <c r="I3" s="220"/>
      <c r="J3" s="219" t="s">
        <v>4</v>
      </c>
      <c r="K3" s="220"/>
      <c r="L3" s="219" t="s">
        <v>5</v>
      </c>
      <c r="M3" s="220"/>
      <c r="N3" s="219" t="s">
        <v>6</v>
      </c>
      <c r="O3" s="220"/>
      <c r="P3" s="219" t="s">
        <v>7</v>
      </c>
      <c r="Q3" s="220"/>
      <c r="R3" s="219" t="s">
        <v>8</v>
      </c>
      <c r="S3" s="220"/>
      <c r="T3" s="219" t="s">
        <v>9</v>
      </c>
      <c r="U3" s="220"/>
      <c r="V3" s="232" t="s">
        <v>10</v>
      </c>
      <c r="W3" s="220"/>
      <c r="X3" s="219" t="s">
        <v>11</v>
      </c>
      <c r="Y3" s="220"/>
      <c r="Z3" s="233" t="s">
        <v>12</v>
      </c>
      <c r="AA3" s="220"/>
      <c r="AB3" s="219" t="s">
        <v>13</v>
      </c>
      <c r="AC3" s="220"/>
      <c r="AD3" s="219" t="s">
        <v>14</v>
      </c>
      <c r="AE3" s="220"/>
      <c r="AF3" s="219" t="s">
        <v>15</v>
      </c>
      <c r="AG3" s="210"/>
      <c r="AH3" s="7" t="s">
        <v>16</v>
      </c>
      <c r="AI3" s="8" t="s">
        <v>17</v>
      </c>
      <c r="AJ3" s="9"/>
      <c r="AK3" s="10"/>
      <c r="AL3" s="11"/>
    </row>
    <row r="4" spans="1:38" ht="42.75" x14ac:dyDescent="0.25">
      <c r="A4" s="12"/>
      <c r="B4" s="12"/>
      <c r="C4" s="12"/>
      <c r="D4" s="12"/>
      <c r="E4" s="12"/>
      <c r="F4" s="6"/>
      <c r="G4" s="236"/>
      <c r="H4" s="13" t="s">
        <v>18</v>
      </c>
      <c r="I4" s="14" t="s">
        <v>19</v>
      </c>
      <c r="J4" s="15" t="s">
        <v>18</v>
      </c>
      <c r="K4" s="14" t="s">
        <v>19</v>
      </c>
      <c r="L4" s="15" t="s">
        <v>18</v>
      </c>
      <c r="M4" s="14" t="s">
        <v>19</v>
      </c>
      <c r="N4" s="15" t="s">
        <v>18</v>
      </c>
      <c r="O4" s="14" t="s">
        <v>19</v>
      </c>
      <c r="P4" s="15" t="s">
        <v>18</v>
      </c>
      <c r="Q4" s="14" t="s">
        <v>19</v>
      </c>
      <c r="R4" s="15" t="s">
        <v>18</v>
      </c>
      <c r="S4" s="14" t="s">
        <v>19</v>
      </c>
      <c r="T4" s="15" t="s">
        <v>18</v>
      </c>
      <c r="U4" s="14" t="s">
        <v>19</v>
      </c>
      <c r="V4" s="16" t="s">
        <v>18</v>
      </c>
      <c r="W4" s="14" t="s">
        <v>19</v>
      </c>
      <c r="X4" s="15" t="s">
        <v>18</v>
      </c>
      <c r="Y4" s="17" t="s">
        <v>19</v>
      </c>
      <c r="Z4" s="16" t="s">
        <v>18</v>
      </c>
      <c r="AA4" s="14" t="s">
        <v>19</v>
      </c>
      <c r="AB4" s="15" t="s">
        <v>18</v>
      </c>
      <c r="AC4" s="14" t="s">
        <v>19</v>
      </c>
      <c r="AD4" s="15" t="s">
        <v>18</v>
      </c>
      <c r="AE4" s="14" t="s">
        <v>19</v>
      </c>
      <c r="AF4" s="15" t="s">
        <v>18</v>
      </c>
      <c r="AG4" s="18" t="s">
        <v>19</v>
      </c>
      <c r="AH4" s="14" t="s">
        <v>19</v>
      </c>
      <c r="AI4" s="15" t="s">
        <v>19</v>
      </c>
      <c r="AJ4" s="19"/>
      <c r="AK4" s="211" t="s">
        <v>20</v>
      </c>
      <c r="AL4" s="206"/>
    </row>
    <row r="5" spans="1:38" ht="13.5" x14ac:dyDescent="0.25">
      <c r="A5" s="240" t="s">
        <v>21</v>
      </c>
      <c r="B5" s="227"/>
      <c r="C5" s="227"/>
      <c r="D5" s="227"/>
      <c r="E5" s="227"/>
      <c r="F5" s="227"/>
      <c r="G5" s="228"/>
      <c r="H5" s="218">
        <f t="shared" ref="H5:O5" si="0">AVERAGE(H12:H163)</f>
        <v>0.91180887096774221</v>
      </c>
      <c r="I5" s="210"/>
      <c r="J5" s="218">
        <f t="shared" ref="J5:O5" si="1">AVERAGE(J12:J163)</f>
        <v>0.92102704918032774</v>
      </c>
      <c r="K5" s="210"/>
      <c r="L5" s="218">
        <f t="shared" ref="L5:O5" si="2">AVERAGE(L12:L163)</f>
        <v>0.92915245901639376</v>
      </c>
      <c r="M5" s="210"/>
      <c r="N5" s="218">
        <f t="shared" ref="N5:O5" si="3">AVERAGE(N12:N163)</f>
        <v>0.93357729508196718</v>
      </c>
      <c r="O5" s="210"/>
      <c r="P5" s="218">
        <f>AVERAGE(P12:P163)</f>
        <v>0.93017377049180305</v>
      </c>
      <c r="Q5" s="210"/>
      <c r="R5" s="218">
        <f t="shared" ref="R5:AG5" si="4">AVERAGE(R12:R163)</f>
        <v>0.93403360655737711</v>
      </c>
      <c r="S5" s="210"/>
      <c r="T5" s="218">
        <f t="shared" ref="T5:AG5" si="5">AVERAGE(T12:T163)</f>
        <v>0.90461639344262257</v>
      </c>
      <c r="U5" s="210"/>
      <c r="V5" s="218">
        <f t="shared" ref="V5:AG5" si="6">AVERAGE(V12:V163)</f>
        <v>0.89872131147540957</v>
      </c>
      <c r="W5" s="210"/>
      <c r="X5" s="218">
        <f t="shared" ref="X5:AG5" si="7">AVERAGE(X12:X163)</f>
        <v>0.90274918032786866</v>
      </c>
      <c r="Y5" s="210"/>
      <c r="Z5" s="218">
        <f t="shared" ref="Z5:AG5" si="8">AVERAGE(Z12:Z163)</f>
        <v>0.91959344262295106</v>
      </c>
      <c r="AA5" s="210"/>
      <c r="AB5" s="218">
        <f t="shared" ref="AB5:AG5" si="9">AVERAGE(AB12:AB163)</f>
        <v>0.91640079365079385</v>
      </c>
      <c r="AC5" s="210"/>
      <c r="AD5" s="218">
        <f t="shared" ref="AD5:AG5" si="10">AVERAGE(AD12:AD163)</f>
        <v>0.9351311475409837</v>
      </c>
      <c r="AE5" s="210"/>
      <c r="AF5" s="218">
        <f t="shared" ref="AF5:AG5" si="11">AVERAGE(AF12:AF163)</f>
        <v>0.9181352459016392</v>
      </c>
      <c r="AG5" s="210"/>
      <c r="AH5" s="212">
        <f>AVERAGE(H5:AG5)</f>
        <v>0.9196246589429139</v>
      </c>
      <c r="AI5" s="206"/>
      <c r="AJ5" s="206"/>
      <c r="AK5" s="206"/>
      <c r="AL5" s="213"/>
    </row>
    <row r="6" spans="1:38" ht="15" x14ac:dyDescent="0.25">
      <c r="A6" s="20"/>
      <c r="B6" s="20"/>
      <c r="C6" s="20"/>
      <c r="D6" s="20"/>
      <c r="E6" s="20"/>
      <c r="F6" s="240" t="s">
        <v>22</v>
      </c>
      <c r="G6" s="228"/>
      <c r="H6" s="214"/>
      <c r="I6" s="215"/>
      <c r="J6" s="214"/>
      <c r="K6" s="215"/>
      <c r="L6" s="214"/>
      <c r="M6" s="215"/>
      <c r="N6" s="214"/>
      <c r="O6" s="215"/>
      <c r="P6" s="214"/>
      <c r="Q6" s="215"/>
      <c r="R6" s="214"/>
      <c r="S6" s="215"/>
      <c r="T6" s="214"/>
      <c r="U6" s="215"/>
      <c r="V6" s="214"/>
      <c r="W6" s="215"/>
      <c r="X6" s="214"/>
      <c r="Y6" s="215"/>
      <c r="Z6" s="214"/>
      <c r="AA6" s="215"/>
      <c r="AB6" s="214"/>
      <c r="AC6" s="215"/>
      <c r="AD6" s="214"/>
      <c r="AE6" s="215"/>
      <c r="AF6" s="214"/>
      <c r="AG6" s="215"/>
      <c r="AH6" s="206"/>
      <c r="AI6" s="206"/>
      <c r="AJ6" s="206"/>
      <c r="AK6" s="206"/>
      <c r="AL6" s="213"/>
    </row>
    <row r="7" spans="1:38" ht="30.75" customHeight="1" x14ac:dyDescent="0.3">
      <c r="A7" s="21"/>
      <c r="B7" s="21"/>
      <c r="C7" s="21"/>
      <c r="D7" s="21"/>
      <c r="E7" s="21"/>
      <c r="F7" s="21"/>
      <c r="G7" s="21"/>
      <c r="H7" s="238" t="s">
        <v>23</v>
      </c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15"/>
      <c r="AH7" s="206"/>
      <c r="AI7" s="206"/>
      <c r="AJ7" s="206"/>
      <c r="AK7" s="206"/>
      <c r="AL7" s="213"/>
    </row>
    <row r="8" spans="1:38" ht="13.5" x14ac:dyDescent="0.25">
      <c r="A8" s="241" t="s">
        <v>24</v>
      </c>
      <c r="B8" s="227"/>
      <c r="C8" s="227"/>
      <c r="D8" s="227"/>
      <c r="E8" s="227"/>
      <c r="F8" s="227"/>
      <c r="G8" s="228"/>
      <c r="H8" s="237">
        <f>COUNTIF(H12:H178,"&lt;94%")</f>
        <v>46</v>
      </c>
      <c r="I8" s="210"/>
      <c r="J8" s="237">
        <f>COUNTIF(J12:J178,"&lt;94%")</f>
        <v>50</v>
      </c>
      <c r="K8" s="210"/>
      <c r="L8" s="237">
        <f>COUNTIF(L12:L178,"&lt;94%")</f>
        <v>52</v>
      </c>
      <c r="M8" s="210"/>
      <c r="N8" s="237">
        <f>COUNTIF(N12:N178,"&lt;94%")</f>
        <v>36</v>
      </c>
      <c r="O8" s="210"/>
      <c r="P8" s="237">
        <f>COUNTIF(P12:P178,"&lt;94%")</f>
        <v>46</v>
      </c>
      <c r="Q8" s="210"/>
      <c r="R8" s="237">
        <f>COUNTIF(R12:R178,"&lt;94%")</f>
        <v>45</v>
      </c>
      <c r="S8" s="210"/>
      <c r="T8" s="237">
        <f>COUNTIF(T12:T178,"&lt;94%")</f>
        <v>103</v>
      </c>
      <c r="U8" s="210"/>
      <c r="V8" s="237">
        <f>COUNTIF(V12:V178,"&lt;94%")</f>
        <v>112</v>
      </c>
      <c r="W8" s="210"/>
      <c r="X8" s="237">
        <f>COUNTIF(X12:X178,"&lt;94%")</f>
        <v>88</v>
      </c>
      <c r="Y8" s="210"/>
      <c r="Z8" s="237">
        <f>COUNTIF(Z12:Z178,"&lt;94%")</f>
        <v>75</v>
      </c>
      <c r="AA8" s="210"/>
      <c r="AB8" s="237">
        <f>COUNTIF(AB12:AB178,"&lt;94%")</f>
        <v>26</v>
      </c>
      <c r="AC8" s="210"/>
      <c r="AD8" s="237">
        <f>COUNTIF(AD12:AD178,"&lt;94%")</f>
        <v>26</v>
      </c>
      <c r="AE8" s="210"/>
      <c r="AF8" s="237">
        <f>COUNTIF(AF12:AF178,"&lt;94%")</f>
        <v>48</v>
      </c>
      <c r="AG8" s="210"/>
      <c r="AH8" s="206"/>
      <c r="AI8" s="206"/>
      <c r="AJ8" s="206"/>
      <c r="AK8" s="206"/>
      <c r="AL8" s="213"/>
    </row>
    <row r="9" spans="1:38" ht="13.5" x14ac:dyDescent="0.25">
      <c r="A9" s="226" t="s">
        <v>25</v>
      </c>
      <c r="B9" s="227"/>
      <c r="C9" s="227"/>
      <c r="D9" s="227"/>
      <c r="E9" s="227"/>
      <c r="F9" s="227"/>
      <c r="G9" s="228"/>
      <c r="H9" s="229">
        <f>COUNTIF(H12:H179,"&lt;90%")</f>
        <v>19</v>
      </c>
      <c r="I9" s="210"/>
      <c r="J9" s="216">
        <f>COUNTIF(J12:J179,"&lt;90%")</f>
        <v>22</v>
      </c>
      <c r="K9" s="210"/>
      <c r="L9" s="216">
        <f>COUNTIF(L12:L179,"&lt;90%")</f>
        <v>22</v>
      </c>
      <c r="M9" s="210"/>
      <c r="N9" s="216">
        <f>COUNTIF(N12:N179,"&lt;90%")</f>
        <v>18</v>
      </c>
      <c r="O9" s="210"/>
      <c r="P9" s="216">
        <f>COUNTIF(P12:P179,"&lt;90%")</f>
        <v>19</v>
      </c>
      <c r="Q9" s="210"/>
      <c r="R9" s="216">
        <f>COUNTIF(R12:R179,"&lt;90%")</f>
        <v>15</v>
      </c>
      <c r="S9" s="210"/>
      <c r="T9" s="216">
        <f>COUNTIF(T12:T179,"&lt;90%")</f>
        <v>29</v>
      </c>
      <c r="U9" s="210"/>
      <c r="V9" s="216">
        <f>COUNTIF(V12:V179,"&lt;90%")</f>
        <v>43</v>
      </c>
      <c r="W9" s="210"/>
      <c r="X9" s="216">
        <f>COUNTIF(X12:X179,"&lt;90%")</f>
        <v>21</v>
      </c>
      <c r="Y9" s="210"/>
      <c r="Z9" s="216">
        <f>COUNTIF(Z12:Z179,"&lt;90%")</f>
        <v>22</v>
      </c>
      <c r="AA9" s="210"/>
      <c r="AB9" s="216">
        <f>COUNTIF(AB12:AB179,"&lt;90%")</f>
        <v>18</v>
      </c>
      <c r="AC9" s="210"/>
      <c r="AD9" s="216">
        <f>COUNTIF(AD12:AD179,"&lt;90%")</f>
        <v>16</v>
      </c>
      <c r="AE9" s="210"/>
      <c r="AF9" s="216">
        <f>COUNTIF(AF12:AF179,"&lt;90%")</f>
        <v>22</v>
      </c>
      <c r="AG9" s="210"/>
      <c r="AH9" s="206"/>
      <c r="AI9" s="206"/>
      <c r="AJ9" s="206"/>
      <c r="AK9" s="206"/>
      <c r="AL9" s="213"/>
    </row>
    <row r="10" spans="1:38" ht="13.5" x14ac:dyDescent="0.25">
      <c r="A10" s="221" t="s">
        <v>26</v>
      </c>
      <c r="B10" s="222"/>
      <c r="C10" s="222"/>
      <c r="D10" s="222"/>
      <c r="E10" s="222"/>
      <c r="F10" s="222"/>
      <c r="G10" s="223"/>
      <c r="H10" s="224">
        <f>B220</f>
        <v>76500</v>
      </c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10"/>
      <c r="AH10" s="206"/>
      <c r="AI10" s="206"/>
      <c r="AJ10" s="206"/>
      <c r="AK10" s="206"/>
      <c r="AL10" s="213"/>
    </row>
    <row r="11" spans="1:38" ht="12.75" x14ac:dyDescent="0.2">
      <c r="A11" s="225" t="s">
        <v>27</v>
      </c>
      <c r="B11" s="209"/>
      <c r="C11" s="22" t="s">
        <v>28</v>
      </c>
      <c r="D11" s="22" t="s">
        <v>29</v>
      </c>
      <c r="E11" s="22" t="s">
        <v>30</v>
      </c>
      <c r="F11" s="22"/>
      <c r="G11" s="23" t="s">
        <v>31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2"/>
      <c r="AI11" s="22"/>
      <c r="AJ11" s="22"/>
      <c r="AK11" s="22"/>
      <c r="AL11" s="23"/>
    </row>
    <row r="12" spans="1:38" ht="12.75" x14ac:dyDescent="0.2">
      <c r="A12" s="25"/>
      <c r="B12" s="26">
        <v>450</v>
      </c>
      <c r="C12" s="27" t="s">
        <v>32</v>
      </c>
      <c r="D12" s="28">
        <v>45516</v>
      </c>
      <c r="E12" s="27" t="s">
        <v>33</v>
      </c>
      <c r="F12" s="29"/>
      <c r="G12" s="30">
        <f t="shared" ref="G12:G26" si="12">I12+K12+M12+O12+Q12+S12+U12+W12+Y12+AA12+AC12+AE12+AG12+AI12+AH12</f>
        <v>9729</v>
      </c>
      <c r="H12" s="31">
        <f>CE!C7</f>
        <v>1</v>
      </c>
      <c r="I12" s="32">
        <f>CE!G7</f>
        <v>486</v>
      </c>
      <c r="J12" s="33">
        <f>GE!C7</f>
        <v>1</v>
      </c>
      <c r="K12" s="32">
        <f>GE!G7</f>
        <v>549</v>
      </c>
      <c r="L12" s="33">
        <f>ME!C7</f>
        <v>1</v>
      </c>
      <c r="M12" s="32">
        <f>ME!G7</f>
        <v>560</v>
      </c>
      <c r="N12" s="33">
        <f>SAMPLE!C7</f>
        <v>1</v>
      </c>
      <c r="O12" s="32">
        <f>SAMPLE!G7</f>
        <v>536</v>
      </c>
      <c r="P12" s="33">
        <f>'Sheldon Elementary'!C7</f>
        <v>1</v>
      </c>
      <c r="Q12" s="32">
        <f>'Sheldon Elementary'!D7</f>
        <v>558</v>
      </c>
      <c r="R12" s="33">
        <f>SLE!C7</f>
        <v>1</v>
      </c>
      <c r="S12" s="32">
        <f>SLE!G7</f>
        <v>585</v>
      </c>
      <c r="T12" s="33">
        <f>CECA!C7</f>
        <v>1</v>
      </c>
      <c r="U12" s="32">
        <f>CECA!G7</f>
        <v>472</v>
      </c>
      <c r="V12" s="33">
        <f>SECA!C7</f>
        <v>1</v>
      </c>
      <c r="W12" s="32">
        <f>SECA!G7</f>
        <v>464</v>
      </c>
      <c r="X12" s="33">
        <f>KHS!C7</f>
        <v>1</v>
      </c>
      <c r="Y12" s="34">
        <f>KHS!G7</f>
        <v>2360</v>
      </c>
      <c r="Z12" s="33">
        <f>'9TH CAMP'!C7</f>
        <v>1</v>
      </c>
      <c r="AA12" s="34">
        <f>'9TH CAMP'!G7</f>
        <v>524</v>
      </c>
      <c r="AB12" s="33">
        <f>ECHS!C7</f>
        <v>1</v>
      </c>
      <c r="AC12" s="32">
        <f>ECHS!G7</f>
        <v>438</v>
      </c>
      <c r="AD12" s="33">
        <f>KMS!C7</f>
        <v>1</v>
      </c>
      <c r="AE12" s="32">
        <f>KMS!G7</f>
        <v>1213</v>
      </c>
      <c r="AF12" s="35">
        <f>NMS!C7</f>
        <v>1</v>
      </c>
      <c r="AG12" s="32">
        <f>NMS!G7</f>
        <v>924</v>
      </c>
      <c r="AH12" s="36">
        <f>Highpoint!C6</f>
        <v>0</v>
      </c>
      <c r="AI12" s="37">
        <f>KASE!D4</f>
        <v>60</v>
      </c>
      <c r="AJ12" s="38"/>
      <c r="AK12" s="39">
        <f t="shared" ref="AK12:AK220" si="13">AVERAGE(H12,J12,L12,N12,P12,R12,T12,V12,X12,Z12,AB12,AD12,AF12)</f>
        <v>1</v>
      </c>
      <c r="AL12" s="40"/>
    </row>
    <row r="13" spans="1:38" ht="12.75" x14ac:dyDescent="0.2">
      <c r="A13" s="25"/>
      <c r="B13" s="41">
        <f t="shared" ref="B13:B26" si="14">B12+450</f>
        <v>900</v>
      </c>
      <c r="C13" s="27" t="s">
        <v>34</v>
      </c>
      <c r="D13" s="28">
        <v>45517</v>
      </c>
      <c r="E13" s="27" t="s">
        <v>35</v>
      </c>
      <c r="F13" s="29"/>
      <c r="G13" s="30">
        <f t="shared" si="12"/>
        <v>10084</v>
      </c>
      <c r="H13" s="31">
        <f>CE!C8</f>
        <v>0.998</v>
      </c>
      <c r="I13" s="32">
        <f>CE!G8</f>
        <v>501</v>
      </c>
      <c r="J13" s="33">
        <f>GE!C8</f>
        <v>0.99650000000000005</v>
      </c>
      <c r="K13" s="32">
        <f>GE!G8</f>
        <v>571</v>
      </c>
      <c r="L13" s="33">
        <f>ME!C8</f>
        <v>0.99480000000000002</v>
      </c>
      <c r="M13" s="32">
        <f>ME!G8</f>
        <v>581</v>
      </c>
      <c r="N13" s="33">
        <f>SAMPLE!C8</f>
        <v>0.99109999999999998</v>
      </c>
      <c r="O13" s="32">
        <f>SAMPLE!G8</f>
        <v>559</v>
      </c>
      <c r="P13" s="33">
        <f>'Sheldon Elementary'!C8</f>
        <v>0.98780000000000001</v>
      </c>
      <c r="Q13" s="32">
        <f>'Sheldon Elementary'!D8</f>
        <v>572</v>
      </c>
      <c r="R13" s="33">
        <f>SLE!C8</f>
        <v>0.98129999999999995</v>
      </c>
      <c r="S13" s="32">
        <f>SLE!G8</f>
        <v>591</v>
      </c>
      <c r="T13" s="33">
        <f>CECA!C8</f>
        <v>0.98729999999999996</v>
      </c>
      <c r="U13" s="32">
        <f>CECA!G8</f>
        <v>485</v>
      </c>
      <c r="V13" s="33">
        <f>SECA!C8</f>
        <v>0.98860000000000003</v>
      </c>
      <c r="W13" s="32">
        <f>SECA!G8</f>
        <v>487</v>
      </c>
      <c r="X13" s="33">
        <f>KHS!C8</f>
        <v>0.97960000000000003</v>
      </c>
      <c r="Y13" s="34">
        <f>KHS!G8</f>
        <v>2447</v>
      </c>
      <c r="Z13" s="33">
        <f>'9TH CAMP'!C8</f>
        <v>0.97599999999999998</v>
      </c>
      <c r="AA13" s="34">
        <f>'9TH CAMP'!G8</f>
        <v>541</v>
      </c>
      <c r="AB13" s="33">
        <f>ECHS!C8</f>
        <v>0.99109999999999998</v>
      </c>
      <c r="AC13" s="32">
        <f>ECHS!G8</f>
        <v>449</v>
      </c>
      <c r="AD13" s="33">
        <f>KMS!C8</f>
        <v>0.98509999999999998</v>
      </c>
      <c r="AE13" s="32">
        <f>KMS!G8</f>
        <v>1271</v>
      </c>
      <c r="AF13" s="33">
        <f>NMS!C8</f>
        <v>0.96679999999999999</v>
      </c>
      <c r="AG13" s="32">
        <f>NMS!G8</f>
        <v>964</v>
      </c>
      <c r="AH13" s="36">
        <f>Highpoint!C7</f>
        <v>0</v>
      </c>
      <c r="AI13" s="37">
        <f>KASE!D5</f>
        <v>65</v>
      </c>
      <c r="AJ13" s="38"/>
      <c r="AK13" s="39">
        <f t="shared" si="13"/>
        <v>0.98646153846153828</v>
      </c>
      <c r="AL13" s="40"/>
    </row>
    <row r="14" spans="1:38" ht="12.75" x14ac:dyDescent="0.2">
      <c r="A14" s="25"/>
      <c r="B14" s="41">
        <f t="shared" si="14"/>
        <v>1350</v>
      </c>
      <c r="C14" s="27" t="s">
        <v>36</v>
      </c>
      <c r="D14" s="28">
        <v>45518</v>
      </c>
      <c r="E14" s="27" t="s">
        <v>37</v>
      </c>
      <c r="F14" s="29"/>
      <c r="G14" s="30">
        <f t="shared" si="12"/>
        <v>10300</v>
      </c>
      <c r="H14" s="31">
        <f>CE!C9</f>
        <v>0.99419999999999997</v>
      </c>
      <c r="I14" s="32">
        <f>CE!G9</f>
        <v>514</v>
      </c>
      <c r="J14" s="33">
        <f>GE!C9</f>
        <v>0.98260000000000003</v>
      </c>
      <c r="K14" s="32">
        <f>GE!G9</f>
        <v>575</v>
      </c>
      <c r="L14" s="33">
        <f>ME!C9</f>
        <v>0.99150000000000005</v>
      </c>
      <c r="M14" s="32">
        <f>ME!G9</f>
        <v>589</v>
      </c>
      <c r="N14" s="33">
        <f>SAMPLE!C9</f>
        <v>0.97719999999999996</v>
      </c>
      <c r="O14" s="32">
        <f>SAMPLE!G9</f>
        <v>570</v>
      </c>
      <c r="P14" s="33">
        <f>'Sheldon Elementary'!C9</f>
        <v>0.97570000000000001</v>
      </c>
      <c r="Q14" s="32">
        <f>'Sheldon Elementary'!D9</f>
        <v>577</v>
      </c>
      <c r="R14" s="33">
        <f>SLE!C9</f>
        <v>0.98319999999999996</v>
      </c>
      <c r="S14" s="32">
        <f>SLE!G9</f>
        <v>599</v>
      </c>
      <c r="T14" s="33">
        <f>CECA!C9</f>
        <v>0.98880000000000001</v>
      </c>
      <c r="U14" s="32">
        <f>CECA!G9</f>
        <v>493</v>
      </c>
      <c r="V14" s="33">
        <f>SECA!C9</f>
        <v>0.98089999999999999</v>
      </c>
      <c r="W14" s="32">
        <f>SECA!G9</f>
        <v>495</v>
      </c>
      <c r="X14" s="33">
        <f>KHS!C9</f>
        <v>0.97260000000000002</v>
      </c>
      <c r="Y14" s="34">
        <f>KHS!G9</f>
        <v>2520</v>
      </c>
      <c r="Z14" s="33">
        <f>'9TH CAMP'!C9</f>
        <v>0.98770000000000002</v>
      </c>
      <c r="AA14" s="34">
        <f>'9TH CAMP'!G9</f>
        <v>571</v>
      </c>
      <c r="AB14" s="33">
        <f>ECHS!C9</f>
        <v>0.97340000000000004</v>
      </c>
      <c r="AC14" s="32">
        <f>ECHS!G9</f>
        <v>451</v>
      </c>
      <c r="AD14" s="33">
        <f>KMS!C9</f>
        <v>0.98299999999999998</v>
      </c>
      <c r="AE14" s="32">
        <f>KMS!G9</f>
        <v>1293</v>
      </c>
      <c r="AF14" s="33">
        <f>NMS!C9</f>
        <v>0.96950000000000003</v>
      </c>
      <c r="AG14" s="32">
        <f>NMS!G9</f>
        <v>986</v>
      </c>
      <c r="AH14" s="36">
        <f>Highpoint!C8</f>
        <v>0</v>
      </c>
      <c r="AI14" s="37">
        <f>KASE!D6</f>
        <v>67</v>
      </c>
      <c r="AJ14" s="38"/>
      <c r="AK14" s="39">
        <f t="shared" si="13"/>
        <v>0.98156153846153849</v>
      </c>
      <c r="AL14" s="40"/>
    </row>
    <row r="15" spans="1:38" ht="12.75" x14ac:dyDescent="0.2">
      <c r="A15" s="25"/>
      <c r="B15" s="41">
        <f t="shared" si="14"/>
        <v>1800</v>
      </c>
      <c r="C15" s="27" t="s">
        <v>38</v>
      </c>
      <c r="D15" s="28">
        <v>45519</v>
      </c>
      <c r="E15" s="27" t="s">
        <v>39</v>
      </c>
      <c r="F15" s="29"/>
      <c r="G15" s="30">
        <f t="shared" si="12"/>
        <v>9874</v>
      </c>
      <c r="H15" s="31">
        <f>CE!C10</f>
        <v>0</v>
      </c>
      <c r="I15" s="32">
        <f>CE!G10</f>
        <v>0</v>
      </c>
      <c r="J15" s="33">
        <f>GE!C10</f>
        <v>0.98609999999999998</v>
      </c>
      <c r="K15" s="32">
        <f>GE!G10</f>
        <v>576</v>
      </c>
      <c r="L15" s="33">
        <f>ME!C10</f>
        <v>0.98150000000000004</v>
      </c>
      <c r="M15" s="32">
        <f>ME!G10</f>
        <v>594</v>
      </c>
      <c r="N15" s="33">
        <f>SAMPLE!C10</f>
        <v>0.97740000000000005</v>
      </c>
      <c r="O15" s="32">
        <f>SAMPLE!G10</f>
        <v>576</v>
      </c>
      <c r="P15" s="33">
        <f>'Sheldon Elementary'!C10</f>
        <v>0.97430000000000005</v>
      </c>
      <c r="Q15" s="32">
        <f>'Sheldon Elementary'!D10</f>
        <v>583</v>
      </c>
      <c r="R15" s="33">
        <f>SLE!C10</f>
        <v>0.98499999999999999</v>
      </c>
      <c r="S15" s="32">
        <f>SLE!G10</f>
        <v>604</v>
      </c>
      <c r="T15" s="33">
        <f>CECA!C10</f>
        <v>0.9667</v>
      </c>
      <c r="U15" s="32">
        <f>CECA!G10</f>
        <v>501</v>
      </c>
      <c r="V15" s="33">
        <f>SECA!C10</f>
        <v>0.94599999999999995</v>
      </c>
      <c r="W15" s="32">
        <f>SECA!G10</f>
        <v>503</v>
      </c>
      <c r="X15" s="33">
        <f>KHS!C10</f>
        <v>0.96760000000000002</v>
      </c>
      <c r="Y15" s="34">
        <f>KHS!G10</f>
        <v>2529</v>
      </c>
      <c r="Z15" s="33">
        <f>'9TH CAMP'!C10</f>
        <v>0.97260000000000002</v>
      </c>
      <c r="AA15" s="34">
        <f>'9TH CAMP'!G10</f>
        <v>583</v>
      </c>
      <c r="AB15" s="33">
        <f>ECHS!C10</f>
        <v>0.98670000000000002</v>
      </c>
      <c r="AC15" s="32">
        <f>ECHS!G10</f>
        <v>452</v>
      </c>
      <c r="AD15" s="33">
        <f>KMS!C10</f>
        <v>0.97689999999999999</v>
      </c>
      <c r="AE15" s="32">
        <f>KMS!G10</f>
        <v>1301</v>
      </c>
      <c r="AF15" s="33">
        <f>NMS!C10</f>
        <v>0.97309999999999997</v>
      </c>
      <c r="AG15" s="32">
        <f>NMS!G10</f>
        <v>1002</v>
      </c>
      <c r="AH15" s="36">
        <f>Highpoint!C9</f>
        <v>0</v>
      </c>
      <c r="AI15" s="37">
        <f>KASE!D7</f>
        <v>70</v>
      </c>
      <c r="AJ15" s="38"/>
      <c r="AK15" s="39">
        <f t="shared" si="13"/>
        <v>0.89953076923076947</v>
      </c>
      <c r="AL15" s="40"/>
    </row>
    <row r="16" spans="1:38" ht="12.75" x14ac:dyDescent="0.2">
      <c r="A16" s="25"/>
      <c r="B16" s="41">
        <f t="shared" si="14"/>
        <v>2250</v>
      </c>
      <c r="C16" s="27" t="s">
        <v>40</v>
      </c>
      <c r="D16" s="28">
        <v>45520</v>
      </c>
      <c r="E16" s="27" t="s">
        <v>41</v>
      </c>
      <c r="F16" s="29"/>
      <c r="G16" s="30">
        <f t="shared" si="12"/>
        <v>10438</v>
      </c>
      <c r="H16" s="31">
        <f>CE!C11</f>
        <v>0.97109999999999996</v>
      </c>
      <c r="I16" s="32">
        <f>CE!G11</f>
        <v>519</v>
      </c>
      <c r="J16" s="33">
        <f>GE!C11</f>
        <v>0.9587</v>
      </c>
      <c r="K16" s="32">
        <f>GE!G11</f>
        <v>581</v>
      </c>
      <c r="L16" s="33">
        <f>ME!C11</f>
        <v>0.96130000000000004</v>
      </c>
      <c r="M16" s="32">
        <f>ME!G11</f>
        <v>594</v>
      </c>
      <c r="N16" s="33">
        <f>SAMPLE!C11</f>
        <v>0.96519999999999995</v>
      </c>
      <c r="O16" s="32">
        <f>SAMPLE!G11</f>
        <v>577</v>
      </c>
      <c r="P16" s="33">
        <f>'Sheldon Elementary'!C11</f>
        <v>0.97599999999999998</v>
      </c>
      <c r="Q16" s="32">
        <f>'Sheldon Elementary'!D11</f>
        <v>583</v>
      </c>
      <c r="R16" s="33">
        <f>SLE!C11</f>
        <v>0.97850000000000004</v>
      </c>
      <c r="S16" s="32">
        <f>SLE!G11</f>
        <v>608</v>
      </c>
      <c r="T16" s="33">
        <f>CECA!C11</f>
        <v>0.94069999999999998</v>
      </c>
      <c r="U16" s="32">
        <f>CECA!G11</f>
        <v>503</v>
      </c>
      <c r="V16" s="33">
        <f>SECA!C11</f>
        <v>0.92420000000000002</v>
      </c>
      <c r="W16" s="32">
        <f>SECA!G11</f>
        <v>515</v>
      </c>
      <c r="X16" s="33">
        <f>KHS!C11</f>
        <v>0.95550000000000002</v>
      </c>
      <c r="Y16" s="34">
        <f>KHS!G11</f>
        <v>2538</v>
      </c>
      <c r="Z16" s="33">
        <f>'9TH CAMP'!C11</f>
        <v>0.95030000000000003</v>
      </c>
      <c r="AA16" s="34">
        <f>'9TH CAMP'!G11</f>
        <v>583</v>
      </c>
      <c r="AB16" s="33">
        <f>ECHS!C11</f>
        <v>0.95799999999999996</v>
      </c>
      <c r="AC16" s="32">
        <f>ECHS!G11</f>
        <v>452</v>
      </c>
      <c r="AD16" s="33">
        <f>KMS!C11</f>
        <v>0.95650000000000002</v>
      </c>
      <c r="AE16" s="32">
        <f>KMS!G11</f>
        <v>1310</v>
      </c>
      <c r="AF16" s="33">
        <f>NMS!C11</f>
        <v>0.95420000000000005</v>
      </c>
      <c r="AG16" s="32">
        <f>NMS!G11</f>
        <v>1004</v>
      </c>
      <c r="AH16" s="36">
        <f>Highpoint!C10</f>
        <v>0</v>
      </c>
      <c r="AI16" s="37">
        <f>KASE!D8</f>
        <v>71</v>
      </c>
      <c r="AJ16" s="38"/>
      <c r="AK16" s="39">
        <f t="shared" si="13"/>
        <v>0.95770769230769237</v>
      </c>
      <c r="AL16" s="40"/>
    </row>
    <row r="17" spans="1:38" ht="12.75" x14ac:dyDescent="0.2">
      <c r="A17" s="25"/>
      <c r="B17" s="41">
        <f t="shared" si="14"/>
        <v>2700</v>
      </c>
      <c r="C17" s="27" t="s">
        <v>42</v>
      </c>
      <c r="D17" s="28">
        <v>45523</v>
      </c>
      <c r="E17" s="27" t="s">
        <v>33</v>
      </c>
      <c r="F17" s="29"/>
      <c r="G17" s="30">
        <f t="shared" si="12"/>
        <v>10570</v>
      </c>
      <c r="H17" s="31">
        <f>CE!C12</f>
        <v>0.97709999999999997</v>
      </c>
      <c r="I17" s="32">
        <f>CE!G12</f>
        <v>524</v>
      </c>
      <c r="J17" s="33">
        <f>GE!C12</f>
        <v>0.94640000000000002</v>
      </c>
      <c r="K17" s="32">
        <f>GE!G12</f>
        <v>597</v>
      </c>
      <c r="L17" s="33">
        <f>ME!C12</f>
        <v>0.94730000000000003</v>
      </c>
      <c r="M17" s="32">
        <f>ME!G12</f>
        <v>607</v>
      </c>
      <c r="N17" s="33">
        <f>SAMPLE!C12</f>
        <v>0.96199999999999997</v>
      </c>
      <c r="O17" s="32">
        <f>SAMPLE!G12</f>
        <v>579</v>
      </c>
      <c r="P17" s="33">
        <f>'Sheldon Elementary'!C12</f>
        <v>0.95909999999999995</v>
      </c>
      <c r="Q17" s="32">
        <f>'Sheldon Elementary'!D12</f>
        <v>587</v>
      </c>
      <c r="R17" s="33">
        <f>SLE!C12</f>
        <v>0.9446</v>
      </c>
      <c r="S17" s="32">
        <f>SLE!G12</f>
        <v>614</v>
      </c>
      <c r="T17" s="33">
        <f>CECA!C12</f>
        <v>0.93289999999999995</v>
      </c>
      <c r="U17" s="32">
        <f>CECA!G12</f>
        <v>509</v>
      </c>
      <c r="V17" s="33">
        <f>SECA!C12</f>
        <v>0.90629999999999999</v>
      </c>
      <c r="W17" s="32">
        <f>SECA!G12</f>
        <v>529</v>
      </c>
      <c r="X17" s="33">
        <f>KHS!C12</f>
        <v>0.95409999999999995</v>
      </c>
      <c r="Y17" s="34">
        <f>KHS!G12</f>
        <v>2570</v>
      </c>
      <c r="Z17" s="33">
        <f>'9TH CAMP'!C12</f>
        <v>0.95569999999999999</v>
      </c>
      <c r="AA17" s="34">
        <f>'9TH CAMP'!G12</f>
        <v>587</v>
      </c>
      <c r="AB17" s="33">
        <f>ECHS!C12</f>
        <v>0.96479999999999999</v>
      </c>
      <c r="AC17" s="32">
        <f>ECHS!G12</f>
        <v>454</v>
      </c>
      <c r="AD17" s="33">
        <f>KMS!C12</f>
        <v>0.96970000000000001</v>
      </c>
      <c r="AE17" s="32">
        <f>KMS!G12</f>
        <v>1322</v>
      </c>
      <c r="AF17" s="33">
        <f>NMS!C12</f>
        <v>0.96060000000000001</v>
      </c>
      <c r="AG17" s="32">
        <f>NMS!G12</f>
        <v>1015</v>
      </c>
      <c r="AH17" s="36">
        <f>Highpoint!C11</f>
        <v>0</v>
      </c>
      <c r="AI17" s="37">
        <f>KASE!D9</f>
        <v>76</v>
      </c>
      <c r="AJ17" s="38"/>
      <c r="AK17" s="39">
        <f t="shared" si="13"/>
        <v>0.95235384615384611</v>
      </c>
      <c r="AL17" s="40"/>
    </row>
    <row r="18" spans="1:38" ht="12.75" x14ac:dyDescent="0.2">
      <c r="A18" s="25"/>
      <c r="B18" s="41">
        <f t="shared" si="14"/>
        <v>3150</v>
      </c>
      <c r="C18" s="27" t="s">
        <v>43</v>
      </c>
      <c r="D18" s="28">
        <v>45524</v>
      </c>
      <c r="E18" s="27" t="s">
        <v>35</v>
      </c>
      <c r="F18" s="29"/>
      <c r="G18" s="30">
        <f t="shared" si="12"/>
        <v>10625</v>
      </c>
      <c r="H18" s="31">
        <f>CE!C13</f>
        <v>0.97160000000000002</v>
      </c>
      <c r="I18" s="32">
        <f>CE!G13</f>
        <v>529</v>
      </c>
      <c r="J18" s="33">
        <f>GE!C13</f>
        <v>0.97499999999999998</v>
      </c>
      <c r="K18" s="32">
        <f>GE!G13</f>
        <v>599</v>
      </c>
      <c r="L18" s="33">
        <f>ME!C13</f>
        <v>0.93620000000000003</v>
      </c>
      <c r="M18" s="32">
        <f>ME!G13</f>
        <v>611</v>
      </c>
      <c r="N18" s="33">
        <f>SAMPLE!C13</f>
        <v>0.96389999999999998</v>
      </c>
      <c r="O18" s="32">
        <f>SAMPLE!G13</f>
        <v>582</v>
      </c>
      <c r="P18" s="33">
        <f>'Sheldon Elementary'!C13</f>
        <v>0.94740000000000002</v>
      </c>
      <c r="Q18" s="32">
        <f>'Sheldon Elementary'!D13</f>
        <v>589</v>
      </c>
      <c r="R18" s="33">
        <f>SLE!C13</f>
        <v>0.96419999999999995</v>
      </c>
      <c r="S18" s="32">
        <f>SLE!G13</f>
        <v>615</v>
      </c>
      <c r="T18" s="33">
        <f>CECA!C13</f>
        <v>0.93589999999999995</v>
      </c>
      <c r="U18" s="32">
        <f>CECA!G13</f>
        <v>514</v>
      </c>
      <c r="V18" s="33">
        <f>SECA!C13</f>
        <v>0.93020000000000003</v>
      </c>
      <c r="W18" s="32">
        <f>SECA!G13</f>
        <v>535</v>
      </c>
      <c r="X18" s="33">
        <f>KHS!C13</f>
        <v>0.95930000000000004</v>
      </c>
      <c r="Y18" s="34">
        <f>KHS!G13</f>
        <v>2580</v>
      </c>
      <c r="Z18" s="33">
        <f>'9TH CAMP'!C13</f>
        <v>0.95250000000000001</v>
      </c>
      <c r="AA18" s="34">
        <f>'9TH CAMP'!G13</f>
        <v>589</v>
      </c>
      <c r="AB18" s="33">
        <f>ECHS!C13</f>
        <v>0.96479999999999999</v>
      </c>
      <c r="AC18" s="32">
        <f>ECHS!G13</f>
        <v>454</v>
      </c>
      <c r="AD18" s="33">
        <f>KMS!C13</f>
        <v>0.96760000000000002</v>
      </c>
      <c r="AE18" s="32">
        <f>KMS!G13</f>
        <v>1327</v>
      </c>
      <c r="AF18" s="33">
        <f>NMS!C13</f>
        <v>0.96189999999999998</v>
      </c>
      <c r="AG18" s="32">
        <f>NMS!G13</f>
        <v>1024</v>
      </c>
      <c r="AH18" s="36">
        <f>Highpoint!C12</f>
        <v>0</v>
      </c>
      <c r="AI18" s="37">
        <f>KASE!D10</f>
        <v>77</v>
      </c>
      <c r="AJ18" s="38"/>
      <c r="AK18" s="39">
        <f t="shared" si="13"/>
        <v>0.9561923076923079</v>
      </c>
      <c r="AL18" s="40"/>
    </row>
    <row r="19" spans="1:38" ht="12.75" x14ac:dyDescent="0.2">
      <c r="A19" s="25"/>
      <c r="B19" s="41">
        <f t="shared" si="14"/>
        <v>3600</v>
      </c>
      <c r="C19" s="27" t="s">
        <v>44</v>
      </c>
      <c r="D19" s="28">
        <v>45525</v>
      </c>
      <c r="E19" s="27" t="s">
        <v>37</v>
      </c>
      <c r="F19" s="29"/>
      <c r="G19" s="30">
        <f t="shared" si="12"/>
        <v>10682</v>
      </c>
      <c r="H19" s="31">
        <f>CE!C14</f>
        <v>0.96599999999999997</v>
      </c>
      <c r="I19" s="32">
        <f>CE!G14</f>
        <v>530</v>
      </c>
      <c r="J19" s="33">
        <f>GE!C14</f>
        <v>0.96350000000000002</v>
      </c>
      <c r="K19" s="32">
        <f>GE!G14</f>
        <v>603</v>
      </c>
      <c r="L19" s="33">
        <f>ME!C14</f>
        <v>0.93779999999999997</v>
      </c>
      <c r="M19" s="32">
        <f>ME!G14</f>
        <v>611</v>
      </c>
      <c r="N19" s="33">
        <f>SAMPLE!C14</f>
        <v>0.96919999999999995</v>
      </c>
      <c r="O19" s="32">
        <f>SAMPLE!G14</f>
        <v>584</v>
      </c>
      <c r="P19" s="33">
        <f>'Sheldon Elementary'!C14</f>
        <v>0.94920000000000004</v>
      </c>
      <c r="Q19" s="32">
        <f>'Sheldon Elementary'!D14</f>
        <v>591</v>
      </c>
      <c r="R19" s="33">
        <f>SLE!C14</f>
        <v>0.97560000000000002</v>
      </c>
      <c r="S19" s="32">
        <f>SLE!G14</f>
        <v>616</v>
      </c>
      <c r="T19" s="33">
        <f>CECA!C14</f>
        <v>0.92930000000000001</v>
      </c>
      <c r="U19" s="32">
        <f>CECA!G14</f>
        <v>519</v>
      </c>
      <c r="V19" s="33">
        <f>SECA!C14</f>
        <v>0.93520000000000003</v>
      </c>
      <c r="W19" s="32">
        <f>SECA!G14</f>
        <v>540</v>
      </c>
      <c r="X19" s="33">
        <f>KHS!C14</f>
        <v>0.96250000000000002</v>
      </c>
      <c r="Y19" s="34">
        <f>KHS!G14</f>
        <v>2587</v>
      </c>
      <c r="Z19" s="33">
        <f>'9TH CAMP'!C14</f>
        <v>0.96950000000000003</v>
      </c>
      <c r="AA19" s="34">
        <f>'9TH CAMP'!G14</f>
        <v>590</v>
      </c>
      <c r="AB19" s="33">
        <f>ECHS!C14</f>
        <v>0.9758</v>
      </c>
      <c r="AC19" s="32">
        <f>ECHS!G14</f>
        <v>455</v>
      </c>
      <c r="AD19" s="33">
        <f>KMS!C14</f>
        <v>0.94820000000000004</v>
      </c>
      <c r="AE19" s="32">
        <f>KMS!G14</f>
        <v>1332</v>
      </c>
      <c r="AF19" s="33">
        <f>NMS!C14</f>
        <v>0.96399999999999997</v>
      </c>
      <c r="AG19" s="32">
        <f>NMS!G14</f>
        <v>1027</v>
      </c>
      <c r="AH19" s="36">
        <f>Highpoint!C13</f>
        <v>0</v>
      </c>
      <c r="AI19" s="37">
        <f>KASE!D11</f>
        <v>97</v>
      </c>
      <c r="AJ19" s="38"/>
      <c r="AK19" s="39">
        <f t="shared" si="13"/>
        <v>0.95736923076923075</v>
      </c>
      <c r="AL19" s="40"/>
    </row>
    <row r="20" spans="1:38" ht="12.75" x14ac:dyDescent="0.2">
      <c r="A20" s="25"/>
      <c r="B20" s="41">
        <f t="shared" si="14"/>
        <v>4050</v>
      </c>
      <c r="C20" s="27" t="s">
        <v>45</v>
      </c>
      <c r="D20" s="28">
        <v>45526</v>
      </c>
      <c r="E20" s="27" t="s">
        <v>39</v>
      </c>
      <c r="F20" s="29"/>
      <c r="G20" s="30">
        <f t="shared" si="12"/>
        <v>10712</v>
      </c>
      <c r="H20" s="31">
        <f>CE!C15</f>
        <v>0.9718</v>
      </c>
      <c r="I20" s="32">
        <f>CE!G15</f>
        <v>531</v>
      </c>
      <c r="J20" s="33">
        <f>GE!C15</f>
        <v>0.96350000000000002</v>
      </c>
      <c r="K20" s="32">
        <f>GE!G15</f>
        <v>603</v>
      </c>
      <c r="L20" s="33">
        <f>ME!C15</f>
        <v>0.95750000000000002</v>
      </c>
      <c r="M20" s="32">
        <f>ME!G15</f>
        <v>612</v>
      </c>
      <c r="N20" s="33">
        <f>SAMPLE!C15</f>
        <v>0.97270000000000001</v>
      </c>
      <c r="O20" s="32">
        <f>SAMPLE!G15</f>
        <v>586</v>
      </c>
      <c r="P20" s="33">
        <f>'Sheldon Elementary'!C15</f>
        <v>0.97130000000000005</v>
      </c>
      <c r="Q20" s="32">
        <f>'Sheldon Elementary'!D15</f>
        <v>592</v>
      </c>
      <c r="R20" s="33">
        <f>SLE!C15</f>
        <v>0.96599999999999997</v>
      </c>
      <c r="S20" s="32">
        <f>SLE!G15</f>
        <v>618</v>
      </c>
      <c r="T20" s="33">
        <f>CECA!C15</f>
        <v>0.94010000000000005</v>
      </c>
      <c r="U20" s="32">
        <f>CECA!G15</f>
        <v>520</v>
      </c>
      <c r="V20" s="33">
        <f>SECA!C15</f>
        <v>0.93159999999999998</v>
      </c>
      <c r="W20" s="32">
        <f>SECA!G15</f>
        <v>544</v>
      </c>
      <c r="X20" s="33">
        <f>KHS!C15</f>
        <v>0.9526</v>
      </c>
      <c r="Y20" s="34">
        <f>KHS!G15</f>
        <v>2594</v>
      </c>
      <c r="Z20" s="33">
        <f>'9TH CAMP'!C15</f>
        <v>0.95109999999999995</v>
      </c>
      <c r="AA20" s="34">
        <f>'9TH CAMP'!G15</f>
        <v>593</v>
      </c>
      <c r="AB20" s="33">
        <f>ECHS!C15</f>
        <v>0.97809999999999997</v>
      </c>
      <c r="AC20" s="32">
        <f>ECHS!G15</f>
        <v>456</v>
      </c>
      <c r="AD20" s="33">
        <f>KMS!C15</f>
        <v>0.96399999999999997</v>
      </c>
      <c r="AE20" s="32">
        <f>KMS!G15</f>
        <v>1335</v>
      </c>
      <c r="AF20" s="33">
        <f>NMS!C15</f>
        <v>0.95730000000000004</v>
      </c>
      <c r="AG20" s="32">
        <f>NMS!G15</f>
        <v>1031</v>
      </c>
      <c r="AH20" s="36">
        <f>Highpoint!C14</f>
        <v>0</v>
      </c>
      <c r="AI20" s="37">
        <f>KASE!D12</f>
        <v>97</v>
      </c>
      <c r="AJ20" s="38"/>
      <c r="AK20" s="39">
        <f t="shared" si="13"/>
        <v>0.95981538461538463</v>
      </c>
      <c r="AL20" s="40"/>
    </row>
    <row r="21" spans="1:38" ht="12.75" x14ac:dyDescent="0.2">
      <c r="A21" s="25"/>
      <c r="B21" s="41">
        <f t="shared" si="14"/>
        <v>4500</v>
      </c>
      <c r="C21" s="27" t="s">
        <v>46</v>
      </c>
      <c r="D21" s="28">
        <v>45527</v>
      </c>
      <c r="E21" s="27" t="s">
        <v>41</v>
      </c>
      <c r="F21" s="29"/>
      <c r="G21" s="30">
        <f t="shared" si="12"/>
        <v>10724</v>
      </c>
      <c r="H21" s="31">
        <f>CE!C16</f>
        <v>0.94550000000000001</v>
      </c>
      <c r="I21" s="32">
        <f>CE!G16</f>
        <v>532</v>
      </c>
      <c r="J21" s="33">
        <f>GE!C16</f>
        <v>0.93200000000000005</v>
      </c>
      <c r="K21" s="32">
        <f>GE!G16</f>
        <v>603</v>
      </c>
      <c r="L21" s="33">
        <f>ME!C16</f>
        <v>0.93310000000000004</v>
      </c>
      <c r="M21" s="32">
        <f>ME!G16</f>
        <v>613</v>
      </c>
      <c r="N21" s="33">
        <f>SAMPLE!C16</f>
        <v>0.96079999999999999</v>
      </c>
      <c r="O21" s="32">
        <f>SAMPLE!G16</f>
        <v>586</v>
      </c>
      <c r="P21" s="33">
        <f>'Sheldon Elementary'!C16</f>
        <v>0.93559999999999999</v>
      </c>
      <c r="Q21" s="32">
        <f>'Sheldon Elementary'!D16</f>
        <v>590</v>
      </c>
      <c r="R21" s="33">
        <f>SLE!C16</f>
        <v>0.96599999999999997</v>
      </c>
      <c r="S21" s="32">
        <f>SLE!G16</f>
        <v>619</v>
      </c>
      <c r="T21" s="33">
        <f>CECA!C16</f>
        <v>0.92</v>
      </c>
      <c r="U21" s="32">
        <f>CECA!G16</f>
        <v>523</v>
      </c>
      <c r="V21" s="33">
        <f>SECA!C16</f>
        <v>0.9234</v>
      </c>
      <c r="W21" s="32">
        <f>SECA!G16</f>
        <v>546</v>
      </c>
      <c r="X21" s="33">
        <f>KHS!C16</f>
        <v>0.9415</v>
      </c>
      <c r="Y21" s="34">
        <f>KHS!G16</f>
        <v>2597</v>
      </c>
      <c r="Z21" s="33">
        <f>'9TH CAMP'!C16</f>
        <v>0.92220000000000002</v>
      </c>
      <c r="AA21" s="34">
        <f>'9TH CAMP'!G16</f>
        <v>591</v>
      </c>
      <c r="AB21" s="33">
        <f>ECHS!C16</f>
        <v>0.96060000000000001</v>
      </c>
      <c r="AC21" s="32">
        <f>ECHS!G16</f>
        <v>457</v>
      </c>
      <c r="AD21" s="33">
        <f>KMS!C16</f>
        <v>0.94540000000000002</v>
      </c>
      <c r="AE21" s="32">
        <f>KMS!G16</f>
        <v>1338</v>
      </c>
      <c r="AF21" s="33">
        <f>NMS!C16</f>
        <v>0.9264</v>
      </c>
      <c r="AG21" s="32">
        <f>NMS!G16</f>
        <v>1033</v>
      </c>
      <c r="AH21" s="36">
        <f>Highpoint!C15</f>
        <v>0</v>
      </c>
      <c r="AI21" s="37">
        <f>KASE!D13</f>
        <v>96</v>
      </c>
      <c r="AJ21" s="38"/>
      <c r="AK21" s="39">
        <f t="shared" si="13"/>
        <v>0.93942307692307681</v>
      </c>
      <c r="AL21" s="40"/>
    </row>
    <row r="22" spans="1:38" ht="12.75" x14ac:dyDescent="0.2">
      <c r="A22" s="25"/>
      <c r="B22" s="41">
        <f t="shared" si="14"/>
        <v>4950</v>
      </c>
      <c r="C22" s="27" t="s">
        <v>47</v>
      </c>
      <c r="D22" s="28">
        <v>45530</v>
      </c>
      <c r="E22" s="27" t="s">
        <v>33</v>
      </c>
      <c r="F22" s="29"/>
      <c r="G22" s="30">
        <f t="shared" si="12"/>
        <v>10766</v>
      </c>
      <c r="H22" s="31">
        <f>CE!C17</f>
        <v>0.93459999999999999</v>
      </c>
      <c r="I22" s="32">
        <f>CE!G17</f>
        <v>535</v>
      </c>
      <c r="J22" s="33">
        <f>GE!C17</f>
        <v>0.9536</v>
      </c>
      <c r="K22" s="32">
        <f>GE!G17</f>
        <v>603</v>
      </c>
      <c r="L22" s="33">
        <f>ME!C17</f>
        <v>0.93830000000000002</v>
      </c>
      <c r="M22" s="32">
        <f>ME!G17</f>
        <v>616</v>
      </c>
      <c r="N22" s="33">
        <f>SAMPLE!C17</f>
        <v>0.95730000000000004</v>
      </c>
      <c r="O22" s="32">
        <f>SAMPLE!G17</f>
        <v>586</v>
      </c>
      <c r="P22" s="33">
        <f>'Sheldon Elementary'!C17</f>
        <v>0.93899999999999995</v>
      </c>
      <c r="Q22" s="32">
        <f>'Sheldon Elementary'!D17</f>
        <v>590</v>
      </c>
      <c r="R22" s="33">
        <f>SLE!C17</f>
        <v>0.95150000000000001</v>
      </c>
      <c r="S22" s="32">
        <f>SLE!G17</f>
        <v>618</v>
      </c>
      <c r="T22" s="33">
        <f>CECA!C17</f>
        <v>0.93079999999999996</v>
      </c>
      <c r="U22" s="32">
        <f>CECA!G17</f>
        <v>532</v>
      </c>
      <c r="V22" s="33">
        <f>SECA!C17</f>
        <v>0.90959999999999996</v>
      </c>
      <c r="W22" s="32">
        <f>SECA!G17</f>
        <v>549</v>
      </c>
      <c r="X22" s="33">
        <f>KHS!C17</f>
        <v>0.94510000000000005</v>
      </c>
      <c r="Y22" s="34">
        <f>KHS!G17</f>
        <v>2606</v>
      </c>
      <c r="Z22" s="33">
        <f>'9TH CAMP'!C17</f>
        <v>0.9546</v>
      </c>
      <c r="AA22" s="34">
        <f>'9TH CAMP'!G17</f>
        <v>595</v>
      </c>
      <c r="AB22" s="33">
        <f>ECHS!C17</f>
        <v>0.96940000000000004</v>
      </c>
      <c r="AC22" s="32">
        <f>ECHS!G17</f>
        <v>457</v>
      </c>
      <c r="AD22" s="33">
        <f>KMS!C17</f>
        <v>0.94869999999999999</v>
      </c>
      <c r="AE22" s="32">
        <f>KMS!G17</f>
        <v>1345</v>
      </c>
      <c r="AF22" s="33">
        <f>NMS!C17</f>
        <v>0.9335</v>
      </c>
      <c r="AG22" s="32">
        <f>NMS!G17</f>
        <v>1037</v>
      </c>
      <c r="AH22" s="36">
        <f>Highpoint!C16</f>
        <v>0</v>
      </c>
      <c r="AI22" s="37">
        <f>KASE!D14</f>
        <v>97</v>
      </c>
      <c r="AJ22" s="38"/>
      <c r="AK22" s="39">
        <f t="shared" si="13"/>
        <v>0.94353846153846155</v>
      </c>
      <c r="AL22" s="40"/>
    </row>
    <row r="23" spans="1:38" ht="12.75" x14ac:dyDescent="0.2">
      <c r="A23" s="25"/>
      <c r="B23" s="41">
        <f t="shared" si="14"/>
        <v>5400</v>
      </c>
      <c r="C23" s="27" t="s">
        <v>48</v>
      </c>
      <c r="D23" s="28">
        <v>45531</v>
      </c>
      <c r="E23" s="27" t="s">
        <v>35</v>
      </c>
      <c r="F23" s="29"/>
      <c r="G23" s="30">
        <f t="shared" si="12"/>
        <v>10790</v>
      </c>
      <c r="H23" s="31">
        <f>CE!C18</f>
        <v>0.95330000000000004</v>
      </c>
      <c r="I23" s="32">
        <f>CE!G18</f>
        <v>535</v>
      </c>
      <c r="J23" s="33">
        <f>GE!C18</f>
        <v>0.95860000000000001</v>
      </c>
      <c r="K23" s="32">
        <f>GE!G18</f>
        <v>604</v>
      </c>
      <c r="L23" s="33">
        <f>ME!C18</f>
        <v>0.96930000000000005</v>
      </c>
      <c r="M23" s="32">
        <f>ME!G18</f>
        <v>618</v>
      </c>
      <c r="N23" s="33">
        <f>SAMPLE!C18</f>
        <v>0.9728</v>
      </c>
      <c r="O23" s="32">
        <f>SAMPLE!G18</f>
        <v>589</v>
      </c>
      <c r="P23" s="33">
        <f>'Sheldon Elementary'!C18</f>
        <v>0.95950000000000002</v>
      </c>
      <c r="Q23" s="32">
        <f>'Sheldon Elementary'!D18</f>
        <v>593</v>
      </c>
      <c r="R23" s="33">
        <f>SLE!C18</f>
        <v>0.97419999999999995</v>
      </c>
      <c r="S23" s="32">
        <f>SLE!G18</f>
        <v>619</v>
      </c>
      <c r="T23" s="33">
        <f>CECA!C18</f>
        <v>0.94130000000000003</v>
      </c>
      <c r="U23" s="32">
        <f>CECA!G18</f>
        <v>531</v>
      </c>
      <c r="V23" s="33">
        <f>SECA!C18</f>
        <v>0.94650000000000001</v>
      </c>
      <c r="W23" s="32">
        <f>SECA!G18</f>
        <v>552</v>
      </c>
      <c r="X23" s="33">
        <f>KHS!C18</f>
        <v>0.94369999999999998</v>
      </c>
      <c r="Y23" s="34">
        <f>KHS!G18</f>
        <v>2614</v>
      </c>
      <c r="Z23" s="33">
        <f>'9TH CAMP'!C18</f>
        <v>0.94289999999999996</v>
      </c>
      <c r="AA23" s="34">
        <f>'9TH CAMP'!G18</f>
        <v>595</v>
      </c>
      <c r="AB23" s="33">
        <f>ECHS!C18</f>
        <v>0.95609999999999995</v>
      </c>
      <c r="AC23" s="32">
        <f>ECHS!G18</f>
        <v>457</v>
      </c>
      <c r="AD23" s="33">
        <f>KMS!C18</f>
        <v>0.96289999999999998</v>
      </c>
      <c r="AE23" s="32">
        <f>KMS!G18</f>
        <v>1348</v>
      </c>
      <c r="AF23" s="33">
        <f>NMS!C18</f>
        <v>0.93740000000000001</v>
      </c>
      <c r="AG23" s="32">
        <f>NMS!G18</f>
        <v>1038</v>
      </c>
      <c r="AH23" s="36">
        <f>Highpoint!C17</f>
        <v>0</v>
      </c>
      <c r="AI23" s="37">
        <f>KASE!D15</f>
        <v>97</v>
      </c>
      <c r="AJ23" s="38"/>
      <c r="AK23" s="39">
        <f t="shared" si="13"/>
        <v>0.95526923076923076</v>
      </c>
      <c r="AL23" s="40"/>
    </row>
    <row r="24" spans="1:38" ht="12.75" x14ac:dyDescent="0.2">
      <c r="A24" s="25"/>
      <c r="B24" s="41">
        <f t="shared" si="14"/>
        <v>5850</v>
      </c>
      <c r="C24" s="27" t="s">
        <v>49</v>
      </c>
      <c r="D24" s="28">
        <v>45532</v>
      </c>
      <c r="E24" s="27" t="s">
        <v>37</v>
      </c>
      <c r="F24" s="29"/>
      <c r="G24" s="30">
        <f t="shared" si="12"/>
        <v>10799</v>
      </c>
      <c r="H24" s="31">
        <f>CE!C19</f>
        <v>0.95720000000000005</v>
      </c>
      <c r="I24" s="32">
        <f>CE!G19</f>
        <v>538</v>
      </c>
      <c r="J24" s="33">
        <f>GE!C19</f>
        <v>0.94040000000000001</v>
      </c>
      <c r="K24" s="32">
        <f>GE!G19</f>
        <v>604</v>
      </c>
      <c r="L24" s="33">
        <f>ME!C19</f>
        <v>0.95950000000000002</v>
      </c>
      <c r="M24" s="32">
        <f>ME!G19</f>
        <v>618</v>
      </c>
      <c r="N24" s="33">
        <f>SAMPLE!C19</f>
        <v>0.95589999999999997</v>
      </c>
      <c r="O24" s="32">
        <f>SAMPLE!G19</f>
        <v>589</v>
      </c>
      <c r="P24" s="33">
        <f>'Sheldon Elementary'!C19</f>
        <v>0.96120000000000005</v>
      </c>
      <c r="Q24" s="32">
        <f>'Sheldon Elementary'!D19</f>
        <v>593</v>
      </c>
      <c r="R24" s="33">
        <f>SLE!C19</f>
        <v>0.96260000000000001</v>
      </c>
      <c r="S24" s="32">
        <f>SLE!G19</f>
        <v>620</v>
      </c>
      <c r="T24" s="33">
        <f>CECA!C19</f>
        <v>0.93940000000000001</v>
      </c>
      <c r="U24" s="32">
        <f>CECA!G19</f>
        <v>535</v>
      </c>
      <c r="V24" s="33">
        <f>SECA!C19</f>
        <v>0.91479999999999995</v>
      </c>
      <c r="W24" s="32">
        <f>SECA!G19</f>
        <v>555</v>
      </c>
      <c r="X24" s="33">
        <f>KHS!C19</f>
        <v>0.94950000000000001</v>
      </c>
      <c r="Y24" s="34">
        <f>KHS!G19</f>
        <v>2612</v>
      </c>
      <c r="Z24" s="33">
        <f>'9TH CAMP'!C19</f>
        <v>0.95299999999999996</v>
      </c>
      <c r="AA24" s="34">
        <f>'9TH CAMP'!G19</f>
        <v>596</v>
      </c>
      <c r="AB24" s="33">
        <f>ECHS!C19</f>
        <v>0.97150000000000003</v>
      </c>
      <c r="AC24" s="32">
        <f>ECHS!G19</f>
        <v>456</v>
      </c>
      <c r="AD24" s="33">
        <f>KMS!C19</f>
        <v>0.96440000000000003</v>
      </c>
      <c r="AE24" s="32">
        <f>KMS!G19</f>
        <v>1348</v>
      </c>
      <c r="AF24" s="33">
        <f>NMS!C19</f>
        <v>0.94699999999999995</v>
      </c>
      <c r="AG24" s="32">
        <f>NMS!G19</f>
        <v>1038</v>
      </c>
      <c r="AH24" s="36">
        <f>Highpoint!C18</f>
        <v>0</v>
      </c>
      <c r="AI24" s="37">
        <f>KASE!D16</f>
        <v>97</v>
      </c>
      <c r="AJ24" s="38"/>
      <c r="AK24" s="39">
        <f t="shared" si="13"/>
        <v>0.95203076923076912</v>
      </c>
      <c r="AL24" s="40"/>
    </row>
    <row r="25" spans="1:38" ht="12.75" x14ac:dyDescent="0.2">
      <c r="A25" s="25"/>
      <c r="B25" s="41">
        <f t="shared" si="14"/>
        <v>6300</v>
      </c>
      <c r="C25" s="27" t="s">
        <v>50</v>
      </c>
      <c r="D25" s="28">
        <v>45533</v>
      </c>
      <c r="E25" s="27" t="s">
        <v>39</v>
      </c>
      <c r="F25" s="29"/>
      <c r="G25" s="30">
        <f t="shared" si="12"/>
        <v>10814</v>
      </c>
      <c r="H25" s="31">
        <f>CE!C20</f>
        <v>0.95530000000000004</v>
      </c>
      <c r="I25" s="32">
        <f>CE!G20</f>
        <v>537</v>
      </c>
      <c r="J25" s="33">
        <f>GE!C20</f>
        <v>0.95530000000000004</v>
      </c>
      <c r="K25" s="32">
        <f>GE!G20</f>
        <v>604</v>
      </c>
      <c r="L25" s="33">
        <f>ME!C20</f>
        <v>0.95340000000000003</v>
      </c>
      <c r="M25" s="32">
        <f>ME!G20</f>
        <v>622</v>
      </c>
      <c r="N25" s="33">
        <f>SAMPLE!C20</f>
        <v>0.95760000000000001</v>
      </c>
      <c r="O25" s="32">
        <f>SAMPLE!G20</f>
        <v>589</v>
      </c>
      <c r="P25" s="33">
        <f>'Sheldon Elementary'!C20</f>
        <v>0.96460000000000001</v>
      </c>
      <c r="Q25" s="32">
        <f>'Sheldon Elementary'!D20</f>
        <v>593</v>
      </c>
      <c r="R25" s="33">
        <f>SLE!C20</f>
        <v>0.98550000000000004</v>
      </c>
      <c r="S25" s="32">
        <f>SLE!G20</f>
        <v>620</v>
      </c>
      <c r="T25" s="33">
        <f>CECA!C20</f>
        <v>0.92649999999999999</v>
      </c>
      <c r="U25" s="32">
        <f>CECA!G20</f>
        <v>534</v>
      </c>
      <c r="V25" s="33">
        <f>SECA!C20</f>
        <v>0.9073</v>
      </c>
      <c r="W25" s="32">
        <f>SECA!G20</f>
        <v>556</v>
      </c>
      <c r="X25" s="33">
        <f>KHS!C20</f>
        <v>0.94850000000000001</v>
      </c>
      <c r="Y25" s="34">
        <f>KHS!G20</f>
        <v>2619</v>
      </c>
      <c r="Z25" s="33">
        <f>'9TH CAMP'!C20</f>
        <v>0.94320000000000004</v>
      </c>
      <c r="AA25" s="34">
        <f>'9TH CAMP'!G20</f>
        <v>599</v>
      </c>
      <c r="AB25" s="33">
        <f>ECHS!C20</f>
        <v>0.98460000000000003</v>
      </c>
      <c r="AC25" s="32">
        <f>ECHS!G20</f>
        <v>456</v>
      </c>
      <c r="AD25" s="33">
        <f>KMS!C20</f>
        <v>0.95699999999999996</v>
      </c>
      <c r="AE25" s="32">
        <f>KMS!G20</f>
        <v>1348</v>
      </c>
      <c r="AF25" s="33">
        <f>NMS!C20</f>
        <v>0.95579999999999998</v>
      </c>
      <c r="AG25" s="32">
        <f>NMS!G20</f>
        <v>1040</v>
      </c>
      <c r="AH25" s="36">
        <f>Highpoint!C19</f>
        <v>0</v>
      </c>
      <c r="AI25" s="37">
        <f>KASE!D17</f>
        <v>97</v>
      </c>
      <c r="AJ25" s="38"/>
      <c r="AK25" s="39">
        <f t="shared" si="13"/>
        <v>0.9534307692307693</v>
      </c>
      <c r="AL25" s="40"/>
    </row>
    <row r="26" spans="1:38" ht="12.75" x14ac:dyDescent="0.2">
      <c r="A26" s="25"/>
      <c r="B26" s="41">
        <f t="shared" si="14"/>
        <v>6750</v>
      </c>
      <c r="C26" s="27" t="s">
        <v>51</v>
      </c>
      <c r="D26" s="28">
        <v>45534</v>
      </c>
      <c r="E26" s="27" t="s">
        <v>41</v>
      </c>
      <c r="F26" s="29"/>
      <c r="G26" s="30">
        <f t="shared" si="12"/>
        <v>10816</v>
      </c>
      <c r="H26" s="31">
        <f>CE!C21</f>
        <v>0.94589999999999996</v>
      </c>
      <c r="I26" s="32">
        <f>CE!G21</f>
        <v>536</v>
      </c>
      <c r="J26" s="33">
        <f>GE!C21</f>
        <v>0.92720000000000002</v>
      </c>
      <c r="K26" s="32">
        <f>GE!G21</f>
        <v>604</v>
      </c>
      <c r="L26" s="33">
        <f>ME!C21</f>
        <v>0.93889999999999996</v>
      </c>
      <c r="M26" s="32">
        <f>ME!G21</f>
        <v>622</v>
      </c>
      <c r="N26" s="33">
        <f>SAMPLE!C21</f>
        <v>0.9627</v>
      </c>
      <c r="O26" s="32">
        <f>SAMPLE!G21</f>
        <v>590</v>
      </c>
      <c r="P26" s="33">
        <f>'Sheldon Elementary'!C21</f>
        <v>0.93589999999999995</v>
      </c>
      <c r="Q26" s="32">
        <f>'Sheldon Elementary'!D21</f>
        <v>593</v>
      </c>
      <c r="R26" s="33">
        <f>SLE!C21</f>
        <v>0.94679999999999997</v>
      </c>
      <c r="S26" s="32">
        <f>SLE!G21</f>
        <v>620</v>
      </c>
      <c r="T26" s="33">
        <f>CECA!C21</f>
        <v>0.90900000000000003</v>
      </c>
      <c r="U26" s="32">
        <f>CECA!G21</f>
        <v>535</v>
      </c>
      <c r="V26" s="33">
        <f>SECA!C21</f>
        <v>0.82450000000000001</v>
      </c>
      <c r="W26" s="32">
        <f>SECA!G21</f>
        <v>556</v>
      </c>
      <c r="X26" s="33">
        <f>KHS!C21</f>
        <v>0.93469999999999998</v>
      </c>
      <c r="Y26" s="34">
        <f>KHS!G21</f>
        <v>2620</v>
      </c>
      <c r="Z26" s="33">
        <f>'9TH CAMP'!C21</f>
        <v>0.90480000000000005</v>
      </c>
      <c r="AA26" s="34">
        <f>'9TH CAMP'!G21</f>
        <v>599</v>
      </c>
      <c r="AB26" s="33">
        <f>ECHS!C21</f>
        <v>0.96489999999999998</v>
      </c>
      <c r="AC26" s="32">
        <f>ECHS!G21</f>
        <v>456</v>
      </c>
      <c r="AD26" s="33">
        <f>KMS!C21</f>
        <v>0.9466</v>
      </c>
      <c r="AE26" s="32">
        <f>KMS!G21</f>
        <v>1348</v>
      </c>
      <c r="AF26" s="33">
        <f>NMS!C21</f>
        <v>0.93269999999999997</v>
      </c>
      <c r="AG26" s="32">
        <f>NMS!G21</f>
        <v>1040</v>
      </c>
      <c r="AH26" s="36">
        <f>Highpoint!C20</f>
        <v>0</v>
      </c>
      <c r="AI26" s="37">
        <f>KASE!D18</f>
        <v>97</v>
      </c>
      <c r="AJ26" s="38"/>
      <c r="AK26" s="39">
        <f t="shared" si="13"/>
        <v>0.92881538461538449</v>
      </c>
      <c r="AL26" s="40"/>
    </row>
    <row r="27" spans="1:38" ht="12.75" x14ac:dyDescent="0.2">
      <c r="A27" s="205" t="s">
        <v>52</v>
      </c>
      <c r="B27" s="206"/>
      <c r="C27" s="206"/>
      <c r="D27" s="43">
        <v>45537</v>
      </c>
      <c r="E27" s="42" t="s">
        <v>33</v>
      </c>
      <c r="F27" s="44"/>
      <c r="G27" s="44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0" t="e">
        <f t="shared" si="13"/>
        <v>#DIV/0!</v>
      </c>
      <c r="AL27" s="45"/>
    </row>
    <row r="28" spans="1:38" ht="12.75" x14ac:dyDescent="0.2">
      <c r="A28" s="25"/>
      <c r="B28" s="41">
        <f>B26+450</f>
        <v>7200</v>
      </c>
      <c r="C28" s="27" t="s">
        <v>53</v>
      </c>
      <c r="D28" s="28">
        <v>45538</v>
      </c>
      <c r="E28" s="27" t="s">
        <v>35</v>
      </c>
      <c r="F28" s="29"/>
      <c r="G28" s="30">
        <f t="shared" ref="G28:G36" si="15">I28+K28+M28+O28+Q28+S28+U28+W28+Y28+AA28+AC28+AE28+AG28+AI28+AH28</f>
        <v>10845</v>
      </c>
      <c r="H28" s="31">
        <f>CE!C23</f>
        <v>0.94930000000000003</v>
      </c>
      <c r="I28" s="32">
        <f>CE!G23</f>
        <v>533</v>
      </c>
      <c r="J28" s="33">
        <f>GE!C23</f>
        <v>0.94230000000000003</v>
      </c>
      <c r="K28" s="32">
        <f>GE!G23</f>
        <v>607</v>
      </c>
      <c r="L28" s="33">
        <f>ME!C23</f>
        <v>0.95650000000000002</v>
      </c>
      <c r="M28" s="32">
        <f>ME!G23</f>
        <v>621</v>
      </c>
      <c r="N28" s="33">
        <f>SAMPLE!C23</f>
        <v>0.95760000000000001</v>
      </c>
      <c r="O28" s="32">
        <f>SAMPLE!G23</f>
        <v>598</v>
      </c>
      <c r="P28" s="33">
        <f>'Sheldon Elementary'!C23</f>
        <v>0.93269999999999997</v>
      </c>
      <c r="Q28" s="32">
        <f>'Sheldon Elementary'!D23</f>
        <v>594</v>
      </c>
      <c r="R28" s="33">
        <f>SLE!C23</f>
        <v>0.95830000000000004</v>
      </c>
      <c r="S28" s="32">
        <f>SLE!G23</f>
        <v>624</v>
      </c>
      <c r="T28" s="33">
        <f>CECA!C23</f>
        <v>0.91569999999999996</v>
      </c>
      <c r="U28" s="32">
        <f>CECA!G23</f>
        <v>542</v>
      </c>
      <c r="V28" s="33">
        <f>SECA!C23</f>
        <v>0.88970000000000005</v>
      </c>
      <c r="W28" s="32">
        <f>SECA!G23</f>
        <v>548</v>
      </c>
      <c r="X28" s="33">
        <f>KHS!C23</f>
        <v>0.93899999999999995</v>
      </c>
      <c r="Y28" s="34">
        <f>KHS!G23</f>
        <v>2625</v>
      </c>
      <c r="Z28" s="33">
        <f>'9TH CAMP'!C23</f>
        <v>0.95330000000000004</v>
      </c>
      <c r="AA28" s="34">
        <f>'9TH CAMP'!G23</f>
        <v>599</v>
      </c>
      <c r="AB28" s="33">
        <f>ECHS!C23</f>
        <v>0.96489999999999998</v>
      </c>
      <c r="AC28" s="32">
        <f>ECHS!G23</f>
        <v>456</v>
      </c>
      <c r="AD28" s="33">
        <f>KMS!C23</f>
        <v>0.95279999999999998</v>
      </c>
      <c r="AE28" s="32">
        <f>KMS!G23</f>
        <v>1357</v>
      </c>
      <c r="AF28" s="33">
        <f>NMS!C23</f>
        <v>0.95109999999999995</v>
      </c>
      <c r="AG28" s="32">
        <f>NMS!G23</f>
        <v>1044</v>
      </c>
      <c r="AH28" s="36">
        <f>Highpoint!C22</f>
        <v>0</v>
      </c>
      <c r="AI28" s="37">
        <f>KASE!D20</f>
        <v>97</v>
      </c>
      <c r="AJ28" s="38"/>
      <c r="AK28" s="39">
        <f t="shared" si="13"/>
        <v>0.94332307692307704</v>
      </c>
      <c r="AL28" s="40"/>
    </row>
    <row r="29" spans="1:38" ht="12.75" x14ac:dyDescent="0.2">
      <c r="A29" s="25"/>
      <c r="B29" s="41">
        <f t="shared" ref="B29:B36" si="16">B28+450</f>
        <v>7650</v>
      </c>
      <c r="C29" s="27" t="s">
        <v>54</v>
      </c>
      <c r="D29" s="28">
        <v>45539</v>
      </c>
      <c r="E29" s="27" t="s">
        <v>37</v>
      </c>
      <c r="F29" s="29"/>
      <c r="G29" s="30">
        <f t="shared" si="15"/>
        <v>10845</v>
      </c>
      <c r="H29" s="31">
        <f>CE!C24</f>
        <v>0.96050000000000002</v>
      </c>
      <c r="I29" s="32">
        <f>CE!G24</f>
        <v>532</v>
      </c>
      <c r="J29" s="33">
        <f>GE!C24</f>
        <v>0.95550000000000002</v>
      </c>
      <c r="K29" s="32">
        <f>GE!G24</f>
        <v>607</v>
      </c>
      <c r="L29" s="33">
        <f>ME!C24</f>
        <v>0.9647</v>
      </c>
      <c r="M29" s="32">
        <f>ME!G24</f>
        <v>623</v>
      </c>
      <c r="N29" s="33">
        <f>SAMPLE!C24</f>
        <v>0.9728</v>
      </c>
      <c r="O29" s="32">
        <f>SAMPLE!G24</f>
        <v>588</v>
      </c>
      <c r="P29" s="33">
        <f>'Sheldon Elementary'!C24</f>
        <v>0.96130000000000004</v>
      </c>
      <c r="Q29" s="32">
        <f>'Sheldon Elementary'!D24</f>
        <v>595</v>
      </c>
      <c r="R29" s="33">
        <f>SLE!C24</f>
        <v>0.97109999999999996</v>
      </c>
      <c r="S29" s="32">
        <f>SLE!G24</f>
        <v>622</v>
      </c>
      <c r="T29" s="33">
        <f>CECA!C24</f>
        <v>0.91990000000000005</v>
      </c>
      <c r="U29" s="32">
        <f>CECA!G24</f>
        <v>547</v>
      </c>
      <c r="V29" s="33">
        <f>SECA!C24</f>
        <v>0.91830000000000001</v>
      </c>
      <c r="W29" s="32">
        <f>SECA!G24</f>
        <v>551</v>
      </c>
      <c r="X29" s="33">
        <f>KHS!C24</f>
        <v>0.94550000000000001</v>
      </c>
      <c r="Y29" s="34">
        <f>KHS!G24</f>
        <v>2626</v>
      </c>
      <c r="Z29" s="33">
        <f>'9TH CAMP'!C24</f>
        <v>0.94499999999999995</v>
      </c>
      <c r="AA29" s="34">
        <f>'9TH CAMP'!G24</f>
        <v>600</v>
      </c>
      <c r="AB29" s="33">
        <f>ECHS!C24</f>
        <v>0.96489999999999998</v>
      </c>
      <c r="AC29" s="32">
        <f>ECHS!G24</f>
        <v>456</v>
      </c>
      <c r="AD29" s="33">
        <f>KMS!C24</f>
        <v>0.96460000000000001</v>
      </c>
      <c r="AE29" s="32">
        <f>KMS!G24</f>
        <v>1357</v>
      </c>
      <c r="AF29" s="33">
        <f>NMS!C24</f>
        <v>0.95889999999999997</v>
      </c>
      <c r="AG29" s="32">
        <f>NMS!G24</f>
        <v>1044</v>
      </c>
      <c r="AH29" s="36">
        <f>Highpoint!C23</f>
        <v>0</v>
      </c>
      <c r="AI29" s="37">
        <f>KASE!D21</f>
        <v>97</v>
      </c>
      <c r="AJ29" s="38"/>
      <c r="AK29" s="39">
        <f t="shared" si="13"/>
        <v>0.95407692307692327</v>
      </c>
      <c r="AL29" s="40"/>
    </row>
    <row r="30" spans="1:38" ht="12.75" x14ac:dyDescent="0.2">
      <c r="A30" s="25"/>
      <c r="B30" s="41">
        <f t="shared" si="16"/>
        <v>8100</v>
      </c>
      <c r="C30" s="27" t="s">
        <v>55</v>
      </c>
      <c r="D30" s="28">
        <v>45540</v>
      </c>
      <c r="E30" s="27" t="s">
        <v>39</v>
      </c>
      <c r="F30" s="29"/>
      <c r="G30" s="30">
        <f t="shared" si="15"/>
        <v>10852</v>
      </c>
      <c r="H30" s="31">
        <f>CE!C25</f>
        <v>0.95860000000000001</v>
      </c>
      <c r="I30" s="32">
        <f>CE!G25</f>
        <v>532</v>
      </c>
      <c r="J30" s="33">
        <f>GE!C25</f>
        <v>0.95389999999999997</v>
      </c>
      <c r="K30" s="32">
        <f>GE!G25</f>
        <v>608</v>
      </c>
      <c r="L30" s="33">
        <f>ME!C25</f>
        <v>0.96630000000000005</v>
      </c>
      <c r="M30" s="32">
        <f>ME!G25</f>
        <v>623</v>
      </c>
      <c r="N30" s="33">
        <f>SAMPLE!C25</f>
        <v>0.95250000000000001</v>
      </c>
      <c r="O30" s="32">
        <f>SAMPLE!G25</f>
        <v>589</v>
      </c>
      <c r="P30" s="33">
        <f>'Sheldon Elementary'!C25</f>
        <v>0.95620000000000005</v>
      </c>
      <c r="Q30" s="32">
        <f>'Sheldon Elementary'!D25</f>
        <v>594</v>
      </c>
      <c r="R30" s="33">
        <f>SLE!C25</f>
        <v>0.97270000000000001</v>
      </c>
      <c r="S30" s="32">
        <f>SLE!G25</f>
        <v>622</v>
      </c>
      <c r="T30" s="33">
        <f>CECA!C25</f>
        <v>0.94410000000000005</v>
      </c>
      <c r="U30" s="32">
        <f>CECA!G25</f>
        <v>547</v>
      </c>
      <c r="V30" s="33">
        <f>SECA!C25</f>
        <v>0.94030000000000002</v>
      </c>
      <c r="W30" s="32">
        <f>SECA!G25</f>
        <v>553</v>
      </c>
      <c r="X30" s="33">
        <f>KHS!C25</f>
        <v>0.94410000000000005</v>
      </c>
      <c r="Y30" s="34">
        <f>KHS!G25</f>
        <v>2632</v>
      </c>
      <c r="Z30" s="33">
        <f>'9TH CAMP'!C25</f>
        <v>0.94</v>
      </c>
      <c r="AA30" s="34">
        <f>'9TH CAMP'!G25</f>
        <v>600</v>
      </c>
      <c r="AB30" s="33">
        <f>ECHS!C25</f>
        <v>0.98460000000000003</v>
      </c>
      <c r="AC30" s="32">
        <f>ECHS!G25</f>
        <v>455</v>
      </c>
      <c r="AD30" s="33">
        <f>KMS!C25</f>
        <v>0.96030000000000004</v>
      </c>
      <c r="AE30" s="32">
        <f>KMS!G25</f>
        <v>1359</v>
      </c>
      <c r="AF30" s="33">
        <f>NMS!C25</f>
        <v>0.95009999999999994</v>
      </c>
      <c r="AG30" s="32">
        <f>NMS!G25</f>
        <v>1042</v>
      </c>
      <c r="AH30" s="36">
        <f>Highpoint!C24</f>
        <v>0</v>
      </c>
      <c r="AI30" s="37">
        <f>KASE!D22</f>
        <v>96</v>
      </c>
      <c r="AJ30" s="38"/>
      <c r="AK30" s="39">
        <f t="shared" si="13"/>
        <v>0.95566923076923083</v>
      </c>
      <c r="AL30" s="40"/>
    </row>
    <row r="31" spans="1:38" ht="12.75" x14ac:dyDescent="0.2">
      <c r="A31" s="25"/>
      <c r="B31" s="41">
        <f t="shared" si="16"/>
        <v>8550</v>
      </c>
      <c r="C31" s="27" t="s">
        <v>56</v>
      </c>
      <c r="D31" s="28">
        <v>45541</v>
      </c>
      <c r="E31" s="27" t="s">
        <v>41</v>
      </c>
      <c r="F31" s="29"/>
      <c r="G31" s="30">
        <f t="shared" si="15"/>
        <v>10856</v>
      </c>
      <c r="H31" s="31">
        <f>CE!C26</f>
        <v>0.91930000000000001</v>
      </c>
      <c r="I31" s="32">
        <f>CE!G26</f>
        <v>533</v>
      </c>
      <c r="J31" s="33">
        <f>GE!C26</f>
        <v>0.93910000000000005</v>
      </c>
      <c r="K31" s="32">
        <f>GE!G26</f>
        <v>608</v>
      </c>
      <c r="L31" s="33">
        <f>ME!C26</f>
        <v>0.94869999999999999</v>
      </c>
      <c r="M31" s="32">
        <f>ME!G26</f>
        <v>624</v>
      </c>
      <c r="N31" s="33">
        <f>SAMPLE!C26</f>
        <v>0.96899999999999997</v>
      </c>
      <c r="O31" s="32">
        <f>SAMPLE!G26</f>
        <v>589</v>
      </c>
      <c r="P31" s="33">
        <f>'Sheldon Elementary'!C26</f>
        <v>0.95279999999999998</v>
      </c>
      <c r="Q31" s="32">
        <f>'Sheldon Elementary'!D26</f>
        <v>593</v>
      </c>
      <c r="R31" s="33">
        <f>SLE!C26</f>
        <v>0.95150000000000001</v>
      </c>
      <c r="S31" s="32">
        <f>SLE!G26</f>
        <v>622</v>
      </c>
      <c r="T31" s="33">
        <f>CECA!C26</f>
        <v>0.91459999999999997</v>
      </c>
      <c r="U31" s="32">
        <f>CECA!G26</f>
        <v>548</v>
      </c>
      <c r="V31" s="33">
        <f>SECA!C26</f>
        <v>0.90659999999999996</v>
      </c>
      <c r="W31" s="32">
        <f>SECA!G26</f>
        <v>553</v>
      </c>
      <c r="X31" s="33">
        <f>KHS!C26</f>
        <v>0.91759999999999997</v>
      </c>
      <c r="Y31" s="34">
        <f>KHS!G26</f>
        <v>2633</v>
      </c>
      <c r="Z31" s="33">
        <f>'9TH CAMP'!C26</f>
        <v>0.93179999999999996</v>
      </c>
      <c r="AA31" s="34">
        <f>'9TH CAMP'!G26</f>
        <v>601</v>
      </c>
      <c r="AB31" s="33">
        <f>ECHS!C26</f>
        <v>0.96040000000000003</v>
      </c>
      <c r="AC31" s="32">
        <f>ECHS!G26</f>
        <v>455</v>
      </c>
      <c r="AD31" s="33">
        <f>KMS!C26</f>
        <v>0.94789999999999996</v>
      </c>
      <c r="AE31" s="32">
        <f>KMS!G26</f>
        <v>1362</v>
      </c>
      <c r="AF31" s="33">
        <f>NMS!C26</f>
        <v>0.94520000000000004</v>
      </c>
      <c r="AG31" s="32">
        <f>NMS!G26</f>
        <v>1040</v>
      </c>
      <c r="AH31" s="36">
        <f>Highpoint!C25</f>
        <v>0</v>
      </c>
      <c r="AI31" s="37">
        <f>KASE!D23</f>
        <v>95</v>
      </c>
      <c r="AJ31" s="38"/>
      <c r="AK31" s="39">
        <f t="shared" si="13"/>
        <v>0.93880769230769223</v>
      </c>
      <c r="AL31" s="40"/>
    </row>
    <row r="32" spans="1:38" ht="12.75" x14ac:dyDescent="0.2">
      <c r="A32" s="25"/>
      <c r="B32" s="41">
        <f t="shared" si="16"/>
        <v>9000</v>
      </c>
      <c r="C32" s="27" t="s">
        <v>57</v>
      </c>
      <c r="D32" s="28">
        <v>45544</v>
      </c>
      <c r="E32" s="27" t="s">
        <v>33</v>
      </c>
      <c r="F32" s="29"/>
      <c r="G32" s="30">
        <f t="shared" si="15"/>
        <v>10866</v>
      </c>
      <c r="H32" s="31">
        <f>CE!C27</f>
        <v>0.96060000000000001</v>
      </c>
      <c r="I32" s="32">
        <f>CE!G27</f>
        <v>533</v>
      </c>
      <c r="J32" s="33">
        <f>GE!C27</f>
        <v>0.93910000000000005</v>
      </c>
      <c r="K32" s="32">
        <f>GE!G27</f>
        <v>608</v>
      </c>
      <c r="L32" s="33">
        <f>ME!C27</f>
        <v>0.94899999999999995</v>
      </c>
      <c r="M32" s="32">
        <f>ME!G27</f>
        <v>628</v>
      </c>
      <c r="N32" s="33">
        <f>SAMPLE!C27</f>
        <v>0.95099999999999996</v>
      </c>
      <c r="O32" s="32">
        <f>SAMPLE!G27</f>
        <v>592</v>
      </c>
      <c r="P32" s="33">
        <f>'Sheldon Elementary'!C27</f>
        <v>0.96950000000000003</v>
      </c>
      <c r="Q32" s="32">
        <f>'Sheldon Elementary'!D27</f>
        <v>591</v>
      </c>
      <c r="R32" s="33">
        <f>SLE!C27</f>
        <v>0.95830000000000004</v>
      </c>
      <c r="S32" s="32">
        <f>SLE!G27</f>
        <v>623</v>
      </c>
      <c r="T32" s="33">
        <f>CECA!C27</f>
        <v>0.93620000000000003</v>
      </c>
      <c r="U32" s="32">
        <f>CECA!G27</f>
        <v>548</v>
      </c>
      <c r="V32" s="33">
        <f>SECA!C27</f>
        <v>0.91969999999999996</v>
      </c>
      <c r="W32" s="32">
        <f>SECA!G27</f>
        <v>553</v>
      </c>
      <c r="X32" s="33">
        <f>KHS!C27</f>
        <v>0.94189999999999996</v>
      </c>
      <c r="Y32" s="34">
        <f>KHS!G27</f>
        <v>2633</v>
      </c>
      <c r="Z32" s="33">
        <f>'9TH CAMP'!C27</f>
        <v>0.95540000000000003</v>
      </c>
      <c r="AA32" s="34">
        <f>'9TH CAMP'!G27</f>
        <v>605</v>
      </c>
      <c r="AB32" s="33">
        <f>ECHS!C27</f>
        <v>0.97140000000000004</v>
      </c>
      <c r="AC32" s="32">
        <f>ECHS!G27</f>
        <v>455</v>
      </c>
      <c r="AD32" s="33">
        <f>KMS!C27</f>
        <v>0.96550000000000002</v>
      </c>
      <c r="AE32" s="32">
        <f>KMS!G27</f>
        <v>1361</v>
      </c>
      <c r="AF32" s="33">
        <f>NMS!C27</f>
        <v>0.95099999999999996</v>
      </c>
      <c r="AG32" s="32">
        <f>NMS!G27</f>
        <v>1040</v>
      </c>
      <c r="AH32" s="36">
        <f>Highpoint!C26</f>
        <v>0</v>
      </c>
      <c r="AI32" s="37">
        <f>KASE!D24</f>
        <v>96</v>
      </c>
      <c r="AJ32" s="38"/>
      <c r="AK32" s="39">
        <f t="shared" si="13"/>
        <v>0.95143076923076919</v>
      </c>
      <c r="AL32" s="40"/>
    </row>
    <row r="33" spans="1:38" ht="12.75" x14ac:dyDescent="0.2">
      <c r="A33" s="25"/>
      <c r="B33" s="41">
        <f t="shared" si="16"/>
        <v>9450</v>
      </c>
      <c r="C33" s="27" t="s">
        <v>58</v>
      </c>
      <c r="D33" s="28">
        <v>45545</v>
      </c>
      <c r="E33" s="27" t="s">
        <v>35</v>
      </c>
      <c r="F33" s="29"/>
      <c r="G33" s="30">
        <f t="shared" si="15"/>
        <v>10883</v>
      </c>
      <c r="H33" s="31">
        <f>CE!C28</f>
        <v>0.96060000000000001</v>
      </c>
      <c r="I33" s="32">
        <f>CE!G28</f>
        <v>533</v>
      </c>
      <c r="J33" s="33">
        <f>GE!C28</f>
        <v>0.96220000000000006</v>
      </c>
      <c r="K33" s="32">
        <f>GE!G28</f>
        <v>607</v>
      </c>
      <c r="L33" s="33">
        <f>ME!C28</f>
        <v>0.94899999999999995</v>
      </c>
      <c r="M33" s="32">
        <f>ME!G28</f>
        <v>628</v>
      </c>
      <c r="N33" s="33">
        <f>SAMPLE!C28</f>
        <v>0.94289999999999996</v>
      </c>
      <c r="O33" s="32">
        <f>SAMPLE!G28</f>
        <v>595</v>
      </c>
      <c r="P33" s="33">
        <f>'Sheldon Elementary'!C28</f>
        <v>0.95420000000000005</v>
      </c>
      <c r="Q33" s="32">
        <f>'Sheldon Elementary'!D28</f>
        <v>590</v>
      </c>
      <c r="R33" s="33">
        <f>SLE!C28</f>
        <v>0.95850000000000002</v>
      </c>
      <c r="S33" s="32">
        <f>SLE!G28</f>
        <v>627</v>
      </c>
      <c r="T33" s="33">
        <f>CECA!C28</f>
        <v>0.93400000000000005</v>
      </c>
      <c r="U33" s="32">
        <f>CECA!G28</f>
        <v>549</v>
      </c>
      <c r="V33" s="33">
        <f>SECA!C28</f>
        <v>0.92730000000000001</v>
      </c>
      <c r="W33" s="32">
        <f>SECA!G28</f>
        <v>554</v>
      </c>
      <c r="X33" s="33">
        <f>KHS!C28</f>
        <v>0.94469999999999998</v>
      </c>
      <c r="Y33" s="34">
        <f>KHS!G28</f>
        <v>2638</v>
      </c>
      <c r="Z33" s="33">
        <f>'9TH CAMP'!C28</f>
        <v>0.94089999999999996</v>
      </c>
      <c r="AA33" s="34">
        <f>'9TH CAMP'!G28</f>
        <v>609</v>
      </c>
      <c r="AB33" s="33">
        <f>ECHS!C28</f>
        <v>0.9758</v>
      </c>
      <c r="AC33" s="32">
        <f>ECHS!G28</f>
        <v>455</v>
      </c>
      <c r="AD33" s="33">
        <f>KMS!C28</f>
        <v>0.96619999999999995</v>
      </c>
      <c r="AE33" s="32">
        <f>KMS!G28</f>
        <v>1361</v>
      </c>
      <c r="AF33" s="33">
        <f>NMS!C28</f>
        <v>0.96630000000000005</v>
      </c>
      <c r="AG33" s="32">
        <f>NMS!G28</f>
        <v>1041</v>
      </c>
      <c r="AH33" s="36">
        <f>Highpoint!C27</f>
        <v>0</v>
      </c>
      <c r="AI33" s="37">
        <f>KASE!D25</f>
        <v>96</v>
      </c>
      <c r="AJ33" s="38"/>
      <c r="AK33" s="39">
        <f t="shared" si="13"/>
        <v>0.95250769230769217</v>
      </c>
      <c r="AL33" s="40"/>
    </row>
    <row r="34" spans="1:38" ht="12.75" x14ac:dyDescent="0.2">
      <c r="A34" s="25"/>
      <c r="B34" s="41">
        <f t="shared" si="16"/>
        <v>9900</v>
      </c>
      <c r="C34" s="27" t="s">
        <v>59</v>
      </c>
      <c r="D34" s="28">
        <v>45546</v>
      </c>
      <c r="E34" s="27" t="s">
        <v>37</v>
      </c>
      <c r="F34" s="29"/>
      <c r="G34" s="30">
        <f t="shared" si="15"/>
        <v>10894</v>
      </c>
      <c r="H34" s="31">
        <f>CE!C29</f>
        <v>0.9607</v>
      </c>
      <c r="I34" s="32">
        <f>CE!G29</f>
        <v>534</v>
      </c>
      <c r="J34" s="33">
        <f>GE!C29</f>
        <v>0.95569999999999999</v>
      </c>
      <c r="K34" s="32">
        <f>GE!G29</f>
        <v>609</v>
      </c>
      <c r="L34" s="33">
        <f>ME!C29</f>
        <v>0.95220000000000005</v>
      </c>
      <c r="M34" s="32">
        <f>ME!G29</f>
        <v>628</v>
      </c>
      <c r="N34" s="33">
        <f>SAMPLE!C29</f>
        <v>0.94120000000000004</v>
      </c>
      <c r="O34" s="32">
        <f>SAMPLE!G29</f>
        <v>595</v>
      </c>
      <c r="P34" s="33">
        <f>'Sheldon Elementary'!C29</f>
        <v>0.94920000000000004</v>
      </c>
      <c r="Q34" s="32">
        <f>'Sheldon Elementary'!D29</f>
        <v>590</v>
      </c>
      <c r="R34" s="33">
        <f>SLE!C29</f>
        <v>0.95220000000000005</v>
      </c>
      <c r="S34" s="32">
        <f>SLE!G29</f>
        <v>627</v>
      </c>
      <c r="T34" s="33">
        <f>CECA!C29</f>
        <v>0.92779999999999996</v>
      </c>
      <c r="U34" s="32">
        <f>CECA!G29</f>
        <v>554</v>
      </c>
      <c r="V34" s="33">
        <f>SECA!C29</f>
        <v>0.92069999999999996</v>
      </c>
      <c r="W34" s="32">
        <f>SECA!G29</f>
        <v>553</v>
      </c>
      <c r="X34" s="33">
        <f>KHS!C29</f>
        <v>0.94159999999999999</v>
      </c>
      <c r="Y34" s="34">
        <f>KHS!G29</f>
        <v>2638</v>
      </c>
      <c r="Z34" s="33">
        <f>'9TH CAMP'!C29</f>
        <v>0.92449999999999999</v>
      </c>
      <c r="AA34" s="34">
        <f>'9TH CAMP'!G29</f>
        <v>609</v>
      </c>
      <c r="AB34" s="33">
        <f>ECHS!C29</f>
        <v>0.97799999999999998</v>
      </c>
      <c r="AC34" s="32">
        <f>ECHS!G29</f>
        <v>455</v>
      </c>
      <c r="AD34" s="33">
        <f>KMS!C29</f>
        <v>0.95740000000000003</v>
      </c>
      <c r="AE34" s="32">
        <f>KMS!G29</f>
        <v>1362</v>
      </c>
      <c r="AF34" s="33">
        <f>NMS!C29</f>
        <v>0.94820000000000004</v>
      </c>
      <c r="AG34" s="32">
        <f>NMS!G29</f>
        <v>1041</v>
      </c>
      <c r="AH34" s="36">
        <f>Highpoint!C28</f>
        <v>0</v>
      </c>
      <c r="AI34" s="37">
        <f>KASE!D26</f>
        <v>99</v>
      </c>
      <c r="AJ34" s="38"/>
      <c r="AK34" s="39">
        <f t="shared" si="13"/>
        <v>0.94687692307692306</v>
      </c>
      <c r="AL34" s="40"/>
    </row>
    <row r="35" spans="1:38" ht="12.75" x14ac:dyDescent="0.2">
      <c r="A35" s="25"/>
      <c r="B35" s="41">
        <f t="shared" si="16"/>
        <v>10350</v>
      </c>
      <c r="C35" s="27" t="s">
        <v>60</v>
      </c>
      <c r="D35" s="28">
        <v>45547</v>
      </c>
      <c r="E35" s="27" t="s">
        <v>39</v>
      </c>
      <c r="F35" s="29"/>
      <c r="G35" s="30">
        <f t="shared" si="15"/>
        <v>10895</v>
      </c>
      <c r="H35" s="31">
        <f>CE!C30</f>
        <v>0.96630000000000005</v>
      </c>
      <c r="I35" s="32">
        <f>CE!G30</f>
        <v>534</v>
      </c>
      <c r="J35" s="33">
        <f>GE!C30</f>
        <v>0.95409999999999995</v>
      </c>
      <c r="K35" s="32">
        <f>GE!G30</f>
        <v>610</v>
      </c>
      <c r="L35" s="33">
        <f>ME!C30</f>
        <v>0.96970000000000001</v>
      </c>
      <c r="M35" s="32">
        <f>ME!G30</f>
        <v>627</v>
      </c>
      <c r="N35" s="33">
        <f>SAMPLE!C30</f>
        <v>0.95799999999999996</v>
      </c>
      <c r="O35" s="32">
        <f>SAMPLE!G30</f>
        <v>595</v>
      </c>
      <c r="P35" s="33">
        <f>'Sheldon Elementary'!C30</f>
        <v>0.96440000000000003</v>
      </c>
      <c r="Q35" s="32">
        <f>'Sheldon Elementary'!D30</f>
        <v>590</v>
      </c>
      <c r="R35" s="33">
        <f>SLE!C30</f>
        <v>0.9617</v>
      </c>
      <c r="S35" s="32">
        <f>SLE!G30</f>
        <v>627</v>
      </c>
      <c r="T35" s="33">
        <f>CECA!C30</f>
        <v>0.94379999999999997</v>
      </c>
      <c r="U35" s="32">
        <f>CECA!G30</f>
        <v>555</v>
      </c>
      <c r="V35" s="33">
        <f>SECA!C30</f>
        <v>0.91410000000000002</v>
      </c>
      <c r="W35" s="32">
        <f>SECA!G30</f>
        <v>553</v>
      </c>
      <c r="X35" s="33">
        <f>KHS!C30</f>
        <v>0.95220000000000005</v>
      </c>
      <c r="Y35" s="34">
        <f>KHS!G30</f>
        <v>2637</v>
      </c>
      <c r="Z35" s="33">
        <f>'9TH CAMP'!C30</f>
        <v>0.94750000000000001</v>
      </c>
      <c r="AA35" s="34">
        <f>'9TH CAMP'!G30</f>
        <v>609</v>
      </c>
      <c r="AB35" s="33">
        <f>ECHS!C30</f>
        <v>0.97360000000000002</v>
      </c>
      <c r="AC35" s="32">
        <f>ECHS!G30</f>
        <v>455</v>
      </c>
      <c r="AD35" s="33">
        <f>KMS!C30</f>
        <v>0.96330000000000005</v>
      </c>
      <c r="AE35" s="32">
        <f>KMS!G30</f>
        <v>1363</v>
      </c>
      <c r="AF35" s="33">
        <f>NMS!C30</f>
        <v>0.94820000000000004</v>
      </c>
      <c r="AG35" s="32">
        <f>NMS!G30</f>
        <v>1041</v>
      </c>
      <c r="AH35" s="36">
        <f>Highpoint!C29</f>
        <v>0</v>
      </c>
      <c r="AI35" s="37">
        <f>KASE!D27</f>
        <v>99</v>
      </c>
      <c r="AJ35" s="38"/>
      <c r="AK35" s="39">
        <f t="shared" si="13"/>
        <v>0.95514615384615387</v>
      </c>
      <c r="AL35" s="40"/>
    </row>
    <row r="36" spans="1:38" ht="12.75" x14ac:dyDescent="0.2">
      <c r="A36" s="25"/>
      <c r="B36" s="41">
        <f t="shared" si="16"/>
        <v>10800</v>
      </c>
      <c r="C36" s="27" t="s">
        <v>61</v>
      </c>
      <c r="D36" s="28">
        <v>45548</v>
      </c>
      <c r="E36" s="27" t="s">
        <v>41</v>
      </c>
      <c r="F36" s="29"/>
      <c r="G36" s="30">
        <f t="shared" si="15"/>
        <v>10893</v>
      </c>
      <c r="H36" s="31">
        <f>CE!C31</f>
        <v>0.94379999999999997</v>
      </c>
      <c r="I36" s="32">
        <f>CE!G31</f>
        <v>534</v>
      </c>
      <c r="J36" s="33">
        <f>GE!C31</f>
        <v>0.94750000000000001</v>
      </c>
      <c r="K36" s="32">
        <f>GE!G31</f>
        <v>610</v>
      </c>
      <c r="L36" s="33">
        <f>ME!C31</f>
        <v>0.94420000000000004</v>
      </c>
      <c r="M36" s="32">
        <f>ME!G31</f>
        <v>627</v>
      </c>
      <c r="N36" s="33">
        <f>SAMPLE!C31</f>
        <v>0.95630000000000004</v>
      </c>
      <c r="O36" s="32">
        <f>SAMPLE!G31</f>
        <v>595</v>
      </c>
      <c r="P36" s="33">
        <f>'Sheldon Elementary'!C31</f>
        <v>0.94750000000000001</v>
      </c>
      <c r="Q36" s="32">
        <f>'Sheldon Elementary'!D31</f>
        <v>590</v>
      </c>
      <c r="R36" s="33">
        <f>SLE!C31</f>
        <v>0.96009999999999995</v>
      </c>
      <c r="S36" s="32">
        <f>SLE!G31</f>
        <v>626</v>
      </c>
      <c r="T36" s="33">
        <f>CECA!C31</f>
        <v>0.91310000000000002</v>
      </c>
      <c r="U36" s="32">
        <f>CECA!G31</f>
        <v>553</v>
      </c>
      <c r="V36" s="33">
        <f>SECA!C31</f>
        <v>0.89690000000000003</v>
      </c>
      <c r="W36" s="32">
        <f>SECA!G31</f>
        <v>554</v>
      </c>
      <c r="X36" s="33">
        <f>KHS!C31</f>
        <v>0.92</v>
      </c>
      <c r="Y36" s="34">
        <f>KHS!G31</f>
        <v>2636</v>
      </c>
      <c r="Z36" s="33">
        <f>'9TH CAMP'!C31</f>
        <v>0.88690000000000002</v>
      </c>
      <c r="AA36" s="34">
        <f>'9TH CAMP'!G31</f>
        <v>610</v>
      </c>
      <c r="AB36" s="33">
        <f>ECHS!C31</f>
        <v>0.96260000000000001</v>
      </c>
      <c r="AC36" s="32">
        <f>ECHS!G31</f>
        <v>455</v>
      </c>
      <c r="AD36" s="33">
        <f>KMS!C31</f>
        <v>0.9405</v>
      </c>
      <c r="AE36" s="32">
        <f>KMS!G31</f>
        <v>1362</v>
      </c>
      <c r="AF36" s="33">
        <f>NMS!C31</f>
        <v>0.93940000000000001</v>
      </c>
      <c r="AG36" s="32">
        <f>NMS!G31</f>
        <v>1041</v>
      </c>
      <c r="AH36" s="36">
        <f>Highpoint!C30</f>
        <v>0</v>
      </c>
      <c r="AI36" s="37">
        <f>KASE!D28</f>
        <v>100</v>
      </c>
      <c r="AJ36" s="38"/>
      <c r="AK36" s="39">
        <f t="shared" si="13"/>
        <v>0.93529230769230765</v>
      </c>
      <c r="AL36" s="40"/>
    </row>
    <row r="37" spans="1:38" ht="12.75" x14ac:dyDescent="0.2">
      <c r="A37" s="207" t="s">
        <v>62</v>
      </c>
      <c r="B37" s="206"/>
      <c r="C37" s="206"/>
      <c r="D37" s="46">
        <v>45551</v>
      </c>
      <c r="E37" s="26" t="s">
        <v>33</v>
      </c>
      <c r="F37" s="29"/>
      <c r="G37" s="29"/>
      <c r="H37" s="47">
        <f>CE!C32</f>
        <v>0</v>
      </c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39">
        <f t="shared" si="13"/>
        <v>0</v>
      </c>
      <c r="AL37" s="48"/>
    </row>
    <row r="38" spans="1:38" ht="12.75" x14ac:dyDescent="0.2">
      <c r="A38" s="25"/>
      <c r="B38" s="41">
        <f>B36+450</f>
        <v>11250</v>
      </c>
      <c r="C38" s="49" t="s">
        <v>63</v>
      </c>
      <c r="D38" s="28">
        <v>45552</v>
      </c>
      <c r="E38" s="27" t="s">
        <v>35</v>
      </c>
      <c r="F38" s="29"/>
      <c r="G38" s="30">
        <f t="shared" ref="G38:G40" si="17">I38+K38+M38+O38+Q38+S38+U38+W38+Y38+AA38+AC38+AE38+AG38+AI38+AH38</f>
        <v>10909</v>
      </c>
      <c r="H38" s="31">
        <f>CE!C33</f>
        <v>0.9627</v>
      </c>
      <c r="I38" s="32">
        <f>CE!G33</f>
        <v>536</v>
      </c>
      <c r="J38" s="33">
        <f>GE!C33</f>
        <v>0.96709999999999996</v>
      </c>
      <c r="K38" s="32">
        <f>GE!G33</f>
        <v>607</v>
      </c>
      <c r="L38" s="33">
        <f>ME!C33</f>
        <v>0.98250000000000004</v>
      </c>
      <c r="M38" s="32">
        <f>ME!G33</f>
        <v>630</v>
      </c>
      <c r="N38" s="33">
        <f>SAMPLE!C33</f>
        <v>0.95989999999999998</v>
      </c>
      <c r="O38" s="32">
        <f>SAMPLE!G33</f>
        <v>598</v>
      </c>
      <c r="P38" s="33">
        <f>'Sheldon Elementary'!C33</f>
        <v>0.96099999999999997</v>
      </c>
      <c r="Q38" s="32">
        <f>'Sheldon Elementary'!D33</f>
        <v>589</v>
      </c>
      <c r="R38" s="33">
        <f>SLE!C33</f>
        <v>0.95709999999999995</v>
      </c>
      <c r="S38" s="32">
        <f>SLE!G33</f>
        <v>628</v>
      </c>
      <c r="T38" s="33">
        <f>CECA!C33</f>
        <v>0.94379999999999997</v>
      </c>
      <c r="U38" s="32">
        <f>CECA!G33</f>
        <v>554</v>
      </c>
      <c r="V38" s="33">
        <f>SECA!C33</f>
        <v>0.90010000000000001</v>
      </c>
      <c r="W38" s="32">
        <f>SECA!G33</f>
        <v>555</v>
      </c>
      <c r="X38" s="33">
        <f>KHS!C33</f>
        <v>0.94279999999999997</v>
      </c>
      <c r="Y38" s="34">
        <f>KHS!G33</f>
        <v>2641</v>
      </c>
      <c r="Z38" s="33">
        <f>'9TH CAMP'!C33</f>
        <v>0.94440000000000002</v>
      </c>
      <c r="AA38" s="34">
        <f>'9TH CAMP'!G33</f>
        <v>611</v>
      </c>
      <c r="AB38" s="33">
        <f>ECHS!C33</f>
        <v>0.98019999999999996</v>
      </c>
      <c r="AC38" s="32">
        <f>ECHS!G33</f>
        <v>455</v>
      </c>
      <c r="AD38" s="33">
        <f>KMS!C33</f>
        <v>0.95960000000000001</v>
      </c>
      <c r="AE38" s="32">
        <f>KMS!G33</f>
        <v>1362</v>
      </c>
      <c r="AF38" s="33">
        <f>NMS!C33</f>
        <v>0.9587</v>
      </c>
      <c r="AG38" s="32">
        <f>NMS!G33</f>
        <v>1042</v>
      </c>
      <c r="AH38" s="36">
        <f>Highpoint!C32</f>
        <v>0</v>
      </c>
      <c r="AI38" s="37">
        <f>KASE!D30</f>
        <v>101</v>
      </c>
      <c r="AJ38" s="38"/>
      <c r="AK38" s="39">
        <f t="shared" si="13"/>
        <v>0.95537692307692312</v>
      </c>
      <c r="AL38" s="40"/>
    </row>
    <row r="39" spans="1:38" ht="12.75" x14ac:dyDescent="0.2">
      <c r="A39" s="25"/>
      <c r="B39" s="41">
        <f t="shared" ref="B39:B51" si="18">B38+450</f>
        <v>11700</v>
      </c>
      <c r="C39" s="49" t="s">
        <v>64</v>
      </c>
      <c r="D39" s="28">
        <v>45553</v>
      </c>
      <c r="E39" s="27" t="s">
        <v>37</v>
      </c>
      <c r="F39" s="29"/>
      <c r="G39" s="30">
        <f t="shared" si="17"/>
        <v>10908</v>
      </c>
      <c r="H39" s="31">
        <f>CE!C34</f>
        <v>0.97570000000000001</v>
      </c>
      <c r="I39" s="32">
        <f>CE!G34</f>
        <v>536</v>
      </c>
      <c r="J39" s="33">
        <f>GE!C34</f>
        <v>0.96379999999999999</v>
      </c>
      <c r="K39" s="32">
        <f>GE!G34</f>
        <v>607</v>
      </c>
      <c r="L39" s="33">
        <f>ME!C34</f>
        <v>0.98250000000000004</v>
      </c>
      <c r="M39" s="32">
        <f>ME!G34</f>
        <v>630</v>
      </c>
      <c r="N39" s="33">
        <f>SAMPLE!C34</f>
        <v>0.96489999999999998</v>
      </c>
      <c r="O39" s="32">
        <f>SAMPLE!G34</f>
        <v>598</v>
      </c>
      <c r="P39" s="33">
        <f>'Sheldon Elementary'!C34</f>
        <v>0.97450000000000003</v>
      </c>
      <c r="Q39" s="32">
        <f>'Sheldon Elementary'!D34</f>
        <v>589</v>
      </c>
      <c r="R39" s="33">
        <f>SLE!C34</f>
        <v>0.96819999999999995</v>
      </c>
      <c r="S39" s="32">
        <f>SLE!G34</f>
        <v>628</v>
      </c>
      <c r="T39" s="33">
        <f>CECA!C34</f>
        <v>0.92449999999999999</v>
      </c>
      <c r="U39" s="32">
        <f>CECA!G34</f>
        <v>554</v>
      </c>
      <c r="V39" s="33">
        <f>SECA!C34</f>
        <v>0.9</v>
      </c>
      <c r="W39" s="32">
        <f>SECA!G34</f>
        <v>555</v>
      </c>
      <c r="X39" s="33">
        <f>KHS!C34</f>
        <v>0.9375</v>
      </c>
      <c r="Y39" s="34">
        <f>KHS!G34</f>
        <v>2641</v>
      </c>
      <c r="Z39" s="33">
        <f>'9TH CAMP'!C34</f>
        <v>0.9345</v>
      </c>
      <c r="AA39" s="34">
        <f>'9TH CAMP'!G34</f>
        <v>611</v>
      </c>
      <c r="AB39" s="33">
        <f>ECHS!C34</f>
        <v>0.97140000000000004</v>
      </c>
      <c r="AC39" s="32">
        <f>ECHS!G34</f>
        <v>455</v>
      </c>
      <c r="AD39" s="33">
        <f>KMS!C34</f>
        <v>0.9647</v>
      </c>
      <c r="AE39" s="32">
        <f>KMS!G34</f>
        <v>1361</v>
      </c>
      <c r="AF39" s="33">
        <f>NMS!C34</f>
        <v>0.95009999999999994</v>
      </c>
      <c r="AG39" s="32">
        <f>NMS!G34</f>
        <v>1042</v>
      </c>
      <c r="AH39" s="36">
        <f>Highpoint!C33</f>
        <v>0</v>
      </c>
      <c r="AI39" s="37">
        <f>KASE!D31</f>
        <v>101</v>
      </c>
      <c r="AJ39" s="38"/>
      <c r="AK39" s="39">
        <f t="shared" si="13"/>
        <v>0.95479230769230783</v>
      </c>
      <c r="AL39" s="40"/>
    </row>
    <row r="40" spans="1:38" ht="12.75" x14ac:dyDescent="0.2">
      <c r="A40" s="25"/>
      <c r="B40" s="41">
        <f t="shared" si="18"/>
        <v>12150</v>
      </c>
      <c r="C40" s="49" t="s">
        <v>65</v>
      </c>
      <c r="D40" s="28">
        <v>45554</v>
      </c>
      <c r="E40" s="27" t="s">
        <v>39</v>
      </c>
      <c r="F40" s="29"/>
      <c r="G40" s="30">
        <f t="shared" si="17"/>
        <v>10908</v>
      </c>
      <c r="H40" s="31">
        <f>CE!C35</f>
        <v>0.96830000000000005</v>
      </c>
      <c r="I40" s="32">
        <f>CE!G35</f>
        <v>536</v>
      </c>
      <c r="J40" s="33">
        <f>GE!C35</f>
        <v>0.95550000000000002</v>
      </c>
      <c r="K40" s="32">
        <f>GE!G35</f>
        <v>607</v>
      </c>
      <c r="L40" s="33">
        <f>ME!C35</f>
        <v>0.9667</v>
      </c>
      <c r="M40" s="32">
        <f>ME!G35</f>
        <v>630</v>
      </c>
      <c r="N40" s="33">
        <f>SAMPLE!C35</f>
        <v>0.94820000000000004</v>
      </c>
      <c r="O40" s="32">
        <f>SAMPLE!G35</f>
        <v>598</v>
      </c>
      <c r="P40" s="33">
        <f>'Sheldon Elementary'!C35</f>
        <v>0.95930000000000004</v>
      </c>
      <c r="Q40" s="32">
        <f>'Sheldon Elementary'!D35</f>
        <v>589</v>
      </c>
      <c r="R40" s="33">
        <f>SLE!C35</f>
        <v>0.95550000000000002</v>
      </c>
      <c r="S40" s="32">
        <f>SLE!G35</f>
        <v>628</v>
      </c>
      <c r="T40" s="33">
        <f>CECA!C35</f>
        <v>0.91220000000000001</v>
      </c>
      <c r="U40" s="32">
        <f>CECA!G35</f>
        <v>554</v>
      </c>
      <c r="V40" s="33">
        <f>SECA!C35</f>
        <v>0.89580000000000004</v>
      </c>
      <c r="W40" s="32">
        <f>SECA!G35</f>
        <v>555</v>
      </c>
      <c r="X40" s="33">
        <f>KHS!C35</f>
        <v>0.9375</v>
      </c>
      <c r="Y40" s="34">
        <f>KHS!G35</f>
        <v>2641</v>
      </c>
      <c r="Z40" s="33">
        <f>'9TH CAMP'!C35</f>
        <v>0.92959999999999998</v>
      </c>
      <c r="AA40" s="34">
        <f>'9TH CAMP'!G35</f>
        <v>611</v>
      </c>
      <c r="AB40" s="33">
        <f>ECHS!C35</f>
        <v>0.96919999999999995</v>
      </c>
      <c r="AC40" s="32">
        <f>ECHS!G35</f>
        <v>455</v>
      </c>
      <c r="AD40" s="33">
        <f>KMS!C35</f>
        <v>0.97209999999999996</v>
      </c>
      <c r="AE40" s="32">
        <f>KMS!G35</f>
        <v>1361</v>
      </c>
      <c r="AF40" s="33">
        <f>NMS!C35</f>
        <v>0.9415</v>
      </c>
      <c r="AG40" s="32">
        <f>NMS!G35</f>
        <v>1042</v>
      </c>
      <c r="AH40" s="36">
        <f>Highpoint!C34</f>
        <v>0</v>
      </c>
      <c r="AI40" s="37">
        <f>KASE!D32</f>
        <v>101</v>
      </c>
      <c r="AJ40" s="38"/>
      <c r="AK40" s="39">
        <f t="shared" si="13"/>
        <v>0.94703076923076934</v>
      </c>
      <c r="AL40" s="40"/>
    </row>
    <row r="41" spans="1:38" ht="14.25" x14ac:dyDescent="0.2">
      <c r="A41" s="25"/>
      <c r="B41" s="41">
        <f t="shared" si="18"/>
        <v>12600</v>
      </c>
      <c r="C41" s="49" t="s">
        <v>66</v>
      </c>
      <c r="D41" s="28">
        <v>45555</v>
      </c>
      <c r="E41" s="27" t="s">
        <v>41</v>
      </c>
      <c r="F41" s="29"/>
      <c r="G41" s="30">
        <f t="shared" ref="G41:G51" si="19">I41+K41+M41+O41+Q41+S41+U41+W41+Y41+AA41+AC41+AE41+AG41+AI42+AH41</f>
        <v>10903</v>
      </c>
      <c r="H41" s="31">
        <f>CE!C36</f>
        <v>0.93659999999999999</v>
      </c>
      <c r="I41" s="32">
        <f>CE!G36</f>
        <v>536</v>
      </c>
      <c r="J41" s="33">
        <f>GE!C36</f>
        <v>0.88959999999999995</v>
      </c>
      <c r="K41" s="32">
        <f>GE!G36</f>
        <v>606</v>
      </c>
      <c r="L41" s="33">
        <f>ME!C36</f>
        <v>0.94130000000000003</v>
      </c>
      <c r="M41" s="32">
        <f>ME!G36</f>
        <v>630</v>
      </c>
      <c r="N41" s="33">
        <f>SAMPLE!C36</f>
        <v>0.95289999999999997</v>
      </c>
      <c r="O41" s="32">
        <f>SAMPLE!G36</f>
        <v>595</v>
      </c>
      <c r="P41" s="33">
        <f>'Sheldon Elementary'!C36</f>
        <v>0.94399999999999995</v>
      </c>
      <c r="Q41" s="32">
        <f>'Sheldon Elementary'!D36</f>
        <v>589</v>
      </c>
      <c r="R41" s="33">
        <f>SLE!C36</f>
        <v>0.94750000000000001</v>
      </c>
      <c r="S41" s="32">
        <f>SLE!G36</f>
        <v>628</v>
      </c>
      <c r="T41" s="33">
        <f>CECA!C36</f>
        <v>0.92920000000000003</v>
      </c>
      <c r="U41" s="32">
        <f>CECA!G36</f>
        <v>555</v>
      </c>
      <c r="V41" s="33">
        <f>SECA!C36</f>
        <v>0.89149999999999996</v>
      </c>
      <c r="W41" s="32">
        <f>SECA!G36</f>
        <v>556</v>
      </c>
      <c r="X41" s="33">
        <f>KHS!C36</f>
        <v>0.92010000000000003</v>
      </c>
      <c r="Y41" s="34">
        <f>KHS!G36</f>
        <v>2641</v>
      </c>
      <c r="Z41" s="33">
        <f>'9TH CAMP'!C36</f>
        <v>0.92310000000000003</v>
      </c>
      <c r="AA41" s="34">
        <f>'9TH CAMP'!G36</f>
        <v>611</v>
      </c>
      <c r="AB41" s="33">
        <f>ECHS!C36</f>
        <v>0.9607</v>
      </c>
      <c r="AC41" s="32">
        <f>ECHS!G36</f>
        <v>455</v>
      </c>
      <c r="AD41" s="33">
        <f>KMS!C36</f>
        <v>0.95499999999999996</v>
      </c>
      <c r="AE41" s="32">
        <f>KMS!G36</f>
        <v>1357</v>
      </c>
      <c r="AF41" s="50">
        <f>NMS!C36</f>
        <v>0.77700000000000002</v>
      </c>
      <c r="AG41" s="32">
        <f>NMS!G36</f>
        <v>1043</v>
      </c>
      <c r="AH41" s="36">
        <f>Highpoint!C35</f>
        <v>0</v>
      </c>
      <c r="AI41" s="37">
        <f>KASE!D33</f>
        <v>101</v>
      </c>
      <c r="AJ41" s="38"/>
      <c r="AK41" s="39">
        <f t="shared" si="13"/>
        <v>0.92065384615384604</v>
      </c>
      <c r="AL41" s="40"/>
    </row>
    <row r="42" spans="1:38" ht="12.75" x14ac:dyDescent="0.2">
      <c r="A42" s="25"/>
      <c r="B42" s="41">
        <f t="shared" si="18"/>
        <v>13050</v>
      </c>
      <c r="C42" s="49" t="s">
        <v>67</v>
      </c>
      <c r="D42" s="28">
        <v>45558</v>
      </c>
      <c r="E42" s="27" t="s">
        <v>33</v>
      </c>
      <c r="F42" s="29"/>
      <c r="G42" s="30">
        <f t="shared" si="19"/>
        <v>10916</v>
      </c>
      <c r="H42" s="31">
        <f>CE!C37</f>
        <v>0.94969999999999999</v>
      </c>
      <c r="I42" s="32">
        <f>CE!G37</f>
        <v>537</v>
      </c>
      <c r="J42" s="33">
        <f>GE!C37</f>
        <v>0.95389999999999997</v>
      </c>
      <c r="K42" s="32">
        <f>GE!G37</f>
        <v>608</v>
      </c>
      <c r="L42" s="33">
        <f>ME!C37</f>
        <v>0.94289999999999996</v>
      </c>
      <c r="M42" s="32">
        <f>ME!G37</f>
        <v>630</v>
      </c>
      <c r="N42" s="33">
        <f>SAMPLE!C37</f>
        <v>0.94469999999999998</v>
      </c>
      <c r="O42" s="32">
        <f>SAMPLE!G37</f>
        <v>597</v>
      </c>
      <c r="P42" s="33">
        <f>'Sheldon Elementary'!C37</f>
        <v>0.95420000000000005</v>
      </c>
      <c r="Q42" s="32">
        <f>'Sheldon Elementary'!D37</f>
        <v>590</v>
      </c>
      <c r="R42" s="33">
        <f>SLE!C37</f>
        <v>0.94750000000000001</v>
      </c>
      <c r="S42" s="32">
        <f>SLE!G37</f>
        <v>629</v>
      </c>
      <c r="T42" s="33">
        <f>CECA!C37</f>
        <v>0.91249999999999998</v>
      </c>
      <c r="U42" s="32">
        <f>CECA!G37</f>
        <v>557</v>
      </c>
      <c r="V42" s="33">
        <f>SECA!C37</f>
        <v>0.89149999999999996</v>
      </c>
      <c r="W42" s="32">
        <f>SECA!G37</f>
        <v>556</v>
      </c>
      <c r="X42" s="33">
        <f>KHS!C37</f>
        <v>0.91910000000000003</v>
      </c>
      <c r="Y42" s="34">
        <f>KHS!G37</f>
        <v>2644</v>
      </c>
      <c r="Z42" s="33">
        <f>'9TH CAMP'!C37</f>
        <v>0.9395</v>
      </c>
      <c r="AA42" s="34">
        <f>'9TH CAMP'!G37</f>
        <v>612</v>
      </c>
      <c r="AB42" s="33">
        <f>ECHS!C37</f>
        <v>0.96499999999999997</v>
      </c>
      <c r="AC42" s="32">
        <f>ECHS!G37</f>
        <v>455</v>
      </c>
      <c r="AD42" s="33">
        <f>KMS!C37</f>
        <v>0.95069999999999999</v>
      </c>
      <c r="AE42" s="32">
        <f>KMS!G37</f>
        <v>1359</v>
      </c>
      <c r="AF42" s="33">
        <f>NMS!C37</f>
        <v>0.94620000000000004</v>
      </c>
      <c r="AG42" s="32">
        <f>NMS!G37</f>
        <v>1041</v>
      </c>
      <c r="AH42" s="36">
        <f>Highpoint!C36</f>
        <v>0</v>
      </c>
      <c r="AI42" s="37">
        <f>KASE!D34</f>
        <v>101</v>
      </c>
      <c r="AJ42" s="38"/>
      <c r="AK42" s="39">
        <f t="shared" si="13"/>
        <v>0.93979999999999986</v>
      </c>
      <c r="AL42" s="40"/>
    </row>
    <row r="43" spans="1:38" ht="12.75" x14ac:dyDescent="0.2">
      <c r="A43" s="25"/>
      <c r="B43" s="41">
        <f t="shared" si="18"/>
        <v>13500</v>
      </c>
      <c r="C43" s="49" t="s">
        <v>68</v>
      </c>
      <c r="D43" s="28">
        <v>45559</v>
      </c>
      <c r="E43" s="27" t="s">
        <v>35</v>
      </c>
      <c r="F43" s="29"/>
      <c r="G43" s="30">
        <f t="shared" si="19"/>
        <v>10921</v>
      </c>
      <c r="H43" s="31">
        <f>CE!C38</f>
        <v>0.9516</v>
      </c>
      <c r="I43" s="32">
        <f>CE!G38</f>
        <v>537</v>
      </c>
      <c r="J43" s="33">
        <f>GE!C38</f>
        <v>0.96050000000000002</v>
      </c>
      <c r="K43" s="32">
        <f>GE!G38</f>
        <v>608</v>
      </c>
      <c r="L43" s="33">
        <f>ME!C38</f>
        <v>0.9556</v>
      </c>
      <c r="M43" s="32">
        <f>ME!G38</f>
        <v>630</v>
      </c>
      <c r="N43" s="33">
        <f>SAMPLE!C38</f>
        <v>0.97650000000000003</v>
      </c>
      <c r="O43" s="32">
        <f>SAMPLE!G38</f>
        <v>597</v>
      </c>
      <c r="P43" s="33">
        <f>'Sheldon Elementary'!C38</f>
        <v>0.96950000000000003</v>
      </c>
      <c r="Q43" s="32">
        <f>'Sheldon Elementary'!D38</f>
        <v>590</v>
      </c>
      <c r="R43" s="33">
        <f>SLE!C38</f>
        <v>0.96020000000000005</v>
      </c>
      <c r="S43" s="32">
        <f>SLE!G38</f>
        <v>628</v>
      </c>
      <c r="T43" s="33">
        <f>CECA!C38</f>
        <v>0.94289999999999996</v>
      </c>
      <c r="U43" s="32">
        <f>CECA!G37</f>
        <v>557</v>
      </c>
      <c r="V43" s="33">
        <f>SECA!C38</f>
        <v>0.93279999999999996</v>
      </c>
      <c r="W43" s="32">
        <f>SECA!G38</f>
        <v>556</v>
      </c>
      <c r="X43" s="33">
        <f>KHS!C38</f>
        <v>0.9335</v>
      </c>
      <c r="Y43" s="34">
        <f>KHS!G38</f>
        <v>2648</v>
      </c>
      <c r="Z43" s="33">
        <f>'9TH CAMP'!C38</f>
        <v>0.95279999999999998</v>
      </c>
      <c r="AA43" s="34">
        <f>'9TH CAMP'!G38</f>
        <v>614</v>
      </c>
      <c r="AB43" s="33">
        <f>ECHS!C38</f>
        <v>0.9516</v>
      </c>
      <c r="AC43" s="32">
        <f>ECHS!G38</f>
        <v>455</v>
      </c>
      <c r="AD43" s="33">
        <f>KMS!C38</f>
        <v>0.96760000000000002</v>
      </c>
      <c r="AE43" s="32">
        <f>KMS!G38</f>
        <v>1359</v>
      </c>
      <c r="AF43" s="33">
        <f>NMS!C38</f>
        <v>0.96060000000000001</v>
      </c>
      <c r="AG43" s="32">
        <f>NMS!G38</f>
        <v>1041</v>
      </c>
      <c r="AH43" s="36">
        <f>Highpoint!C37</f>
        <v>0</v>
      </c>
      <c r="AI43" s="37">
        <f>KASE!D35</f>
        <v>101</v>
      </c>
      <c r="AJ43" s="38"/>
      <c r="AK43" s="39">
        <f t="shared" si="13"/>
        <v>0.95505384615384625</v>
      </c>
      <c r="AL43" s="40"/>
    </row>
    <row r="44" spans="1:38" ht="12.75" x14ac:dyDescent="0.2">
      <c r="A44" s="25"/>
      <c r="B44" s="41">
        <f t="shared" si="18"/>
        <v>13950</v>
      </c>
      <c r="C44" s="49" t="s">
        <v>69</v>
      </c>
      <c r="D44" s="28">
        <v>45560</v>
      </c>
      <c r="E44" s="27" t="s">
        <v>37</v>
      </c>
      <c r="F44" s="29"/>
      <c r="G44" s="30">
        <f t="shared" si="19"/>
        <v>10924</v>
      </c>
      <c r="H44" s="31">
        <f>CE!C39</f>
        <v>0.97770000000000001</v>
      </c>
      <c r="I44" s="32">
        <f>CE!G39</f>
        <v>537</v>
      </c>
      <c r="J44" s="33">
        <f>GE!C39</f>
        <v>0.97199999999999998</v>
      </c>
      <c r="K44" s="32">
        <f>GE!G39</f>
        <v>607</v>
      </c>
      <c r="L44" s="33">
        <f>ME!C39</f>
        <v>0.95399999999999996</v>
      </c>
      <c r="M44" s="32">
        <f>ME!G39</f>
        <v>630</v>
      </c>
      <c r="N44" s="33">
        <f>SAMPLE!C39</f>
        <v>0.95479999999999998</v>
      </c>
      <c r="O44" s="32">
        <f>SAMPLE!G39</f>
        <v>598</v>
      </c>
      <c r="P44" s="33">
        <f>'Sheldon Elementary'!C39</f>
        <v>0.96619999999999995</v>
      </c>
      <c r="Q44" s="32">
        <f>'Sheldon Elementary'!D39</f>
        <v>592</v>
      </c>
      <c r="R44" s="33">
        <f>SLE!C39</f>
        <v>0.97450000000000003</v>
      </c>
      <c r="S44" s="32">
        <f>SLE!G39</f>
        <v>628</v>
      </c>
      <c r="T44" s="33">
        <f>CECA!C39</f>
        <v>0.93620000000000003</v>
      </c>
      <c r="U44" s="32">
        <f>CECA!G39</f>
        <v>558</v>
      </c>
      <c r="V44" s="33">
        <f>SECA!C39</f>
        <v>0.93820000000000003</v>
      </c>
      <c r="W44" s="32">
        <f>SECA!G39</f>
        <v>556</v>
      </c>
      <c r="X44" s="33">
        <f>KHS!C39</f>
        <v>0.94779999999999998</v>
      </c>
      <c r="Y44" s="34">
        <f>KHS!G39</f>
        <v>2646</v>
      </c>
      <c r="Z44" s="33">
        <f>'9TH CAMP'!C39</f>
        <v>0.9577</v>
      </c>
      <c r="AA44" s="34">
        <f>'9TH CAMP'!G39</f>
        <v>614</v>
      </c>
      <c r="AB44" s="33">
        <f>ECHS!C39</f>
        <v>0.9758</v>
      </c>
      <c r="AC44" s="32">
        <f>ECHS!G39</f>
        <v>455</v>
      </c>
      <c r="AD44" s="33">
        <f>KMS!C39</f>
        <v>0.96389999999999998</v>
      </c>
      <c r="AE44" s="32">
        <f>KMS!G39</f>
        <v>1359</v>
      </c>
      <c r="AF44" s="33">
        <f>NMS!C39</f>
        <v>0.9587</v>
      </c>
      <c r="AG44" s="32">
        <f>NMS!G39</f>
        <v>1040</v>
      </c>
      <c r="AH44" s="36">
        <f>Highpoint!C38</f>
        <v>0</v>
      </c>
      <c r="AI44" s="37">
        <f>KASE!D36</f>
        <v>101</v>
      </c>
      <c r="AJ44" s="38"/>
      <c r="AK44" s="39">
        <f t="shared" si="13"/>
        <v>0.95980769230769236</v>
      </c>
      <c r="AL44" s="40"/>
    </row>
    <row r="45" spans="1:38" ht="12.75" x14ac:dyDescent="0.2">
      <c r="A45" s="25"/>
      <c r="B45" s="41">
        <f t="shared" si="18"/>
        <v>14400</v>
      </c>
      <c r="C45" s="49" t="s">
        <v>70</v>
      </c>
      <c r="D45" s="28">
        <v>45561</v>
      </c>
      <c r="E45" s="27" t="s">
        <v>39</v>
      </c>
      <c r="F45" s="29"/>
      <c r="G45" s="30">
        <f t="shared" si="19"/>
        <v>10928</v>
      </c>
      <c r="H45" s="31">
        <f>CE!C40</f>
        <v>0.97019999999999995</v>
      </c>
      <c r="I45" s="32">
        <f>CE!G40</f>
        <v>537</v>
      </c>
      <c r="J45" s="33">
        <f>GE!C40</f>
        <v>0.97030000000000005</v>
      </c>
      <c r="K45" s="32">
        <f>GE!G40</f>
        <v>606</v>
      </c>
      <c r="L45" s="33">
        <f>ME!C40</f>
        <v>0.92859999999999998</v>
      </c>
      <c r="M45" s="32">
        <f>ME!G40</f>
        <v>630</v>
      </c>
      <c r="N45" s="33">
        <f>SAMPLE!C40</f>
        <v>0.96989999999999998</v>
      </c>
      <c r="O45" s="32">
        <f>SAMPLE!G40</f>
        <v>598</v>
      </c>
      <c r="P45" s="33">
        <f>'Sheldon Elementary'!C40</f>
        <v>0.97640000000000005</v>
      </c>
      <c r="Q45" s="32">
        <f>'Sheldon Elementary'!D40</f>
        <v>592</v>
      </c>
      <c r="R45" s="33">
        <f>SLE!C40</f>
        <v>0.96660000000000001</v>
      </c>
      <c r="S45" s="32">
        <f>SLE!G40</f>
        <v>628</v>
      </c>
      <c r="T45" s="33">
        <f>CECA!C40</f>
        <v>0.95520000000000005</v>
      </c>
      <c r="U45" s="32">
        <f>CECA!G40</f>
        <v>558</v>
      </c>
      <c r="V45" s="33">
        <f>SECA!C40</f>
        <v>0.91769999999999996</v>
      </c>
      <c r="W45" s="32">
        <f>SECA!G40</f>
        <v>558</v>
      </c>
      <c r="X45" s="33">
        <f>KHS!C40</f>
        <v>0.93769999999999998</v>
      </c>
      <c r="Y45" s="34">
        <f>KHS!G40</f>
        <v>2646</v>
      </c>
      <c r="Z45" s="33">
        <f>'9TH CAMP'!C40</f>
        <v>0.94140000000000001</v>
      </c>
      <c r="AA45" s="34">
        <f>'9TH CAMP'!G40</f>
        <v>614</v>
      </c>
      <c r="AB45" s="33">
        <f>ECHS!C40</f>
        <v>0.97360000000000002</v>
      </c>
      <c r="AC45" s="32">
        <f>ECHS!G40</f>
        <v>455</v>
      </c>
      <c r="AD45" s="33">
        <f>KMS!C40</f>
        <v>0.96250000000000002</v>
      </c>
      <c r="AE45" s="32">
        <f>KMS!G40</f>
        <v>1360</v>
      </c>
      <c r="AF45" s="33">
        <f>NMS!C40</f>
        <v>0.95489999999999997</v>
      </c>
      <c r="AG45" s="32">
        <f>NMS!G40</f>
        <v>1042</v>
      </c>
      <c r="AH45" s="36">
        <f>Highpoint!C39</f>
        <v>0</v>
      </c>
      <c r="AI45" s="37">
        <f>KASE!D37</f>
        <v>104</v>
      </c>
      <c r="AJ45" s="38"/>
      <c r="AK45" s="39">
        <f t="shared" si="13"/>
        <v>0.9557692307692307</v>
      </c>
      <c r="AL45" s="40"/>
    </row>
    <row r="46" spans="1:38" ht="12.75" x14ac:dyDescent="0.2">
      <c r="A46" s="25"/>
      <c r="B46" s="41">
        <f t="shared" si="18"/>
        <v>14850</v>
      </c>
      <c r="C46" s="49" t="s">
        <v>71</v>
      </c>
      <c r="D46" s="28">
        <v>45562</v>
      </c>
      <c r="E46" s="27" t="s">
        <v>41</v>
      </c>
      <c r="F46" s="29"/>
      <c r="G46" s="30">
        <f t="shared" si="19"/>
        <v>10933</v>
      </c>
      <c r="H46" s="31">
        <f>CE!C41</f>
        <v>0.93669999999999998</v>
      </c>
      <c r="I46" s="32">
        <f>CE!G41</f>
        <v>537</v>
      </c>
      <c r="J46" s="33">
        <f>GE!C41</f>
        <v>0.93910000000000005</v>
      </c>
      <c r="K46" s="32">
        <f>GE!G41</f>
        <v>608</v>
      </c>
      <c r="L46" s="33">
        <f>ME!C41</f>
        <v>0.95240000000000002</v>
      </c>
      <c r="M46" s="32">
        <f>ME!G41</f>
        <v>630</v>
      </c>
      <c r="N46" s="33">
        <f>SAMPLE!C41</f>
        <v>0.96319999999999995</v>
      </c>
      <c r="O46" s="32">
        <f>SAMPLE!G41</f>
        <v>598</v>
      </c>
      <c r="P46" s="33">
        <f>'Sheldon Elementary'!C41</f>
        <v>0.94589999999999996</v>
      </c>
      <c r="Q46" s="32">
        <f>'Sheldon Elementary'!D41</f>
        <v>592</v>
      </c>
      <c r="R46" s="33">
        <f>SLE!C41</f>
        <v>0.94430000000000003</v>
      </c>
      <c r="S46" s="32">
        <f>SLE!G41</f>
        <v>628</v>
      </c>
      <c r="T46" s="33">
        <f>CECA!C41</f>
        <v>0.9194</v>
      </c>
      <c r="U46" s="32">
        <f>CECA!G41</f>
        <v>558</v>
      </c>
      <c r="V46" s="33">
        <f>SECA!C41</f>
        <v>0.86580000000000001</v>
      </c>
      <c r="W46" s="32">
        <f>SECA!G41</f>
        <v>557</v>
      </c>
      <c r="X46" s="33">
        <f>KHS!C41</f>
        <v>0.92530000000000001</v>
      </c>
      <c r="Y46" s="34">
        <f>KHS!G41</f>
        <v>2650</v>
      </c>
      <c r="Z46" s="33">
        <f>'9TH CAMP'!C41</f>
        <v>0.92510000000000003</v>
      </c>
      <c r="AA46" s="34">
        <f>'9TH CAMP'!G41</f>
        <v>614</v>
      </c>
      <c r="AB46" s="33">
        <f>ECHS!C41</f>
        <v>0.96699999999999997</v>
      </c>
      <c r="AC46" s="32">
        <f>ECHS!G41</f>
        <v>455</v>
      </c>
      <c r="AD46" s="33">
        <f>KMS!C41</f>
        <v>0.94779999999999998</v>
      </c>
      <c r="AE46" s="32">
        <f>KMS!G41</f>
        <v>1359</v>
      </c>
      <c r="AF46" s="33">
        <f>NMS!C41</f>
        <v>0.95689999999999997</v>
      </c>
      <c r="AG46" s="32">
        <f>NMS!G41</f>
        <v>1043</v>
      </c>
      <c r="AH46" s="36">
        <f>Highpoint!C40</f>
        <v>0</v>
      </c>
      <c r="AI46" s="37">
        <f>KASE!D38</f>
        <v>104</v>
      </c>
      <c r="AJ46" s="38"/>
      <c r="AK46" s="39">
        <f t="shared" si="13"/>
        <v>0.93760769230769214</v>
      </c>
      <c r="AL46" s="40"/>
    </row>
    <row r="47" spans="1:38" ht="12.75" x14ac:dyDescent="0.2">
      <c r="A47" s="25"/>
      <c r="B47" s="41">
        <f t="shared" si="18"/>
        <v>15300</v>
      </c>
      <c r="C47" s="49" t="s">
        <v>72</v>
      </c>
      <c r="D47" s="28">
        <v>45565</v>
      </c>
      <c r="E47" s="27" t="s">
        <v>33</v>
      </c>
      <c r="F47" s="29"/>
      <c r="G47" s="30">
        <f t="shared" si="19"/>
        <v>10935</v>
      </c>
      <c r="H47" s="31">
        <f>CE!C42</f>
        <v>0.94810000000000005</v>
      </c>
      <c r="I47" s="32">
        <f>CE!G42</f>
        <v>539</v>
      </c>
      <c r="J47" s="33">
        <f>GE!C42</f>
        <v>0.9456</v>
      </c>
      <c r="K47" s="32">
        <f>GE!G42</f>
        <v>607</v>
      </c>
      <c r="L47" s="33">
        <f>ME!C42</f>
        <v>0.9395</v>
      </c>
      <c r="M47" s="32">
        <f>ME!G42</f>
        <v>628</v>
      </c>
      <c r="N47" s="33">
        <f>SAMPLE!C42</f>
        <v>0.94799999999999995</v>
      </c>
      <c r="O47" s="32">
        <f>SAMPLE!G42</f>
        <v>596</v>
      </c>
      <c r="P47" s="33">
        <f>'Sheldon Elementary'!C42</f>
        <v>0.94589999999999996</v>
      </c>
      <c r="Q47" s="32">
        <f>'Sheldon Elementary'!D42</f>
        <v>592</v>
      </c>
      <c r="R47" s="33">
        <f>SLE!C42</f>
        <v>0.94110000000000005</v>
      </c>
      <c r="S47" s="32">
        <f>SLE!G42</f>
        <v>628</v>
      </c>
      <c r="T47" s="33">
        <f>CECA!C42</f>
        <v>0.92830000000000001</v>
      </c>
      <c r="U47" s="32">
        <f>CECA!G42</f>
        <v>558</v>
      </c>
      <c r="V47" s="33">
        <f>SECA!C42</f>
        <v>0.91669999999999996</v>
      </c>
      <c r="W47" s="32">
        <f>SECA!G42</f>
        <v>558</v>
      </c>
      <c r="X47" s="33">
        <f>KHS!C42</f>
        <v>0.93369999999999997</v>
      </c>
      <c r="Y47" s="34">
        <f>KHS!G42</f>
        <v>2653</v>
      </c>
      <c r="Z47" s="33">
        <f>'9TH CAMP'!C42</f>
        <v>0.95920000000000005</v>
      </c>
      <c r="AA47" s="34">
        <f>'9TH CAMP'!G42</f>
        <v>613</v>
      </c>
      <c r="AB47" s="33">
        <f>ECHS!C42</f>
        <v>0.95860000000000001</v>
      </c>
      <c r="AC47" s="32">
        <f>ECHS!G42</f>
        <v>455</v>
      </c>
      <c r="AD47" s="33">
        <f>KMS!C42</f>
        <v>0.95299999999999996</v>
      </c>
      <c r="AE47" s="32">
        <f>KMS!G42</f>
        <v>1361</v>
      </c>
      <c r="AF47" s="33">
        <f>NMS!C42</f>
        <v>0.95779999999999998</v>
      </c>
      <c r="AG47" s="32">
        <f>NMS!G42</f>
        <v>1042</v>
      </c>
      <c r="AH47" s="36">
        <f>Highpoint!C41</f>
        <v>0</v>
      </c>
      <c r="AI47" s="37">
        <f>KASE!D39</f>
        <v>104</v>
      </c>
      <c r="AJ47" s="38"/>
      <c r="AK47" s="39">
        <f t="shared" si="13"/>
        <v>0.94426923076923075</v>
      </c>
      <c r="AL47" s="40"/>
    </row>
    <row r="48" spans="1:38" ht="12.75" x14ac:dyDescent="0.2">
      <c r="A48" s="25"/>
      <c r="B48" s="41">
        <f t="shared" si="18"/>
        <v>15750</v>
      </c>
      <c r="C48" s="49" t="s">
        <v>73</v>
      </c>
      <c r="D48" s="28">
        <v>45566</v>
      </c>
      <c r="E48" s="27" t="s">
        <v>35</v>
      </c>
      <c r="F48" s="29"/>
      <c r="G48" s="30">
        <f t="shared" si="19"/>
        <v>10938</v>
      </c>
      <c r="H48" s="31">
        <f>CE!C43</f>
        <v>0.97219999999999995</v>
      </c>
      <c r="I48" s="32">
        <f>CE!G43</f>
        <v>539</v>
      </c>
      <c r="J48" s="33">
        <f>GE!C43</f>
        <v>0.94569999999999999</v>
      </c>
      <c r="K48" s="32">
        <f>GE!G43</f>
        <v>607</v>
      </c>
      <c r="L48" s="33">
        <f>ME!C43</f>
        <v>0.96499999999999997</v>
      </c>
      <c r="M48" s="32">
        <f>ME!G43</f>
        <v>628</v>
      </c>
      <c r="N48" s="33">
        <f>SAMPLE!C43</f>
        <v>0.96819999999999995</v>
      </c>
      <c r="O48" s="32">
        <f>SAMPLE!G43</f>
        <v>598</v>
      </c>
      <c r="P48" s="33">
        <f>'Sheldon Elementary'!C43</f>
        <v>0.95420000000000005</v>
      </c>
      <c r="Q48" s="32">
        <f>'Sheldon Elementary'!D43</f>
        <v>592</v>
      </c>
      <c r="R48" s="33">
        <f>SLE!C43</f>
        <v>0.95220000000000005</v>
      </c>
      <c r="S48" s="32">
        <f>SLE!G43</f>
        <v>627</v>
      </c>
      <c r="T48" s="33">
        <f>CECA!C43</f>
        <v>0.92579999999999996</v>
      </c>
      <c r="U48" s="32">
        <f>CECA!G43</f>
        <v>558</v>
      </c>
      <c r="V48" s="33">
        <f>SECA!C43</f>
        <v>0.93159999999999998</v>
      </c>
      <c r="W48" s="32">
        <f>SECA!G43</f>
        <v>559</v>
      </c>
      <c r="X48" s="33">
        <f>KHS!C43</f>
        <v>0.93969999999999998</v>
      </c>
      <c r="Y48" s="34">
        <f>KHS!G43</f>
        <v>2652</v>
      </c>
      <c r="Z48" s="33">
        <f>'9TH CAMP'!C43</f>
        <v>0.95599999999999996</v>
      </c>
      <c r="AA48" s="34">
        <f>'9TH CAMP'!G43</f>
        <v>614</v>
      </c>
      <c r="AB48" s="33">
        <f>ECHS!C43</f>
        <v>0.9758</v>
      </c>
      <c r="AC48" s="32">
        <f>ECHS!G43</f>
        <v>455</v>
      </c>
      <c r="AD48" s="33">
        <f>KMS!C43</f>
        <v>0.96399999999999997</v>
      </c>
      <c r="AE48" s="32">
        <f>KMS!G43</f>
        <v>1361</v>
      </c>
      <c r="AF48" s="33">
        <f>NMS!C43</f>
        <v>0.96360000000000001</v>
      </c>
      <c r="AG48" s="32">
        <f>NMS!G43</f>
        <v>1043</v>
      </c>
      <c r="AH48" s="36">
        <f>Highpoint!C42</f>
        <v>0</v>
      </c>
      <c r="AI48" s="37">
        <f>KASE!D40</f>
        <v>105</v>
      </c>
      <c r="AJ48" s="38"/>
      <c r="AK48" s="39">
        <f t="shared" si="13"/>
        <v>0.95492307692307687</v>
      </c>
      <c r="AL48" s="40"/>
    </row>
    <row r="49" spans="1:38" ht="12.75" x14ac:dyDescent="0.2">
      <c r="A49" s="25"/>
      <c r="B49" s="41">
        <f t="shared" si="18"/>
        <v>16200</v>
      </c>
      <c r="C49" s="49" t="s">
        <v>74</v>
      </c>
      <c r="D49" s="28">
        <v>45567</v>
      </c>
      <c r="E49" s="27" t="s">
        <v>37</v>
      </c>
      <c r="F49" s="29"/>
      <c r="G49" s="30">
        <f t="shared" si="19"/>
        <v>10945</v>
      </c>
      <c r="H49" s="31">
        <f>CE!C44</f>
        <v>0.97030000000000005</v>
      </c>
      <c r="I49" s="32">
        <f>CE!G44</f>
        <v>539</v>
      </c>
      <c r="J49" s="33">
        <f>GE!C44</f>
        <v>0.95389999999999997</v>
      </c>
      <c r="K49" s="32">
        <f>GE!G44</f>
        <v>607</v>
      </c>
      <c r="L49" s="33">
        <f>ME!C44</f>
        <v>0.95709999999999995</v>
      </c>
      <c r="M49" s="32">
        <f>ME!G44</f>
        <v>629</v>
      </c>
      <c r="N49" s="33">
        <f>SAMPLE!C44</f>
        <v>0.95660000000000001</v>
      </c>
      <c r="O49" s="32">
        <f>SAMPLE!G44</f>
        <v>598</v>
      </c>
      <c r="P49" s="33">
        <f>'Sheldon Elementary'!C44</f>
        <v>0.97789999999999999</v>
      </c>
      <c r="Q49" s="32">
        <f>'Sheldon Elementary'!D44</f>
        <v>590</v>
      </c>
      <c r="R49" s="33">
        <f>SLE!C44</f>
        <v>0.97130000000000005</v>
      </c>
      <c r="S49" s="32">
        <f>SLE!G44</f>
        <v>628</v>
      </c>
      <c r="T49" s="33">
        <f>CECA!C44</f>
        <v>0.91930000000000001</v>
      </c>
      <c r="U49" s="32">
        <f>CECA!G44</f>
        <v>558</v>
      </c>
      <c r="V49" s="33">
        <f>SECA!C44</f>
        <v>0.93300000000000005</v>
      </c>
      <c r="W49" s="32">
        <f>SECA!G44</f>
        <v>559</v>
      </c>
      <c r="X49" s="33">
        <f>KHS!C44</f>
        <v>0.93710000000000004</v>
      </c>
      <c r="Y49" s="34">
        <f>KHS!G44</f>
        <v>2655</v>
      </c>
      <c r="Z49" s="33">
        <f>'9TH CAMP'!C44</f>
        <v>0.96279999999999999</v>
      </c>
      <c r="AA49" s="34">
        <f>'9TH CAMP'!G44</f>
        <v>618</v>
      </c>
      <c r="AB49" s="33">
        <f>ECHS!C44</f>
        <v>0.96699999999999997</v>
      </c>
      <c r="AC49" s="32">
        <f>ECHS!G44</f>
        <v>455</v>
      </c>
      <c r="AD49" s="33">
        <f>KMS!C44</f>
        <v>0.96850000000000003</v>
      </c>
      <c r="AE49" s="32">
        <f>KMS!G44</f>
        <v>1363</v>
      </c>
      <c r="AF49" s="33">
        <f>NMS!C44</f>
        <v>0.96450000000000002</v>
      </c>
      <c r="AG49" s="32">
        <f>NMS!G44</f>
        <v>1043</v>
      </c>
      <c r="AH49" s="36">
        <f>Highpoint!C43</f>
        <v>0</v>
      </c>
      <c r="AI49" s="37">
        <f>KASE!D41</f>
        <v>105</v>
      </c>
      <c r="AJ49" s="38"/>
      <c r="AK49" s="39">
        <f t="shared" si="13"/>
        <v>0.95686923076923069</v>
      </c>
      <c r="AL49" s="40"/>
    </row>
    <row r="50" spans="1:38" ht="12.75" x14ac:dyDescent="0.2">
      <c r="A50" s="25"/>
      <c r="B50" s="41">
        <f t="shared" si="18"/>
        <v>16650</v>
      </c>
      <c r="C50" s="49" t="s">
        <v>75</v>
      </c>
      <c r="D50" s="28">
        <v>45568</v>
      </c>
      <c r="E50" s="27" t="s">
        <v>39</v>
      </c>
      <c r="F50" s="29"/>
      <c r="G50" s="30">
        <f t="shared" si="19"/>
        <v>10947</v>
      </c>
      <c r="H50" s="31">
        <f>CE!C45</f>
        <v>0.96660000000000001</v>
      </c>
      <c r="I50" s="32">
        <f>CE!G45</f>
        <v>539</v>
      </c>
      <c r="J50" s="33">
        <f>GE!C45</f>
        <v>0.95069999999999999</v>
      </c>
      <c r="K50" s="32">
        <f>GE!G45</f>
        <v>607</v>
      </c>
      <c r="L50" s="33">
        <f>ME!C45</f>
        <v>0.94589999999999996</v>
      </c>
      <c r="M50" s="32">
        <f>ME!G45</f>
        <v>629</v>
      </c>
      <c r="N50" s="33">
        <f>SAMPLE!C45</f>
        <v>0.96319999999999995</v>
      </c>
      <c r="O50" s="32">
        <f>SAMPLE!G45</f>
        <v>598</v>
      </c>
      <c r="P50" s="33">
        <f>'Sheldon Elementary'!C45</f>
        <v>0.97789999999999999</v>
      </c>
      <c r="Q50" s="32">
        <f>'Sheldon Elementary'!D45</f>
        <v>590</v>
      </c>
      <c r="R50" s="33">
        <f>SLE!C45</f>
        <v>0.96970000000000001</v>
      </c>
      <c r="S50" s="32">
        <f>SLE!G45</f>
        <v>628</v>
      </c>
      <c r="T50" s="33">
        <f>CECA!C45</f>
        <v>0.91479999999999995</v>
      </c>
      <c r="U50" s="32">
        <f>CECA!G45</f>
        <v>558</v>
      </c>
      <c r="V50" s="33">
        <f>SECA!C45</f>
        <v>0.93740000000000001</v>
      </c>
      <c r="W50" s="32">
        <f>SECA!G45</f>
        <v>559</v>
      </c>
      <c r="X50" s="33">
        <f>KHS!C45</f>
        <v>0.94130000000000003</v>
      </c>
      <c r="Y50" s="34">
        <f>KHS!G45</f>
        <v>2656</v>
      </c>
      <c r="Z50" s="33">
        <f>'9TH CAMP'!C45</f>
        <v>0.93689999999999996</v>
      </c>
      <c r="AA50" s="34">
        <f>'9TH CAMP'!G45</f>
        <v>618</v>
      </c>
      <c r="AB50" s="33">
        <f>ECHS!C45</f>
        <v>0.98460000000000003</v>
      </c>
      <c r="AC50" s="32">
        <f>ECHS!G45</f>
        <v>455</v>
      </c>
      <c r="AD50" s="33">
        <f>KMS!C45</f>
        <v>0.96399999999999997</v>
      </c>
      <c r="AE50" s="32">
        <f>KMS!G45</f>
        <v>1363</v>
      </c>
      <c r="AF50" s="33">
        <f>NMS!C45</f>
        <v>0.95689999999999997</v>
      </c>
      <c r="AG50" s="32">
        <f>NMS!G45</f>
        <v>1044</v>
      </c>
      <c r="AH50" s="36">
        <f>Highpoint!C44</f>
        <v>0</v>
      </c>
      <c r="AI50" s="37">
        <f>KASE!D42</f>
        <v>103</v>
      </c>
      <c r="AJ50" s="38"/>
      <c r="AK50" s="39">
        <f t="shared" si="13"/>
        <v>0.95460769230769216</v>
      </c>
      <c r="AL50" s="40"/>
    </row>
    <row r="51" spans="1:38" ht="12.75" x14ac:dyDescent="0.2">
      <c r="A51" s="25"/>
      <c r="B51" s="41">
        <f t="shared" si="18"/>
        <v>17100</v>
      </c>
      <c r="C51" s="49" t="s">
        <v>76</v>
      </c>
      <c r="D51" s="28">
        <v>45569</v>
      </c>
      <c r="E51" s="27" t="s">
        <v>41</v>
      </c>
      <c r="F51" s="29"/>
      <c r="G51" s="30">
        <f t="shared" si="19"/>
        <v>10845</v>
      </c>
      <c r="H51" s="31">
        <f>CE!C46</f>
        <v>0.92949999999999999</v>
      </c>
      <c r="I51" s="32">
        <f>CE!G46</f>
        <v>539</v>
      </c>
      <c r="J51" s="33">
        <f>GE!C46</f>
        <v>0.92110000000000003</v>
      </c>
      <c r="K51" s="32">
        <f>GE!G46</f>
        <v>607</v>
      </c>
      <c r="L51" s="33">
        <f>ME!C46</f>
        <v>0.93</v>
      </c>
      <c r="M51" s="32">
        <f>ME!G46</f>
        <v>629</v>
      </c>
      <c r="N51" s="33">
        <f>SAMPLE!C46</f>
        <v>0.91300000000000003</v>
      </c>
      <c r="O51" s="32">
        <f>SAMPLE!G46</f>
        <v>598</v>
      </c>
      <c r="P51" s="33">
        <f>'Sheldon Elementary'!C46</f>
        <v>0.95930000000000004</v>
      </c>
      <c r="Q51" s="32">
        <f>'Sheldon Elementary'!D46</f>
        <v>591</v>
      </c>
      <c r="R51" s="33">
        <f>SLE!C46</f>
        <v>0.91879999999999995</v>
      </c>
      <c r="S51" s="32">
        <f>SLE!G46</f>
        <v>628</v>
      </c>
      <c r="T51" s="33">
        <f>CECA!C46</f>
        <v>0.88180000000000003</v>
      </c>
      <c r="U51" s="32">
        <f>CECA!G46</f>
        <v>558</v>
      </c>
      <c r="V51" s="33">
        <f>SECA!C46</f>
        <v>0.91249999999999998</v>
      </c>
      <c r="W51" s="32">
        <f>SECA!G46</f>
        <v>559</v>
      </c>
      <c r="X51" s="33">
        <f>KHS!C46</f>
        <v>0.92090000000000005</v>
      </c>
      <c r="Y51" s="34">
        <f>KHS!G46</f>
        <v>2656</v>
      </c>
      <c r="Z51" s="33">
        <f>'9TH CAMP'!C46</f>
        <v>0.94650000000000001</v>
      </c>
      <c r="AA51" s="34">
        <f>'9TH CAMP'!G46</f>
        <v>617</v>
      </c>
      <c r="AB51" s="33">
        <f>ECHS!C46</f>
        <v>0.95599999999999996</v>
      </c>
      <c r="AC51" s="32">
        <f>ECHS!G46</f>
        <v>455</v>
      </c>
      <c r="AD51" s="33">
        <f>KMS!C46</f>
        <v>0.94059999999999999</v>
      </c>
      <c r="AE51" s="32">
        <f>KMS!G46</f>
        <v>1363</v>
      </c>
      <c r="AF51" s="33">
        <f>NMS!C46</f>
        <v>0.93400000000000005</v>
      </c>
      <c r="AG51" s="32">
        <f>NMS!G46</f>
        <v>1045</v>
      </c>
      <c r="AH51" s="36">
        <f>Highpoint!C45</f>
        <v>0</v>
      </c>
      <c r="AI51" s="37">
        <f>KASE!D43</f>
        <v>103</v>
      </c>
      <c r="AJ51" s="38"/>
      <c r="AK51" s="39">
        <f t="shared" si="13"/>
        <v>0.92799999999999983</v>
      </c>
      <c r="AL51" s="40"/>
    </row>
    <row r="52" spans="1:38" ht="12.75" x14ac:dyDescent="0.2">
      <c r="A52" s="205" t="s">
        <v>77</v>
      </c>
      <c r="B52" s="206"/>
      <c r="C52" s="206"/>
      <c r="D52" s="43">
        <v>45572</v>
      </c>
      <c r="E52" s="42" t="s">
        <v>33</v>
      </c>
      <c r="F52" s="44"/>
      <c r="G52" s="44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0" t="e">
        <f t="shared" si="13"/>
        <v>#DIV/0!</v>
      </c>
      <c r="AL52" s="45"/>
    </row>
    <row r="53" spans="1:38" ht="12.75" x14ac:dyDescent="0.2">
      <c r="A53" s="205" t="s">
        <v>77</v>
      </c>
      <c r="B53" s="206"/>
      <c r="C53" s="206"/>
      <c r="D53" s="43">
        <v>45573</v>
      </c>
      <c r="E53" s="42" t="s">
        <v>35</v>
      </c>
      <c r="F53" s="44"/>
      <c r="G53" s="44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0" t="e">
        <f t="shared" si="13"/>
        <v>#DIV/0!</v>
      </c>
      <c r="AL53" s="45"/>
    </row>
    <row r="54" spans="1:38" ht="12.75" x14ac:dyDescent="0.2">
      <c r="A54" s="205" t="s">
        <v>77</v>
      </c>
      <c r="B54" s="206"/>
      <c r="C54" s="206"/>
      <c r="D54" s="43">
        <v>45574</v>
      </c>
      <c r="E54" s="42" t="s">
        <v>37</v>
      </c>
      <c r="F54" s="44"/>
      <c r="G54" s="44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0" t="e">
        <f t="shared" si="13"/>
        <v>#DIV/0!</v>
      </c>
      <c r="AL54" s="45"/>
    </row>
    <row r="55" spans="1:38" ht="12.75" x14ac:dyDescent="0.2">
      <c r="A55" s="205" t="s">
        <v>77</v>
      </c>
      <c r="B55" s="206"/>
      <c r="C55" s="206"/>
      <c r="D55" s="43">
        <v>45575</v>
      </c>
      <c r="E55" s="42" t="s">
        <v>39</v>
      </c>
      <c r="F55" s="44"/>
      <c r="G55" s="44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0" t="e">
        <f t="shared" si="13"/>
        <v>#DIV/0!</v>
      </c>
      <c r="AL55" s="45"/>
    </row>
    <row r="56" spans="1:38" ht="12.75" x14ac:dyDescent="0.2">
      <c r="A56" s="205" t="s">
        <v>77</v>
      </c>
      <c r="B56" s="206"/>
      <c r="C56" s="206"/>
      <c r="D56" s="43">
        <v>45576</v>
      </c>
      <c r="E56" s="42" t="s">
        <v>41</v>
      </c>
      <c r="F56" s="44"/>
      <c r="G56" s="44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0" t="e">
        <f t="shared" si="13"/>
        <v>#DIV/0!</v>
      </c>
      <c r="AL56" s="45"/>
    </row>
    <row r="57" spans="1:38" ht="12.75" x14ac:dyDescent="0.2">
      <c r="A57" s="25"/>
      <c r="B57" s="41">
        <f>B51+450</f>
        <v>17550</v>
      </c>
      <c r="C57" s="49" t="s">
        <v>78</v>
      </c>
      <c r="D57" s="28">
        <v>45579</v>
      </c>
      <c r="E57" s="27" t="s">
        <v>33</v>
      </c>
      <c r="F57" s="29"/>
      <c r="G57" s="30">
        <f t="shared" ref="G57:G71" si="20">I57+K57+M57+O57+Q57+S57+U57+W57+Y57+AA57+AC57+AE57+AG57+AI57+AH57</f>
        <v>10945</v>
      </c>
      <c r="H57" s="31">
        <f>CE!C52</f>
        <v>0.93700000000000006</v>
      </c>
      <c r="I57" s="32">
        <f>CE!G52</f>
        <v>540</v>
      </c>
      <c r="J57" s="33">
        <f>GE!C52</f>
        <v>0.92759999999999998</v>
      </c>
      <c r="K57" s="32">
        <f>GE!G52</f>
        <v>608</v>
      </c>
      <c r="L57" s="33">
        <f>ME!C52</f>
        <v>0.92220000000000002</v>
      </c>
      <c r="M57" s="32">
        <f>ME!G52</f>
        <v>630</v>
      </c>
      <c r="N57" s="33">
        <f>SAMPLE!C52</f>
        <v>0.92520000000000002</v>
      </c>
      <c r="O57" s="32">
        <f>SAMPLE!G52</f>
        <v>602</v>
      </c>
      <c r="P57" s="33">
        <f>'Sheldon Elementary'!C52</f>
        <v>0.9032</v>
      </c>
      <c r="Q57" s="32">
        <f>'Sheldon Elementary'!D52</f>
        <v>590</v>
      </c>
      <c r="R57" s="33">
        <f>SLE!C52</f>
        <v>0.92190000000000005</v>
      </c>
      <c r="S57" s="32">
        <f>SLE!G52</f>
        <v>625</v>
      </c>
      <c r="T57" s="33">
        <f>CECA!C52</f>
        <v>0.91269999999999996</v>
      </c>
      <c r="U57" s="32">
        <f>CECA!G52</f>
        <v>559</v>
      </c>
      <c r="V57" s="33">
        <f>SECA!C52</f>
        <v>0.91930000000000001</v>
      </c>
      <c r="W57" s="32">
        <f>SECA!G52</f>
        <v>561</v>
      </c>
      <c r="X57" s="33">
        <f>KHS!C52</f>
        <v>0.92520000000000002</v>
      </c>
      <c r="Y57" s="34">
        <f>KHS!G52</f>
        <v>2646</v>
      </c>
      <c r="Z57" s="33">
        <f>'9TH CAMP'!C52</f>
        <v>0.91439999999999999</v>
      </c>
      <c r="AA57" s="34">
        <f>'9TH CAMP'!G52</f>
        <v>619</v>
      </c>
      <c r="AB57" s="33">
        <f>ECHS!C52</f>
        <v>0.9516</v>
      </c>
      <c r="AC57" s="32">
        <f>ECHS!G52</f>
        <v>455</v>
      </c>
      <c r="AD57" s="33">
        <f>KMS!C52</f>
        <v>0.94199999999999995</v>
      </c>
      <c r="AE57" s="32">
        <f>KMS!G52</f>
        <v>1363</v>
      </c>
      <c r="AF57" s="33">
        <f>NMS!C52</f>
        <v>0.91859999999999997</v>
      </c>
      <c r="AG57" s="32">
        <f>NMS!G52</f>
        <v>1044</v>
      </c>
      <c r="AH57" s="36">
        <f>Highpoint!C52</f>
        <v>0</v>
      </c>
      <c r="AI57" s="37">
        <f>KASE!D49</f>
        <v>103</v>
      </c>
      <c r="AJ57" s="38"/>
      <c r="AK57" s="39">
        <f t="shared" si="13"/>
        <v>0.92468461538461533</v>
      </c>
      <c r="AL57" s="40"/>
    </row>
    <row r="58" spans="1:38" ht="12.75" x14ac:dyDescent="0.2">
      <c r="A58" s="25"/>
      <c r="B58" s="41">
        <f t="shared" ref="B58:B71" si="21">B57+450</f>
        <v>18000</v>
      </c>
      <c r="C58" s="49" t="s">
        <v>79</v>
      </c>
      <c r="D58" s="28">
        <v>45580</v>
      </c>
      <c r="E58" s="27" t="s">
        <v>35</v>
      </c>
      <c r="F58" s="29"/>
      <c r="G58" s="30">
        <f t="shared" si="20"/>
        <v>10940</v>
      </c>
      <c r="H58" s="31">
        <f>CE!C53</f>
        <v>0.95369999999999999</v>
      </c>
      <c r="I58" s="32">
        <f>CE!G53</f>
        <v>540</v>
      </c>
      <c r="J58" s="33">
        <f>GE!C53</f>
        <v>0.96220000000000006</v>
      </c>
      <c r="K58" s="32">
        <f>GE!G53</f>
        <v>608</v>
      </c>
      <c r="L58" s="33">
        <f>ME!C53</f>
        <v>0.94130000000000003</v>
      </c>
      <c r="M58" s="32">
        <f>ME!G53</f>
        <v>630</v>
      </c>
      <c r="N58" s="33">
        <f>SAMPLE!C53</f>
        <v>0.96020000000000005</v>
      </c>
      <c r="O58" s="32">
        <f>SAMPLE!G53</f>
        <v>603</v>
      </c>
      <c r="P58" s="33">
        <f>'Sheldon Elementary'!C53</f>
        <v>0.96760000000000002</v>
      </c>
      <c r="Q58" s="32">
        <f>'Sheldon Elementary'!D53</f>
        <v>586</v>
      </c>
      <c r="R58" s="33">
        <f>SLE!C53</f>
        <v>0.9506</v>
      </c>
      <c r="S58" s="32">
        <f>SLE!G53</f>
        <v>626</v>
      </c>
      <c r="T58" s="33">
        <f>CECA!C53</f>
        <v>0.94310000000000005</v>
      </c>
      <c r="U58" s="32">
        <f>CECA!G53</f>
        <v>557</v>
      </c>
      <c r="V58" s="33">
        <f>SECA!C53</f>
        <v>0.95799999999999996</v>
      </c>
      <c r="W58" s="32">
        <f>SECA!G53</f>
        <v>562</v>
      </c>
      <c r="X58" s="33">
        <f>KHS!C53</f>
        <v>0.93940000000000001</v>
      </c>
      <c r="Y58" s="34">
        <f>KHS!G53</f>
        <v>2642</v>
      </c>
      <c r="Z58" s="33">
        <f>'9TH CAMP'!C53</f>
        <v>0.96279999999999999</v>
      </c>
      <c r="AA58" s="34">
        <f>'9TH CAMP'!G53</f>
        <v>618</v>
      </c>
      <c r="AB58" s="33">
        <f>ECHS!C53</f>
        <v>0.96260000000000001</v>
      </c>
      <c r="AC58" s="32">
        <f>ECHS!G53</f>
        <v>455</v>
      </c>
      <c r="AD58" s="33">
        <f>KMS!C53</f>
        <v>0.96109999999999995</v>
      </c>
      <c r="AE58" s="32">
        <f>KMS!G53</f>
        <v>1363</v>
      </c>
      <c r="AF58" s="33">
        <f>NMS!C53</f>
        <v>0.95040000000000002</v>
      </c>
      <c r="AG58" s="32">
        <f>NMS!G53</f>
        <v>1047</v>
      </c>
      <c r="AH58" s="36">
        <f>Highpoint!C53</f>
        <v>0</v>
      </c>
      <c r="AI58" s="37">
        <f>KASE!D50</f>
        <v>103</v>
      </c>
      <c r="AJ58" s="38"/>
      <c r="AK58" s="39">
        <f t="shared" si="13"/>
        <v>0.9548461538461539</v>
      </c>
      <c r="AL58" s="40"/>
    </row>
    <row r="59" spans="1:38" ht="12.75" x14ac:dyDescent="0.2">
      <c r="A59" s="25"/>
      <c r="B59" s="41">
        <f t="shared" si="21"/>
        <v>18450</v>
      </c>
      <c r="C59" s="49" t="s">
        <v>80</v>
      </c>
      <c r="D59" s="28">
        <v>45581</v>
      </c>
      <c r="E59" s="27" t="s">
        <v>37</v>
      </c>
      <c r="F59" s="29"/>
      <c r="G59" s="30">
        <f t="shared" si="20"/>
        <v>10938</v>
      </c>
      <c r="H59" s="31">
        <f>CE!C54</f>
        <v>0.96299999999999997</v>
      </c>
      <c r="I59" s="32">
        <f>CE!G54</f>
        <v>540</v>
      </c>
      <c r="J59" s="33">
        <f>GE!C54</f>
        <v>0.95720000000000005</v>
      </c>
      <c r="K59" s="32">
        <f>GE!G54</f>
        <v>607</v>
      </c>
      <c r="L59" s="33">
        <f>ME!C54</f>
        <v>0.9556</v>
      </c>
      <c r="M59" s="32">
        <f>ME!G54</f>
        <v>630</v>
      </c>
      <c r="N59" s="33">
        <f>SAMPLE!C54</f>
        <v>0.97350000000000003</v>
      </c>
      <c r="O59" s="32">
        <f>SAMPLE!G54</f>
        <v>604</v>
      </c>
      <c r="P59" s="33">
        <f>'Sheldon Elementary'!C54</f>
        <v>0.96230000000000004</v>
      </c>
      <c r="Q59" s="32">
        <f>'Sheldon Elementary'!D54</f>
        <v>584</v>
      </c>
      <c r="R59" s="33">
        <f>SLE!C54</f>
        <v>0.96009999999999995</v>
      </c>
      <c r="S59" s="32">
        <f>SLE!G54</f>
        <v>626</v>
      </c>
      <c r="T59" s="33">
        <f>CECA!C54</f>
        <v>0.95450000000000002</v>
      </c>
      <c r="U59" s="32">
        <f>CECA!G54</f>
        <v>557</v>
      </c>
      <c r="V59" s="33">
        <f>SECA!C54</f>
        <v>0.93740000000000001</v>
      </c>
      <c r="W59" s="32">
        <f>SECA!G54</f>
        <v>560</v>
      </c>
      <c r="X59" s="33">
        <f>KHS!C54</f>
        <v>0.9617</v>
      </c>
      <c r="Y59" s="34">
        <f>KHS!G54</f>
        <v>2640</v>
      </c>
      <c r="Z59" s="33">
        <f>'9TH CAMP'!C54</f>
        <v>0.90790000000000004</v>
      </c>
      <c r="AA59" s="34">
        <f>'9TH CAMP'!G54</f>
        <v>619</v>
      </c>
      <c r="AB59" s="33">
        <f>ECHS!C54</f>
        <v>0.98680000000000001</v>
      </c>
      <c r="AC59" s="32">
        <f>ECHS!G54</f>
        <v>455</v>
      </c>
      <c r="AD59" s="33">
        <f>KMS!C54</f>
        <v>0.96850000000000003</v>
      </c>
      <c r="AE59" s="32">
        <f>KMS!G54</f>
        <v>1364</v>
      </c>
      <c r="AF59" s="33">
        <f>NMS!C54</f>
        <v>0.95609999999999995</v>
      </c>
      <c r="AG59" s="32">
        <f>NMS!G54</f>
        <v>1048</v>
      </c>
      <c r="AH59" s="36">
        <f>Highpoint!C54</f>
        <v>0</v>
      </c>
      <c r="AI59" s="37">
        <f>KASE!D51</f>
        <v>104</v>
      </c>
      <c r="AJ59" s="38"/>
      <c r="AK59" s="39">
        <f t="shared" si="13"/>
        <v>0.95727692307692314</v>
      </c>
      <c r="AL59" s="40"/>
    </row>
    <row r="60" spans="1:38" ht="12.75" x14ac:dyDescent="0.2">
      <c r="A60" s="25"/>
      <c r="B60" s="41">
        <f t="shared" si="21"/>
        <v>18900</v>
      </c>
      <c r="C60" s="49" t="s">
        <v>81</v>
      </c>
      <c r="D60" s="28">
        <v>45582</v>
      </c>
      <c r="E60" s="27" t="s">
        <v>39</v>
      </c>
      <c r="F60" s="29"/>
      <c r="G60" s="30">
        <f t="shared" si="20"/>
        <v>10940</v>
      </c>
      <c r="H60" s="31">
        <f>CE!C55</f>
        <v>0.95189999999999997</v>
      </c>
      <c r="I60" s="32">
        <f>CE!G55</f>
        <v>540</v>
      </c>
      <c r="J60" s="33">
        <f>GE!C55</f>
        <v>0.96209999999999996</v>
      </c>
      <c r="K60" s="32">
        <f>GE!G55</f>
        <v>607</v>
      </c>
      <c r="L60" s="33">
        <f>ME!C55</f>
        <v>0.96519999999999995</v>
      </c>
      <c r="M60" s="32">
        <f>ME!G55</f>
        <v>632</v>
      </c>
      <c r="N60" s="33">
        <f>SAMPLE!C55</f>
        <v>0.96489999999999998</v>
      </c>
      <c r="O60" s="32">
        <f>SAMPLE!G55</f>
        <v>604</v>
      </c>
      <c r="P60" s="33">
        <f>'Sheldon Elementary'!C55</f>
        <v>0.93659999999999999</v>
      </c>
      <c r="Q60" s="32">
        <f>'Sheldon Elementary'!D55</f>
        <v>584</v>
      </c>
      <c r="R60" s="33">
        <f>SLE!C55</f>
        <v>0.9456</v>
      </c>
      <c r="S60" s="32">
        <f>SLE!G55</f>
        <v>625</v>
      </c>
      <c r="T60" s="33">
        <f>CECA!C55</f>
        <v>0.94989999999999997</v>
      </c>
      <c r="U60" s="32">
        <f>CECA!G55</f>
        <v>557</v>
      </c>
      <c r="V60" s="33">
        <f>SECA!C55</f>
        <v>0.95569999999999999</v>
      </c>
      <c r="W60" s="32">
        <f>SECA!G55</f>
        <v>560</v>
      </c>
      <c r="X60" s="33">
        <f>KHS!C55</f>
        <v>0.93869999999999998</v>
      </c>
      <c r="Y60" s="34">
        <f>KHS!G55</f>
        <v>2641</v>
      </c>
      <c r="Z60" s="33">
        <f>'9TH CAMP'!C55</f>
        <v>0.93369999999999997</v>
      </c>
      <c r="AA60" s="34">
        <f>'9TH CAMP'!G55</f>
        <v>618</v>
      </c>
      <c r="AB60" s="33">
        <f>ECHS!C55</f>
        <v>0.97360000000000002</v>
      </c>
      <c r="AC60" s="32">
        <f>ECHS!G55</f>
        <v>455</v>
      </c>
      <c r="AD60" s="33">
        <f>KMS!C55</f>
        <v>0.96850000000000003</v>
      </c>
      <c r="AE60" s="32">
        <f>KMS!G55</f>
        <v>1364</v>
      </c>
      <c r="AF60" s="33">
        <f>NMS!C55</f>
        <v>0.93989999999999996</v>
      </c>
      <c r="AG60" s="32">
        <f>NMS!G55</f>
        <v>1048</v>
      </c>
      <c r="AH60" s="36">
        <f>Highpoint!C55</f>
        <v>0</v>
      </c>
      <c r="AI60" s="37">
        <f>KASE!D52</f>
        <v>105</v>
      </c>
      <c r="AJ60" s="38"/>
      <c r="AK60" s="39">
        <f t="shared" si="13"/>
        <v>0.95279230769230772</v>
      </c>
      <c r="AL60" s="40"/>
    </row>
    <row r="61" spans="1:38" ht="12.75" x14ac:dyDescent="0.2">
      <c r="A61" s="25"/>
      <c r="B61" s="41">
        <f t="shared" si="21"/>
        <v>19350</v>
      </c>
      <c r="C61" s="49" t="s">
        <v>82</v>
      </c>
      <c r="D61" s="28">
        <v>45583</v>
      </c>
      <c r="E61" s="27" t="s">
        <v>41</v>
      </c>
      <c r="F61" s="29"/>
      <c r="G61" s="30">
        <f t="shared" si="20"/>
        <v>10934</v>
      </c>
      <c r="H61" s="31">
        <f>CE!C56</f>
        <v>0.93489999999999995</v>
      </c>
      <c r="I61" s="32">
        <f>CE!G56</f>
        <v>538</v>
      </c>
      <c r="J61" s="33">
        <f>GE!C56</f>
        <v>0.9274</v>
      </c>
      <c r="K61" s="32">
        <f>GE!G56</f>
        <v>607</v>
      </c>
      <c r="L61" s="33">
        <f>ME!C56</f>
        <v>0.95889999999999997</v>
      </c>
      <c r="M61" s="32">
        <f>ME!G56</f>
        <v>633</v>
      </c>
      <c r="N61" s="33">
        <f>SAMPLE!C56</f>
        <v>0.94540000000000002</v>
      </c>
      <c r="O61" s="32">
        <f>SAMPLE!G56</f>
        <v>604</v>
      </c>
      <c r="P61" s="33">
        <f>'Sheldon Elementary'!C56</f>
        <v>0.93320000000000003</v>
      </c>
      <c r="Q61" s="32">
        <f>'Sheldon Elementary'!D56</f>
        <v>584</v>
      </c>
      <c r="R61" s="33">
        <f>SLE!C56</f>
        <v>0.93959999999999999</v>
      </c>
      <c r="S61" s="32">
        <f>SLE!G56</f>
        <v>629</v>
      </c>
      <c r="T61" s="33">
        <f>CECA!C56</f>
        <v>0.9214</v>
      </c>
      <c r="U61" s="32">
        <f>CECA!G56</f>
        <v>557</v>
      </c>
      <c r="V61" s="33">
        <f>SECA!C56</f>
        <v>0.92110000000000003</v>
      </c>
      <c r="W61" s="32">
        <f>SECA!G56</f>
        <v>559</v>
      </c>
      <c r="X61" s="33">
        <f>KHS!C56</f>
        <v>0.92610000000000003</v>
      </c>
      <c r="Y61" s="34">
        <f>KHS!G56</f>
        <v>2640</v>
      </c>
      <c r="Z61" s="33">
        <f>'9TH CAMP'!C56</f>
        <v>0.91900000000000004</v>
      </c>
      <c r="AA61" s="34">
        <f>'9TH CAMP'!G56</f>
        <v>617</v>
      </c>
      <c r="AB61" s="33">
        <f>ECHS!C56</f>
        <v>0.96699999999999997</v>
      </c>
      <c r="AC61" s="32">
        <f>ECHS!G56</f>
        <v>455</v>
      </c>
      <c r="AD61" s="33">
        <f>KMS!C56</f>
        <v>0.95669999999999999</v>
      </c>
      <c r="AE61" s="32">
        <f>KMS!G56</f>
        <v>1362</v>
      </c>
      <c r="AF61" s="33">
        <f>NMS!C56</f>
        <v>0.93210000000000004</v>
      </c>
      <c r="AG61" s="32">
        <f>NMS!G56</f>
        <v>1045</v>
      </c>
      <c r="AH61" s="36">
        <f>Highpoint!C56</f>
        <v>0</v>
      </c>
      <c r="AI61" s="37">
        <f>KASE!D53</f>
        <v>104</v>
      </c>
      <c r="AJ61" s="38"/>
      <c r="AK61" s="39">
        <f t="shared" si="13"/>
        <v>0.9371384615384617</v>
      </c>
      <c r="AL61" s="40"/>
    </row>
    <row r="62" spans="1:38" ht="12.75" x14ac:dyDescent="0.2">
      <c r="A62" s="25"/>
      <c r="B62" s="41">
        <f t="shared" si="21"/>
        <v>19800</v>
      </c>
      <c r="C62" s="49" t="s">
        <v>83</v>
      </c>
      <c r="D62" s="28">
        <v>45586</v>
      </c>
      <c r="E62" s="27" t="s">
        <v>33</v>
      </c>
      <c r="F62" s="29"/>
      <c r="G62" s="30">
        <f t="shared" si="20"/>
        <v>10932</v>
      </c>
      <c r="H62" s="31">
        <f>CE!C57</f>
        <v>0.92710000000000004</v>
      </c>
      <c r="I62" s="32">
        <f>CE!G57</f>
        <v>535</v>
      </c>
      <c r="J62" s="33">
        <f>GE!C57</f>
        <v>0.94730000000000003</v>
      </c>
      <c r="K62" s="32">
        <f>GE!G57</f>
        <v>607</v>
      </c>
      <c r="L62" s="33">
        <f>ME!C57</f>
        <v>0.94159999999999999</v>
      </c>
      <c r="M62" s="32">
        <f>ME!G57</f>
        <v>634</v>
      </c>
      <c r="N62" s="33">
        <f>SAMPLE!C57</f>
        <v>0.94550000000000001</v>
      </c>
      <c r="O62" s="32">
        <f>SAMPLE!G57</f>
        <v>605</v>
      </c>
      <c r="P62" s="33">
        <f>'Sheldon Elementary'!C57</f>
        <v>0.94520000000000004</v>
      </c>
      <c r="Q62" s="32">
        <f>'Sheldon Elementary'!D57</f>
        <v>584</v>
      </c>
      <c r="R62" s="33">
        <f>SLE!C57</f>
        <v>0.9395</v>
      </c>
      <c r="S62" s="32">
        <f>SLE!G57</f>
        <v>628</v>
      </c>
      <c r="T62" s="33">
        <f>CECA!C57</f>
        <v>0.93959999999999999</v>
      </c>
      <c r="U62" s="32">
        <f>CECA!G57</f>
        <v>557</v>
      </c>
      <c r="V62" s="33">
        <f>SECA!C57</f>
        <v>0.92800000000000005</v>
      </c>
      <c r="W62" s="32">
        <f>SECA!G57</f>
        <v>561</v>
      </c>
      <c r="X62" s="33">
        <f>KHS!C57</f>
        <v>0.93410000000000004</v>
      </c>
      <c r="Y62" s="34">
        <f>KHS!G57</f>
        <v>2639</v>
      </c>
      <c r="Z62" s="33">
        <f>'9TH CAMP'!C57</f>
        <v>0.93840000000000001</v>
      </c>
      <c r="AA62" s="34">
        <f>'9TH CAMP'!G57</f>
        <v>617</v>
      </c>
      <c r="AB62" s="33">
        <f>ECHS!C57</f>
        <v>0.95820000000000005</v>
      </c>
      <c r="AC62" s="32">
        <f>ECHS!G57</f>
        <v>455</v>
      </c>
      <c r="AD62" s="33">
        <f>KMS!C57</f>
        <v>0.96389999999999998</v>
      </c>
      <c r="AE62" s="32">
        <f>KMS!G57</f>
        <v>1358</v>
      </c>
      <c r="AF62" s="33">
        <f>NMS!C57</f>
        <v>0.93230000000000002</v>
      </c>
      <c r="AG62" s="32">
        <f>NMS!G57</f>
        <v>1048</v>
      </c>
      <c r="AH62" s="36">
        <f>Highpoint!C57</f>
        <v>0</v>
      </c>
      <c r="AI62" s="37">
        <f>KASE!D54</f>
        <v>104</v>
      </c>
      <c r="AJ62" s="38"/>
      <c r="AK62" s="39">
        <f t="shared" si="13"/>
        <v>0.94159230769230762</v>
      </c>
      <c r="AL62" s="40"/>
    </row>
    <row r="63" spans="1:38" ht="12.75" x14ac:dyDescent="0.2">
      <c r="A63" s="25"/>
      <c r="B63" s="41">
        <f t="shared" si="21"/>
        <v>20250</v>
      </c>
      <c r="C63" s="49" t="s">
        <v>84</v>
      </c>
      <c r="D63" s="28">
        <v>45587</v>
      </c>
      <c r="E63" s="27" t="s">
        <v>35</v>
      </c>
      <c r="F63" s="29"/>
      <c r="G63" s="30" t="e">
        <f t="shared" si="20"/>
        <v>#REF!</v>
      </c>
      <c r="H63" s="31">
        <f>CE!C58</f>
        <v>0.93840000000000001</v>
      </c>
      <c r="I63" s="32">
        <f>CE!G58</f>
        <v>536</v>
      </c>
      <c r="J63" s="33">
        <f>GE!C58</f>
        <v>0.96209999999999996</v>
      </c>
      <c r="K63" s="32" t="e">
        <f>#REF!</f>
        <v>#REF!</v>
      </c>
      <c r="L63" s="33">
        <f>ME!C58</f>
        <v>0.96209999999999996</v>
      </c>
      <c r="M63" s="32">
        <f>ME!G58</f>
        <v>634</v>
      </c>
      <c r="N63" s="33">
        <f>SAMPLE!C58</f>
        <v>0.96360000000000001</v>
      </c>
      <c r="O63" s="32">
        <f>SAMPLE!G58</f>
        <v>605</v>
      </c>
      <c r="P63" s="33">
        <f>'Sheldon Elementary'!C58</f>
        <v>0.95899999999999996</v>
      </c>
      <c r="Q63" s="32">
        <f>'Sheldon Elementary'!D58</f>
        <v>585</v>
      </c>
      <c r="R63" s="33">
        <f>SLE!C58</f>
        <v>0.96499999999999997</v>
      </c>
      <c r="S63" s="32">
        <f>SLE!G58</f>
        <v>628</v>
      </c>
      <c r="T63" s="33">
        <f>CECA!C58</f>
        <v>0.94089999999999996</v>
      </c>
      <c r="U63" s="32">
        <f>CECA!G58</f>
        <v>558</v>
      </c>
      <c r="V63" s="33">
        <f>SECA!C58</f>
        <v>0.97309999999999997</v>
      </c>
      <c r="W63" s="32">
        <f>SECA!G58</f>
        <v>561</v>
      </c>
      <c r="X63" s="33">
        <f>KHS!C58</f>
        <v>0.94350000000000001</v>
      </c>
      <c r="Y63" s="34">
        <f>KHS!G58</f>
        <v>2638</v>
      </c>
      <c r="Z63" s="33">
        <f>'9TH CAMP'!C58</f>
        <v>0.94189999999999996</v>
      </c>
      <c r="AA63" s="34">
        <f>'9TH CAMP'!G58</f>
        <v>620</v>
      </c>
      <c r="AB63" s="33">
        <f>ECHS!C58</f>
        <v>0.96260000000000001</v>
      </c>
      <c r="AC63" s="32">
        <f>ECHS!G58</f>
        <v>455</v>
      </c>
      <c r="AD63" s="33">
        <f>KMS!C58</f>
        <v>0.9536</v>
      </c>
      <c r="AE63" s="32">
        <f>KMS!G58</f>
        <v>1359</v>
      </c>
      <c r="AF63" s="33">
        <f>NMS!C58</f>
        <v>0.9466</v>
      </c>
      <c r="AG63" s="32">
        <f>NMS!G58</f>
        <v>1048</v>
      </c>
      <c r="AH63" s="36">
        <f>Highpoint!C58</f>
        <v>0</v>
      </c>
      <c r="AI63" s="37">
        <f>KASE!D55</f>
        <v>104</v>
      </c>
      <c r="AJ63" s="38"/>
      <c r="AK63" s="39">
        <f t="shared" si="13"/>
        <v>0.95479999999999998</v>
      </c>
      <c r="AL63" s="40"/>
    </row>
    <row r="64" spans="1:38" ht="12.75" x14ac:dyDescent="0.2">
      <c r="A64" s="25"/>
      <c r="B64" s="41">
        <f t="shared" si="21"/>
        <v>20700</v>
      </c>
      <c r="C64" s="49" t="s">
        <v>85</v>
      </c>
      <c r="D64" s="28">
        <v>45588</v>
      </c>
      <c r="E64" s="27" t="s">
        <v>37</v>
      </c>
      <c r="F64" s="29"/>
      <c r="G64" s="30">
        <f t="shared" si="20"/>
        <v>10944</v>
      </c>
      <c r="H64" s="31">
        <f>CE!C59</f>
        <v>0.97570000000000001</v>
      </c>
      <c r="I64" s="32">
        <f>CE!G59</f>
        <v>536</v>
      </c>
      <c r="J64" s="33">
        <f>GE!C59</f>
        <v>0.96709999999999996</v>
      </c>
      <c r="K64" s="32">
        <f>GE!G58</f>
        <v>607</v>
      </c>
      <c r="L64" s="33">
        <f>ME!C59</f>
        <v>0.9637</v>
      </c>
      <c r="M64" s="32">
        <f>ME!G59</f>
        <v>634</v>
      </c>
      <c r="N64" s="33">
        <f>SAMPLE!C59</f>
        <v>0.95720000000000005</v>
      </c>
      <c r="O64" s="32">
        <f>SAMPLE!G59</f>
        <v>607</v>
      </c>
      <c r="P64" s="33">
        <f>'Sheldon Elementary'!C59</f>
        <v>0.94530000000000003</v>
      </c>
      <c r="Q64" s="32">
        <f>'Sheldon Elementary'!D59</f>
        <v>585</v>
      </c>
      <c r="R64" s="33">
        <f>SLE!C59</f>
        <v>0.95540000000000003</v>
      </c>
      <c r="S64" s="32">
        <f>SLE!G59</f>
        <v>628</v>
      </c>
      <c r="T64" s="33">
        <f>CECA!C59</f>
        <v>0.92730000000000001</v>
      </c>
      <c r="U64" s="32">
        <f>CECA!G59</f>
        <v>558</v>
      </c>
      <c r="V64" s="33">
        <f>SECA!C59</f>
        <v>0.95489999999999997</v>
      </c>
      <c r="W64" s="32">
        <f>SECA!G59</f>
        <v>562</v>
      </c>
      <c r="X64" s="33">
        <f>KHS!C59</f>
        <v>0.93220000000000003</v>
      </c>
      <c r="Y64" s="34">
        <f>KHS!G59</f>
        <v>2640</v>
      </c>
      <c r="Z64" s="33">
        <f>'9TH CAMP'!C59</f>
        <v>0.94030000000000002</v>
      </c>
      <c r="AA64" s="34">
        <f>'9TH CAMP'!G59</f>
        <v>620</v>
      </c>
      <c r="AB64" s="33">
        <f>ECHS!C59</f>
        <v>0.94950000000000001</v>
      </c>
      <c r="AC64" s="32">
        <f>ECHS!G59</f>
        <v>455</v>
      </c>
      <c r="AD64" s="33">
        <f>KMS!C59</f>
        <v>0.96179999999999999</v>
      </c>
      <c r="AE64" s="32">
        <f>KMS!G59</f>
        <v>1360</v>
      </c>
      <c r="AF64" s="33">
        <f>NMS!C59</f>
        <v>0.95040000000000002</v>
      </c>
      <c r="AG64" s="32">
        <f>NMS!G59</f>
        <v>1048</v>
      </c>
      <c r="AH64" s="36">
        <f>Highpoint!C59</f>
        <v>0</v>
      </c>
      <c r="AI64" s="37">
        <f>KASE!D56</f>
        <v>104</v>
      </c>
      <c r="AJ64" s="38"/>
      <c r="AK64" s="39">
        <f t="shared" si="13"/>
        <v>0.95236923076923097</v>
      </c>
      <c r="AL64" s="40"/>
    </row>
    <row r="65" spans="1:38" ht="12.75" x14ac:dyDescent="0.2">
      <c r="A65" s="25"/>
      <c r="B65" s="41">
        <f t="shared" si="21"/>
        <v>21150</v>
      </c>
      <c r="C65" s="49" t="s">
        <v>86</v>
      </c>
      <c r="D65" s="28">
        <v>45589</v>
      </c>
      <c r="E65" s="27" t="s">
        <v>39</v>
      </c>
      <c r="F65" s="29"/>
      <c r="G65" s="30">
        <f t="shared" si="20"/>
        <v>10937</v>
      </c>
      <c r="H65" s="31">
        <f>CE!C60</f>
        <v>0.96640000000000004</v>
      </c>
      <c r="I65" s="32">
        <f>CE!G60</f>
        <v>536</v>
      </c>
      <c r="J65" s="33">
        <f>GE!C60</f>
        <v>0.94389999999999996</v>
      </c>
      <c r="K65" s="32">
        <f>GE!G60</f>
        <v>606</v>
      </c>
      <c r="L65" s="33">
        <f>ME!C60</f>
        <v>0.96379999999999999</v>
      </c>
      <c r="M65" s="32">
        <f>ME!G60</f>
        <v>635</v>
      </c>
      <c r="N65" s="33">
        <f>SAMPLE!C60</f>
        <v>0.96209999999999996</v>
      </c>
      <c r="O65" s="32">
        <f>SAMPLE!G60</f>
        <v>607</v>
      </c>
      <c r="P65" s="33">
        <f>'Sheldon Elementary'!C60</f>
        <v>0.95730000000000004</v>
      </c>
      <c r="Q65" s="32">
        <f>'Sheldon Elementary'!D60</f>
        <v>585</v>
      </c>
      <c r="R65" s="33">
        <f>SLE!C60</f>
        <v>0.96460000000000001</v>
      </c>
      <c r="S65" s="32">
        <f>SLE!G60</f>
        <v>622</v>
      </c>
      <c r="T65" s="33">
        <f>CECA!C60</f>
        <v>0.94320000000000004</v>
      </c>
      <c r="U65" s="32">
        <f>CECA!G60</f>
        <v>558</v>
      </c>
      <c r="V65" s="33">
        <f>SECA!C60</f>
        <v>0.94840000000000002</v>
      </c>
      <c r="W65" s="32">
        <f>SECA!G60</f>
        <v>562</v>
      </c>
      <c r="X65" s="33">
        <f>KHS!C60</f>
        <v>0.92720000000000002</v>
      </c>
      <c r="Y65" s="34">
        <f>KHS!G60</f>
        <v>2639</v>
      </c>
      <c r="Z65" s="33">
        <f>'9TH CAMP'!C60</f>
        <v>0.93059999999999998</v>
      </c>
      <c r="AA65" s="34">
        <f>'9TH CAMP'!G60</f>
        <v>620</v>
      </c>
      <c r="AB65" s="33">
        <f>ECHS!C60</f>
        <v>0.94510000000000005</v>
      </c>
      <c r="AC65" s="32">
        <f>ECHS!G60</f>
        <v>455</v>
      </c>
      <c r="AD65" s="33">
        <f>KMS!C60</f>
        <v>0.96099999999999997</v>
      </c>
      <c r="AE65" s="32">
        <f>KMS!G60</f>
        <v>1359</v>
      </c>
      <c r="AF65" s="33">
        <f>NMS!C60</f>
        <v>0.95140000000000002</v>
      </c>
      <c r="AG65" s="32">
        <f>NMS!G60</f>
        <v>1049</v>
      </c>
      <c r="AH65" s="36">
        <f>Highpoint!C60</f>
        <v>0</v>
      </c>
      <c r="AI65" s="37">
        <f>KASE!D57</f>
        <v>104</v>
      </c>
      <c r="AJ65" s="38"/>
      <c r="AK65" s="39">
        <f t="shared" si="13"/>
        <v>0.95115384615384613</v>
      </c>
      <c r="AL65" s="40"/>
    </row>
    <row r="66" spans="1:38" ht="12.75" x14ac:dyDescent="0.2">
      <c r="A66" s="25"/>
      <c r="B66" s="41">
        <f t="shared" si="21"/>
        <v>21600</v>
      </c>
      <c r="C66" s="49" t="s">
        <v>87</v>
      </c>
      <c r="D66" s="28">
        <v>45590</v>
      </c>
      <c r="E66" s="27" t="s">
        <v>41</v>
      </c>
      <c r="F66" s="29"/>
      <c r="G66" s="30">
        <f t="shared" si="20"/>
        <v>10938</v>
      </c>
      <c r="H66" s="31">
        <f>CE!C61</f>
        <v>0.95150000000000001</v>
      </c>
      <c r="I66" s="32">
        <f>CE!G61</f>
        <v>536</v>
      </c>
      <c r="J66" s="33">
        <f>GE!C61</f>
        <v>0.91420000000000001</v>
      </c>
      <c r="K66" s="32">
        <f>GE!G61</f>
        <v>606</v>
      </c>
      <c r="L66" s="33">
        <f>ME!C61</f>
        <v>0.94489999999999996</v>
      </c>
      <c r="M66" s="32">
        <f>ME!G61</f>
        <v>635</v>
      </c>
      <c r="N66" s="33">
        <f>SAMPLE!C61</f>
        <v>0.94889999999999997</v>
      </c>
      <c r="O66" s="32">
        <f>SAMPLE!G61</f>
        <v>607</v>
      </c>
      <c r="P66" s="33">
        <f>'Sheldon Elementary'!C61</f>
        <v>0.94189999999999996</v>
      </c>
      <c r="Q66" s="32">
        <f>'Sheldon Elementary'!D61</f>
        <v>585</v>
      </c>
      <c r="R66" s="33">
        <f>SLE!C61</f>
        <v>0.93889999999999996</v>
      </c>
      <c r="S66" s="32">
        <f>SLE!G61</f>
        <v>622</v>
      </c>
      <c r="T66" s="33">
        <f>CECA!C61</f>
        <v>0.90800000000000003</v>
      </c>
      <c r="U66" s="32">
        <f>CECA!G61</f>
        <v>558</v>
      </c>
      <c r="V66" s="33">
        <f>SECA!C61</f>
        <v>0.92479999999999996</v>
      </c>
      <c r="W66" s="32">
        <f>SECA!G61</f>
        <v>562</v>
      </c>
      <c r="X66" s="33">
        <f>KHS!C61</f>
        <v>0.93030000000000002</v>
      </c>
      <c r="Y66" s="34">
        <f>KHS!G61</f>
        <v>2639</v>
      </c>
      <c r="Z66" s="33">
        <f>'9TH CAMP'!C61</f>
        <v>0.92579999999999996</v>
      </c>
      <c r="AA66" s="34">
        <f>'9TH CAMP'!G61</f>
        <v>620</v>
      </c>
      <c r="AB66" s="33">
        <f>ECHS!C61</f>
        <v>0.96040000000000003</v>
      </c>
      <c r="AC66" s="32">
        <f>ECHS!G61</f>
        <v>455</v>
      </c>
      <c r="AD66" s="33">
        <f>KMS!C61</f>
        <v>0.93820000000000003</v>
      </c>
      <c r="AE66" s="32">
        <f>KMS!G61</f>
        <v>1359</v>
      </c>
      <c r="AF66" s="33">
        <f>NMS!C61</f>
        <v>0.9133</v>
      </c>
      <c r="AG66" s="32">
        <f>NMS!G61</f>
        <v>1050</v>
      </c>
      <c r="AH66" s="36">
        <f>Highpoint!C61</f>
        <v>0</v>
      </c>
      <c r="AI66" s="37">
        <f>KASE!D58</f>
        <v>104</v>
      </c>
      <c r="AJ66" s="38"/>
      <c r="AK66" s="39">
        <f t="shared" si="13"/>
        <v>0.93393076923076934</v>
      </c>
      <c r="AL66" s="40"/>
    </row>
    <row r="67" spans="1:38" ht="12.75" x14ac:dyDescent="0.2">
      <c r="A67" s="25"/>
      <c r="B67" s="41">
        <f t="shared" si="21"/>
        <v>22050</v>
      </c>
      <c r="C67" s="49" t="s">
        <v>88</v>
      </c>
      <c r="D67" s="28">
        <v>45593</v>
      </c>
      <c r="E67" s="27" t="s">
        <v>33</v>
      </c>
      <c r="F67" s="29"/>
      <c r="G67" s="30">
        <f t="shared" si="20"/>
        <v>10936</v>
      </c>
      <c r="H67" s="31">
        <f>CE!C62</f>
        <v>0.95150000000000001</v>
      </c>
      <c r="I67" s="32">
        <f>CE!G62</f>
        <v>536</v>
      </c>
      <c r="J67" s="33">
        <f>GE!C62</f>
        <v>0.94210000000000005</v>
      </c>
      <c r="K67" s="32">
        <f>GE!G62</f>
        <v>605</v>
      </c>
      <c r="L67" s="33">
        <f>ME!C62</f>
        <v>0.93689999999999996</v>
      </c>
      <c r="M67" s="32">
        <f>ME!G62</f>
        <v>634</v>
      </c>
      <c r="N67" s="33">
        <f>SAMPLE!C62</f>
        <v>0.9637</v>
      </c>
      <c r="O67" s="32">
        <f>SAMPLE!G62</f>
        <v>606</v>
      </c>
      <c r="P67" s="33">
        <f>'Sheldon Elementary'!C62</f>
        <v>0.95050000000000001</v>
      </c>
      <c r="Q67" s="32">
        <f>'Sheldon Elementary'!D62</f>
        <v>587</v>
      </c>
      <c r="R67" s="33">
        <f>SLE!C62</f>
        <v>0.93730000000000002</v>
      </c>
      <c r="S67" s="32">
        <f>SLE!G62</f>
        <v>621</v>
      </c>
      <c r="T67" s="33">
        <f>CECA!C62</f>
        <v>0.90859999999999996</v>
      </c>
      <c r="U67" s="32">
        <f>CECA!G62</f>
        <v>555</v>
      </c>
      <c r="V67" s="33">
        <f>SECA!C62</f>
        <v>0.8982</v>
      </c>
      <c r="W67" s="32">
        <f>SECA!G62</f>
        <v>563</v>
      </c>
      <c r="X67" s="33">
        <f>KHS!C62</f>
        <v>0.92569999999999997</v>
      </c>
      <c r="Y67" s="34">
        <f>KHS!G62</f>
        <v>2639</v>
      </c>
      <c r="Z67" s="33">
        <f>'9TH CAMP'!C62</f>
        <v>0.95009999999999994</v>
      </c>
      <c r="AA67" s="34">
        <f>'9TH CAMP'!G62</f>
        <v>621</v>
      </c>
      <c r="AB67" s="33">
        <f>ECHS!C62</f>
        <v>0.94289999999999996</v>
      </c>
      <c r="AC67" s="32">
        <f>ECHS!G62</f>
        <v>455</v>
      </c>
      <c r="AD67" s="33">
        <f>KMS!C62</f>
        <v>0.95</v>
      </c>
      <c r="AE67" s="32">
        <f>KMS!G62</f>
        <v>1361</v>
      </c>
      <c r="AF67" s="33">
        <f>NMS!C62</f>
        <v>0.9476</v>
      </c>
      <c r="AG67" s="32">
        <f>NMS!G62</f>
        <v>1048</v>
      </c>
      <c r="AH67" s="36">
        <f>Highpoint!C62</f>
        <v>0</v>
      </c>
      <c r="AI67" s="37">
        <f>KASE!D59</f>
        <v>105</v>
      </c>
      <c r="AJ67" s="38"/>
      <c r="AK67" s="39">
        <f t="shared" si="13"/>
        <v>0.93885384615384604</v>
      </c>
      <c r="AL67" s="40"/>
    </row>
    <row r="68" spans="1:38" ht="12.75" x14ac:dyDescent="0.2">
      <c r="A68" s="25"/>
      <c r="B68" s="41">
        <f t="shared" si="21"/>
        <v>22500</v>
      </c>
      <c r="C68" s="49" t="s">
        <v>89</v>
      </c>
      <c r="D68" s="28">
        <v>45594</v>
      </c>
      <c r="E68" s="27" t="s">
        <v>35</v>
      </c>
      <c r="F68" s="29"/>
      <c r="G68" s="30">
        <f t="shared" si="20"/>
        <v>10930</v>
      </c>
      <c r="H68" s="31">
        <f>CE!C63</f>
        <v>0.96460000000000001</v>
      </c>
      <c r="I68" s="32">
        <f>CE!G63</f>
        <v>536</v>
      </c>
      <c r="J68" s="33">
        <f>GE!C63</f>
        <v>0.96689999999999998</v>
      </c>
      <c r="K68" s="32">
        <f>GE!G63</f>
        <v>604</v>
      </c>
      <c r="L68" s="33">
        <f>ME!C63</f>
        <v>0.9496</v>
      </c>
      <c r="M68" s="32">
        <f>ME!G63</f>
        <v>634</v>
      </c>
      <c r="N68" s="33">
        <f>SAMPLE!C63</f>
        <v>0.96030000000000004</v>
      </c>
      <c r="O68" s="32">
        <f>SAMPLE!G63</f>
        <v>605</v>
      </c>
      <c r="P68" s="33">
        <f>'Sheldon Elementary'!C63</f>
        <v>0.95730000000000004</v>
      </c>
      <c r="Q68" s="32">
        <f>'Sheldon Elementary'!D63</f>
        <v>586</v>
      </c>
      <c r="R68" s="33">
        <f>SLE!C63</f>
        <v>0.9758</v>
      </c>
      <c r="S68" s="32">
        <f>SLE!G63</f>
        <v>621</v>
      </c>
      <c r="T68" s="33">
        <f>CECA!C63</f>
        <v>0.91900000000000004</v>
      </c>
      <c r="U68" s="32">
        <f>CECA!G63</f>
        <v>556</v>
      </c>
      <c r="V68" s="33">
        <f>SECA!C63</f>
        <v>0.94520000000000004</v>
      </c>
      <c r="W68" s="32">
        <f>SECA!G63</f>
        <v>562</v>
      </c>
      <c r="X68" s="33">
        <f>KHS!C63</f>
        <v>0.93710000000000004</v>
      </c>
      <c r="Y68" s="34">
        <f>KHS!G63</f>
        <v>2639</v>
      </c>
      <c r="Z68" s="33">
        <f>'9TH CAMP'!C63</f>
        <v>0.94020000000000004</v>
      </c>
      <c r="AA68" s="34">
        <f>'9TH CAMP'!G63</f>
        <v>619</v>
      </c>
      <c r="AB68" s="33">
        <f>ECHS!C63</f>
        <v>0.98019999999999996</v>
      </c>
      <c r="AC68" s="32">
        <f>ECHS!G63</f>
        <v>455</v>
      </c>
      <c r="AD68" s="33">
        <f>KMS!C63</f>
        <v>0.96689999999999998</v>
      </c>
      <c r="AE68" s="32">
        <f>KMS!G63</f>
        <v>1360</v>
      </c>
      <c r="AF68" s="33">
        <f>NMS!C63</f>
        <v>0.95799999999999996</v>
      </c>
      <c r="AG68" s="32">
        <f>NMS!G63</f>
        <v>1048</v>
      </c>
      <c r="AH68" s="36">
        <f>Highpoint!C63</f>
        <v>0</v>
      </c>
      <c r="AI68" s="37">
        <f>KASE!D60</f>
        <v>105</v>
      </c>
      <c r="AJ68" s="38"/>
      <c r="AK68" s="39">
        <f t="shared" si="13"/>
        <v>0.95546923076923096</v>
      </c>
      <c r="AL68" s="40"/>
    </row>
    <row r="69" spans="1:38" ht="12.75" x14ac:dyDescent="0.2">
      <c r="A69" s="25"/>
      <c r="B69" s="41">
        <f t="shared" si="21"/>
        <v>22950</v>
      </c>
      <c r="C69" s="49" t="s">
        <v>90</v>
      </c>
      <c r="D69" s="28">
        <v>45595</v>
      </c>
      <c r="E69" s="27" t="s">
        <v>37</v>
      </c>
      <c r="F69" s="29"/>
      <c r="G69" s="30">
        <f t="shared" si="20"/>
        <v>10931</v>
      </c>
      <c r="H69" s="31">
        <f>CE!C64</f>
        <v>0.95509999999999995</v>
      </c>
      <c r="I69" s="32">
        <f>CE!G64</f>
        <v>535</v>
      </c>
      <c r="J69" s="33">
        <f>GE!C64</f>
        <v>0.95540000000000003</v>
      </c>
      <c r="K69" s="32">
        <f>GE!G64</f>
        <v>606</v>
      </c>
      <c r="L69" s="33">
        <f>ME!C64</f>
        <v>0.95909999999999995</v>
      </c>
      <c r="M69" s="32">
        <f>ME!G64</f>
        <v>634</v>
      </c>
      <c r="N69" s="33">
        <f>SAMPLE!C64</f>
        <v>0.97360000000000002</v>
      </c>
      <c r="O69" s="32">
        <f>SAMPLE!G64</f>
        <v>605</v>
      </c>
      <c r="P69" s="33">
        <f>'Sheldon Elementary'!C64</f>
        <v>0.94720000000000004</v>
      </c>
      <c r="Q69" s="32">
        <f>'Sheldon Elementary'!D64</f>
        <v>587</v>
      </c>
      <c r="R69" s="33">
        <f>SLE!C64</f>
        <v>0.96299999999999997</v>
      </c>
      <c r="S69" s="32">
        <f>SLE!G64</f>
        <v>622</v>
      </c>
      <c r="T69" s="33">
        <f>CECA!C64</f>
        <v>0.93589999999999995</v>
      </c>
      <c r="U69" s="32">
        <f>CECA!G64</f>
        <v>556</v>
      </c>
      <c r="V69" s="33">
        <f>SECA!C64</f>
        <v>0.94220000000000004</v>
      </c>
      <c r="W69" s="32">
        <f>SECA!G64</f>
        <v>564</v>
      </c>
      <c r="X69" s="33">
        <f>KHS!C64</f>
        <v>0.9375</v>
      </c>
      <c r="Y69" s="34">
        <f>KHS!G64</f>
        <v>2638</v>
      </c>
      <c r="Z69" s="33">
        <f>'9TH CAMP'!C64</f>
        <v>0.95</v>
      </c>
      <c r="AA69" s="34">
        <f>'9TH CAMP'!G64</f>
        <v>620</v>
      </c>
      <c r="AB69" s="33">
        <f>ECHS!C64</f>
        <v>0.97140000000000004</v>
      </c>
      <c r="AC69" s="32">
        <f>ECHS!G64</f>
        <v>455</v>
      </c>
      <c r="AD69" s="33">
        <f>KMS!C64</f>
        <v>0.96909999999999996</v>
      </c>
      <c r="AE69" s="32">
        <f>KMS!G64</f>
        <v>1358</v>
      </c>
      <c r="AF69" s="33">
        <f>NMS!C64</f>
        <v>0.94940000000000002</v>
      </c>
      <c r="AG69" s="32">
        <f>NMS!G64</f>
        <v>1048</v>
      </c>
      <c r="AH69" s="36">
        <f>Highpoint!C64</f>
        <v>0</v>
      </c>
      <c r="AI69" s="37">
        <f>KASE!D61</f>
        <v>103</v>
      </c>
      <c r="AJ69" s="38"/>
      <c r="AK69" s="39">
        <f t="shared" si="13"/>
        <v>0.95453076923076907</v>
      </c>
      <c r="AL69" s="40"/>
    </row>
    <row r="70" spans="1:38" ht="12.75" x14ac:dyDescent="0.2">
      <c r="A70" s="25"/>
      <c r="B70" s="41">
        <f t="shared" si="21"/>
        <v>23400</v>
      </c>
      <c r="C70" s="49" t="s">
        <v>91</v>
      </c>
      <c r="D70" s="28">
        <v>45596</v>
      </c>
      <c r="E70" s="27" t="s">
        <v>39</v>
      </c>
      <c r="F70" s="29"/>
      <c r="G70" s="30">
        <f t="shared" si="20"/>
        <v>10930</v>
      </c>
      <c r="H70" s="31">
        <f>CE!C65</f>
        <v>0.96819999999999995</v>
      </c>
      <c r="I70" s="32">
        <f>CE!G65</f>
        <v>535</v>
      </c>
      <c r="J70" s="33">
        <f>GE!C65</f>
        <v>0.94550000000000001</v>
      </c>
      <c r="K70" s="32">
        <f>GE!G65</f>
        <v>606</v>
      </c>
      <c r="L70" s="33">
        <f>ME!C65</f>
        <v>0.95120000000000005</v>
      </c>
      <c r="M70" s="32">
        <f>ME!G65</f>
        <v>636</v>
      </c>
      <c r="N70" s="33">
        <f>SAMPLE!C65</f>
        <v>0.95709999999999995</v>
      </c>
      <c r="O70" s="32">
        <f>SAMPLE!G65</f>
        <v>606</v>
      </c>
      <c r="P70" s="33">
        <f>'Sheldon Elementary'!C65</f>
        <v>0.9506</v>
      </c>
      <c r="Q70" s="32">
        <f>'Sheldon Elementary'!D65</f>
        <v>587</v>
      </c>
      <c r="R70" s="33">
        <f>SLE!C65</f>
        <v>0.96140000000000003</v>
      </c>
      <c r="S70" s="32">
        <f>SLE!G65</f>
        <v>622</v>
      </c>
      <c r="T70" s="33">
        <f>CECA!C65</f>
        <v>0.91669999999999996</v>
      </c>
      <c r="U70" s="32">
        <f>CECA!G65</f>
        <v>555</v>
      </c>
      <c r="V70" s="33">
        <f>SECA!C65</f>
        <v>0.92510000000000003</v>
      </c>
      <c r="W70" s="32">
        <f>SECA!G65</f>
        <v>565</v>
      </c>
      <c r="X70" s="33">
        <f>KHS!C65</f>
        <v>0.93320000000000003</v>
      </c>
      <c r="Y70" s="34">
        <f>KHS!G65</f>
        <v>2635</v>
      </c>
      <c r="Z70" s="33">
        <f>'9TH CAMP'!C65</f>
        <v>0.93700000000000006</v>
      </c>
      <c r="AA70" s="34">
        <f>'9TH CAMP'!G65</f>
        <v>619</v>
      </c>
      <c r="AB70" s="33">
        <f>ECHS!C65</f>
        <v>0.97360000000000002</v>
      </c>
      <c r="AC70" s="32">
        <f>ECHS!G65</f>
        <v>455</v>
      </c>
      <c r="AD70" s="33">
        <f>KMS!C65</f>
        <v>0.95660000000000001</v>
      </c>
      <c r="AE70" s="32">
        <f>KMS!G65</f>
        <v>1358</v>
      </c>
      <c r="AF70" s="33">
        <f>NMS!C65</f>
        <v>0.93899999999999995</v>
      </c>
      <c r="AG70" s="32">
        <f>NMS!G65</f>
        <v>1048</v>
      </c>
      <c r="AH70" s="36">
        <f>Highpoint!C65</f>
        <v>0</v>
      </c>
      <c r="AI70" s="37">
        <f>KASE!D62</f>
        <v>103</v>
      </c>
      <c r="AJ70" s="38"/>
      <c r="AK70" s="39">
        <f t="shared" si="13"/>
        <v>0.94732307692307671</v>
      </c>
      <c r="AL70" s="40"/>
    </row>
    <row r="71" spans="1:38" ht="12.75" x14ac:dyDescent="0.2">
      <c r="A71" s="25"/>
      <c r="B71" s="41">
        <f t="shared" si="21"/>
        <v>23850</v>
      </c>
      <c r="C71" s="49" t="s">
        <v>92</v>
      </c>
      <c r="D71" s="28">
        <v>45597</v>
      </c>
      <c r="E71" s="27" t="s">
        <v>41</v>
      </c>
      <c r="F71" s="29"/>
      <c r="G71" s="30">
        <f t="shared" si="20"/>
        <v>10925</v>
      </c>
      <c r="H71" s="31">
        <f>CE!C66</f>
        <v>0.90280000000000005</v>
      </c>
      <c r="I71" s="32">
        <f>CE!G66</f>
        <v>535</v>
      </c>
      <c r="J71" s="33">
        <f>GE!C66</f>
        <v>0.90259999999999996</v>
      </c>
      <c r="K71" s="32">
        <f>GE!G66</f>
        <v>606</v>
      </c>
      <c r="L71" s="33">
        <f>ME!C66</f>
        <v>0.88660000000000005</v>
      </c>
      <c r="M71" s="32">
        <f>ME!G66</f>
        <v>635</v>
      </c>
      <c r="N71" s="33">
        <f>SAMPLE!C66</f>
        <v>0.91239999999999999</v>
      </c>
      <c r="O71" s="32">
        <f>SAMPLE!G66</f>
        <v>605</v>
      </c>
      <c r="P71" s="33">
        <f>'Sheldon Elementary'!C66</f>
        <v>0.84330000000000005</v>
      </c>
      <c r="Q71" s="32">
        <f>'Sheldon Elementary'!D66</f>
        <v>587</v>
      </c>
      <c r="R71" s="33">
        <f>SLE!C66</f>
        <v>0.91479999999999995</v>
      </c>
      <c r="S71" s="32">
        <f>SLE!G66</f>
        <v>622</v>
      </c>
      <c r="T71" s="33">
        <f>CECA!C66</f>
        <v>0.87809999999999999</v>
      </c>
      <c r="U71" s="32">
        <f>CECA!G66</f>
        <v>556</v>
      </c>
      <c r="V71" s="33">
        <f>SECA!C66</f>
        <v>0.8952</v>
      </c>
      <c r="W71" s="32">
        <f>SECA!G66</f>
        <v>565</v>
      </c>
      <c r="X71" s="33">
        <f>KHS!C66</f>
        <v>0.88649999999999995</v>
      </c>
      <c r="Y71" s="34">
        <f>KHS!G66</f>
        <v>2635</v>
      </c>
      <c r="Z71" s="33">
        <f>'9TH CAMP'!C66</f>
        <v>0.89159999999999995</v>
      </c>
      <c r="AA71" s="34">
        <f>'9TH CAMP'!G66</f>
        <v>618</v>
      </c>
      <c r="AB71" s="33">
        <f>ECHS!C66</f>
        <v>0.96040000000000003</v>
      </c>
      <c r="AC71" s="32">
        <f>ECHS!G66</f>
        <v>455</v>
      </c>
      <c r="AD71" s="33">
        <f>KMS!C66</f>
        <v>0.9204</v>
      </c>
      <c r="AE71" s="32">
        <f>KMS!G66</f>
        <v>1356</v>
      </c>
      <c r="AF71" s="33">
        <f>NMS!C66</f>
        <v>0.89400000000000002</v>
      </c>
      <c r="AG71" s="32">
        <f>NMS!G66</f>
        <v>1047</v>
      </c>
      <c r="AH71" s="36">
        <f>Highpoint!C66</f>
        <v>0</v>
      </c>
      <c r="AI71" s="37">
        <f>KASE!D63</f>
        <v>103</v>
      </c>
      <c r="AJ71" s="38"/>
      <c r="AK71" s="39">
        <f t="shared" si="13"/>
        <v>0.89913076923076929</v>
      </c>
      <c r="AL71" s="40"/>
    </row>
    <row r="72" spans="1:38" ht="12.75" x14ac:dyDescent="0.2">
      <c r="A72" s="207" t="s">
        <v>62</v>
      </c>
      <c r="B72" s="206"/>
      <c r="C72" s="206"/>
      <c r="D72" s="46">
        <v>45600</v>
      </c>
      <c r="E72" s="26" t="s">
        <v>33</v>
      </c>
      <c r="F72" s="29"/>
      <c r="G72" s="29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38">
        <f>Highpoint!C67</f>
        <v>0</v>
      </c>
      <c r="AI72" s="48"/>
      <c r="AJ72" s="48"/>
      <c r="AK72" s="40" t="e">
        <f t="shared" si="13"/>
        <v>#DIV/0!</v>
      </c>
      <c r="AL72" s="48"/>
    </row>
    <row r="73" spans="1:38" ht="12.75" x14ac:dyDescent="0.2">
      <c r="A73" s="207" t="s">
        <v>62</v>
      </c>
      <c r="B73" s="206"/>
      <c r="C73" s="206"/>
      <c r="D73" s="46">
        <v>45601</v>
      </c>
      <c r="E73" s="26" t="s">
        <v>35</v>
      </c>
      <c r="F73" s="29"/>
      <c r="G73" s="29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38">
        <f>Highpoint!C68</f>
        <v>0</v>
      </c>
      <c r="AI73" s="48"/>
      <c r="AJ73" s="48"/>
      <c r="AK73" s="40" t="e">
        <f t="shared" si="13"/>
        <v>#DIV/0!</v>
      </c>
      <c r="AL73" s="48"/>
    </row>
    <row r="74" spans="1:38" ht="12.75" x14ac:dyDescent="0.2">
      <c r="A74" s="25"/>
      <c r="B74" s="41">
        <f>B71+450</f>
        <v>24300</v>
      </c>
      <c r="C74" s="49" t="s">
        <v>93</v>
      </c>
      <c r="D74" s="28">
        <v>45602</v>
      </c>
      <c r="E74" s="27" t="s">
        <v>37</v>
      </c>
      <c r="F74" s="29"/>
      <c r="G74" s="30">
        <f t="shared" ref="G74:G86" si="22">I74+K74+M74+O74+Q74+S74+U74+W74+Y74+AA74+AC74+AE74+AG74+AI74+AH74</f>
        <v>10879</v>
      </c>
      <c r="H74" s="31">
        <f>CE!C69</f>
        <v>0.95509999999999995</v>
      </c>
      <c r="I74" s="32">
        <f>CE!G69</f>
        <v>535</v>
      </c>
      <c r="J74" s="33">
        <f>GE!C69</f>
        <v>0.96360000000000001</v>
      </c>
      <c r="K74" s="32">
        <f>GE!G69</f>
        <v>605</v>
      </c>
      <c r="L74" s="33">
        <f>ME!C69</f>
        <v>0.97</v>
      </c>
      <c r="M74" s="32">
        <f>ME!G69</f>
        <v>634</v>
      </c>
      <c r="N74" s="33">
        <f>SAMPLE!C69</f>
        <v>0.96379999999999999</v>
      </c>
      <c r="O74" s="32">
        <f>SAMPLE!G69</f>
        <v>607</v>
      </c>
      <c r="P74" s="33">
        <f>'Sheldon Elementary'!C69</f>
        <v>0.9456</v>
      </c>
      <c r="Q74" s="32">
        <f>'Sheldon Elementary'!D69</f>
        <v>588</v>
      </c>
      <c r="R74" s="33">
        <f>SLE!C69</f>
        <v>0.94369999999999998</v>
      </c>
      <c r="S74" s="32">
        <f>SLE!G69</f>
        <v>622</v>
      </c>
      <c r="T74" s="33">
        <f>CECA!C69</f>
        <v>0.92210000000000003</v>
      </c>
      <c r="U74" s="32">
        <f>CECA!G69</f>
        <v>560</v>
      </c>
      <c r="V74" s="33">
        <f>SECA!C69</f>
        <v>0.94</v>
      </c>
      <c r="W74" s="32">
        <f>SECA!G69</f>
        <v>565</v>
      </c>
      <c r="X74" s="33">
        <f>KHS!C69</f>
        <v>0.94079999999999997</v>
      </c>
      <c r="Y74" s="34">
        <f>KHS!G69</f>
        <v>2634</v>
      </c>
      <c r="Z74" s="33">
        <f>'9TH CAMP'!C69</f>
        <v>0.95109999999999995</v>
      </c>
      <c r="AA74" s="34">
        <f>'9TH CAMP'!G69</f>
        <v>613</v>
      </c>
      <c r="AB74" s="33">
        <f>ECHS!C69</f>
        <v>0.98460000000000003</v>
      </c>
      <c r="AC74" s="32">
        <f>ECHS!G69</f>
        <v>455</v>
      </c>
      <c r="AD74" s="33">
        <f>KMS!C69</f>
        <v>0.96760000000000002</v>
      </c>
      <c r="AE74" s="32">
        <f>KMS!G69</f>
        <v>1312</v>
      </c>
      <c r="AF74" s="33">
        <f>NMS!C69</f>
        <v>0.96079999999999999</v>
      </c>
      <c r="AG74" s="32">
        <f>NMS!G69</f>
        <v>1046</v>
      </c>
      <c r="AH74" s="36">
        <f>Highpoint!C69</f>
        <v>0</v>
      </c>
      <c r="AI74" s="37">
        <f>KASE!D66</f>
        <v>103</v>
      </c>
      <c r="AJ74" s="38"/>
      <c r="AK74" s="39">
        <f t="shared" si="13"/>
        <v>0.95452307692307703</v>
      </c>
      <c r="AL74" s="36"/>
    </row>
    <row r="75" spans="1:38" ht="12.75" x14ac:dyDescent="0.2">
      <c r="A75" s="25"/>
      <c r="B75" s="41">
        <f t="shared" ref="B75:B86" si="23">B74+450</f>
        <v>24750</v>
      </c>
      <c r="C75" s="49" t="s">
        <v>94</v>
      </c>
      <c r="D75" s="28">
        <v>45603</v>
      </c>
      <c r="E75" s="27" t="s">
        <v>39</v>
      </c>
      <c r="F75" s="29"/>
      <c r="G75" s="30">
        <f t="shared" si="22"/>
        <v>10921</v>
      </c>
      <c r="H75" s="31">
        <f>CE!C70</f>
        <v>0.96050000000000002</v>
      </c>
      <c r="I75" s="32">
        <f>CE!G70</f>
        <v>532</v>
      </c>
      <c r="J75" s="33">
        <f>GE!C70</f>
        <v>0.98340000000000005</v>
      </c>
      <c r="K75" s="32">
        <f>GE!G70</f>
        <v>604</v>
      </c>
      <c r="L75" s="33">
        <f>ME!C70</f>
        <v>0.97789999999999999</v>
      </c>
      <c r="M75" s="32">
        <f>ME!G70</f>
        <v>634</v>
      </c>
      <c r="N75" s="33">
        <f>SAMPLE!C70</f>
        <v>0.96050000000000002</v>
      </c>
      <c r="O75" s="32">
        <f>SAMPLE!G70</f>
        <v>607</v>
      </c>
      <c r="P75" s="33">
        <f>'Sheldon Elementary'!C70</f>
        <v>0.97450000000000003</v>
      </c>
      <c r="Q75" s="32">
        <f>'Sheldon Elementary'!D70</f>
        <v>588</v>
      </c>
      <c r="R75" s="33">
        <f>SLE!C70</f>
        <v>0.97270000000000001</v>
      </c>
      <c r="S75" s="32">
        <f>SLE!G70</f>
        <v>622</v>
      </c>
      <c r="T75" s="33">
        <f>CECA!C70</f>
        <v>0.91669999999999996</v>
      </c>
      <c r="U75" s="32">
        <f>CECA!G70</f>
        <v>561</v>
      </c>
      <c r="V75" s="33">
        <f>SECA!C70</f>
        <v>0.93259999999999998</v>
      </c>
      <c r="W75" s="32">
        <f>SECA!G70</f>
        <v>566</v>
      </c>
      <c r="X75" s="33">
        <f>KHS!C70</f>
        <v>0.91459999999999997</v>
      </c>
      <c r="Y75" s="34">
        <f>KHS!G70</f>
        <v>2635</v>
      </c>
      <c r="Z75" s="33">
        <f>'9TH CAMP'!C70</f>
        <v>0.94940000000000002</v>
      </c>
      <c r="AA75" s="34">
        <f>'9TH CAMP'!G70</f>
        <v>613</v>
      </c>
      <c r="AB75" s="33">
        <f>ECHS!C70</f>
        <v>0.98019999999999996</v>
      </c>
      <c r="AC75" s="32">
        <f>ECHS!G70</f>
        <v>455</v>
      </c>
      <c r="AD75" s="33">
        <f>KMS!C70</f>
        <v>0.96460000000000001</v>
      </c>
      <c r="AE75" s="32">
        <f>KMS!G70</f>
        <v>1355</v>
      </c>
      <c r="AF75" s="33">
        <f>NMS!C70</f>
        <v>0.96460000000000001</v>
      </c>
      <c r="AG75" s="32">
        <f>NMS!G70</f>
        <v>1046</v>
      </c>
      <c r="AH75" s="36">
        <f>Highpoint!C70</f>
        <v>0</v>
      </c>
      <c r="AI75" s="37">
        <f>KASE!D67</f>
        <v>103</v>
      </c>
      <c r="AJ75" s="38"/>
      <c r="AK75" s="39">
        <f t="shared" si="13"/>
        <v>0.95786153846153854</v>
      </c>
      <c r="AL75" s="36"/>
    </row>
    <row r="76" spans="1:38" ht="12.75" x14ac:dyDescent="0.2">
      <c r="A76" s="25"/>
      <c r="B76" s="41">
        <f t="shared" si="23"/>
        <v>25200</v>
      </c>
      <c r="C76" s="49" t="s">
        <v>95</v>
      </c>
      <c r="D76" s="28">
        <v>45604</v>
      </c>
      <c r="E76" s="27" t="s">
        <v>41</v>
      </c>
      <c r="F76" s="29"/>
      <c r="G76" s="30">
        <f t="shared" si="22"/>
        <v>10919</v>
      </c>
      <c r="H76" s="31">
        <f>CE!C71</f>
        <v>0.95299999999999996</v>
      </c>
      <c r="I76" s="32">
        <f>CE!G71</f>
        <v>532</v>
      </c>
      <c r="J76" s="33">
        <f>GE!C71</f>
        <v>0.94369999999999998</v>
      </c>
      <c r="K76" s="32">
        <f>GE!G71</f>
        <v>604</v>
      </c>
      <c r="L76" s="33">
        <f>ME!C71</f>
        <v>0.95430000000000004</v>
      </c>
      <c r="M76" s="32">
        <f>ME!G71</f>
        <v>634</v>
      </c>
      <c r="N76" s="33">
        <f>SAMPLE!C71</f>
        <v>0.96040000000000003</v>
      </c>
      <c r="O76" s="32">
        <f>SAMPLE!G71</f>
        <v>606</v>
      </c>
      <c r="P76" s="33">
        <f>'Sheldon Elementary'!C71</f>
        <v>0.9677</v>
      </c>
      <c r="Q76" s="32">
        <f>'Sheldon Elementary'!D71</f>
        <v>589</v>
      </c>
      <c r="R76" s="33">
        <f>SLE!C71</f>
        <v>0.95509999999999995</v>
      </c>
      <c r="S76" s="32">
        <f>SLE!G71</f>
        <v>623</v>
      </c>
      <c r="T76" s="33">
        <f>CECA!C71</f>
        <v>0.89190000000000003</v>
      </c>
      <c r="U76" s="32">
        <f>CECA!G71</f>
        <v>561</v>
      </c>
      <c r="V76" s="33">
        <f>SECA!C71</f>
        <v>0.93230000000000002</v>
      </c>
      <c r="W76" s="32">
        <f>SECA!G71</f>
        <v>563</v>
      </c>
      <c r="X76" s="33">
        <f>KHS!C71</f>
        <v>0.91610000000000003</v>
      </c>
      <c r="Y76" s="34">
        <f>KHS!G71</f>
        <v>2635</v>
      </c>
      <c r="Z76" s="33">
        <f>'9TH CAMP'!C71</f>
        <v>0.93010000000000004</v>
      </c>
      <c r="AA76" s="34">
        <f>'9TH CAMP'!G71</f>
        <v>615</v>
      </c>
      <c r="AB76" s="33">
        <f>ECHS!C71</f>
        <v>0.95820000000000005</v>
      </c>
      <c r="AC76" s="32">
        <f>ECHS!G71</f>
        <v>455</v>
      </c>
      <c r="AD76" s="33">
        <f>KMS!C71</f>
        <v>0.95350000000000001</v>
      </c>
      <c r="AE76" s="32">
        <f>KMS!G71</f>
        <v>1354</v>
      </c>
      <c r="AF76" s="33">
        <f>NMS!C71</f>
        <v>0.94069999999999998</v>
      </c>
      <c r="AG76" s="32">
        <f>NMS!G71</f>
        <v>1045</v>
      </c>
      <c r="AH76" s="36">
        <f>Highpoint!C71</f>
        <v>0</v>
      </c>
      <c r="AI76" s="37">
        <f>KASE!D68</f>
        <v>103</v>
      </c>
      <c r="AJ76" s="38"/>
      <c r="AK76" s="39">
        <f t="shared" si="13"/>
        <v>0.94284615384615367</v>
      </c>
      <c r="AL76" s="36"/>
    </row>
    <row r="77" spans="1:38" ht="12.75" x14ac:dyDescent="0.2">
      <c r="A77" s="25"/>
      <c r="B77" s="41">
        <f t="shared" si="23"/>
        <v>25650</v>
      </c>
      <c r="C77" s="49" t="s">
        <v>96</v>
      </c>
      <c r="D77" s="28">
        <v>45607</v>
      </c>
      <c r="E77" s="27" t="s">
        <v>33</v>
      </c>
      <c r="F77" s="29"/>
      <c r="G77" s="30">
        <f t="shared" si="22"/>
        <v>10920</v>
      </c>
      <c r="H77" s="31">
        <f>CE!C72</f>
        <v>0.95299999999999996</v>
      </c>
      <c r="I77" s="32">
        <f>CE!G72</f>
        <v>532</v>
      </c>
      <c r="J77" s="33">
        <f>GE!C72</f>
        <v>0.94369999999999998</v>
      </c>
      <c r="K77" s="32">
        <f>GE!G72</f>
        <v>604</v>
      </c>
      <c r="L77" s="33">
        <f>ME!C72</f>
        <v>0.93859999999999999</v>
      </c>
      <c r="M77" s="32">
        <f>ME!G72</f>
        <v>635</v>
      </c>
      <c r="N77" s="33">
        <f>SAMPLE!C72</f>
        <v>0.91749999999999998</v>
      </c>
      <c r="O77" s="32">
        <f>SAMPLE!G72</f>
        <v>606</v>
      </c>
      <c r="P77" s="33">
        <f>'Sheldon Elementary'!C72</f>
        <v>0.95430000000000004</v>
      </c>
      <c r="Q77" s="32">
        <f>'Sheldon Elementary'!D72</f>
        <v>591</v>
      </c>
      <c r="R77" s="33">
        <f>SLE!C72</f>
        <v>0.93899999999999995</v>
      </c>
      <c r="S77" s="32">
        <f>SLE!G72</f>
        <v>622</v>
      </c>
      <c r="T77" s="33">
        <f>CECA!C72</f>
        <v>0.92789999999999995</v>
      </c>
      <c r="U77" s="32">
        <f>CECA!G72</f>
        <v>561</v>
      </c>
      <c r="V77" s="33">
        <f>SECA!C72</f>
        <v>0.91300000000000003</v>
      </c>
      <c r="W77" s="32">
        <f>SECA!G72</f>
        <v>563</v>
      </c>
      <c r="X77" s="33">
        <f>KHS!C72</f>
        <v>0.93020000000000003</v>
      </c>
      <c r="Y77" s="34">
        <f>KHS!G72</f>
        <v>2635</v>
      </c>
      <c r="Z77" s="33">
        <f>'9TH CAMP'!C72</f>
        <v>0.92349999999999999</v>
      </c>
      <c r="AA77" s="34">
        <f>'9TH CAMP'!G72</f>
        <v>614</v>
      </c>
      <c r="AB77" s="33">
        <f>ECHS!C72</f>
        <v>0.94069999999999998</v>
      </c>
      <c r="AC77" s="32">
        <f>ECHS!G72</f>
        <v>455</v>
      </c>
      <c r="AD77" s="33">
        <f>KMS!C72</f>
        <v>0.9506</v>
      </c>
      <c r="AE77" s="32">
        <f>KMS!G72</f>
        <v>1356</v>
      </c>
      <c r="AF77" s="33">
        <f>NMS!C72</f>
        <v>0.92810000000000004</v>
      </c>
      <c r="AG77" s="32">
        <f>NMS!G72</f>
        <v>1043</v>
      </c>
      <c r="AH77" s="36">
        <f>Highpoint!C72</f>
        <v>0</v>
      </c>
      <c r="AI77" s="37">
        <f>KASE!D69</f>
        <v>103</v>
      </c>
      <c r="AJ77" s="38"/>
      <c r="AK77" s="39">
        <f t="shared" si="13"/>
        <v>0.93539230769230786</v>
      </c>
      <c r="AL77" s="36"/>
    </row>
    <row r="78" spans="1:38" ht="12.75" x14ac:dyDescent="0.2">
      <c r="A78" s="25"/>
      <c r="B78" s="41">
        <f t="shared" si="23"/>
        <v>26100</v>
      </c>
      <c r="C78" s="49" t="s">
        <v>97</v>
      </c>
      <c r="D78" s="28">
        <v>45608</v>
      </c>
      <c r="E78" s="27" t="s">
        <v>35</v>
      </c>
      <c r="F78" s="29"/>
      <c r="G78" s="30">
        <f t="shared" si="22"/>
        <v>10918</v>
      </c>
      <c r="H78" s="31">
        <f>CE!C73</f>
        <v>0.94899999999999995</v>
      </c>
      <c r="I78" s="32">
        <f>CE!G73</f>
        <v>529</v>
      </c>
      <c r="J78" s="33">
        <f>GE!C73</f>
        <v>0.96030000000000004</v>
      </c>
      <c r="K78" s="32">
        <f>GE!G73</f>
        <v>604</v>
      </c>
      <c r="L78" s="33">
        <f>ME!C73</f>
        <v>0.96540000000000004</v>
      </c>
      <c r="M78" s="32">
        <f>ME!G73</f>
        <v>635</v>
      </c>
      <c r="N78" s="33">
        <f>SAMPLE!C73</f>
        <v>0.95209999999999995</v>
      </c>
      <c r="O78" s="32">
        <f>SAMPLE!G73</f>
        <v>605</v>
      </c>
      <c r="P78" s="33">
        <f>'Sheldon Elementary'!C73</f>
        <v>0.95089999999999997</v>
      </c>
      <c r="Q78" s="32">
        <f>'Sheldon Elementary'!D73</f>
        <v>591</v>
      </c>
      <c r="R78" s="33">
        <f>SLE!C73</f>
        <v>0.97270000000000001</v>
      </c>
      <c r="S78" s="32">
        <f>SLE!G73</f>
        <v>622</v>
      </c>
      <c r="T78" s="33">
        <f>CECA!C73</f>
        <v>0.94469999999999998</v>
      </c>
      <c r="U78" s="32">
        <f>CECA!G73</f>
        <v>560</v>
      </c>
      <c r="V78" s="33">
        <f>SECA!C73</f>
        <v>0.92759999999999998</v>
      </c>
      <c r="W78" s="32">
        <f>SECA!G73</f>
        <v>563</v>
      </c>
      <c r="X78" s="33">
        <f>KHS!C73</f>
        <v>0.93210000000000004</v>
      </c>
      <c r="Y78" s="34">
        <f>KHS!G73</f>
        <v>2635</v>
      </c>
      <c r="Z78" s="33">
        <f>'9TH CAMP'!C73</f>
        <v>0.93830000000000002</v>
      </c>
      <c r="AA78" s="34">
        <f>'9TH CAMP'!G73</f>
        <v>616</v>
      </c>
      <c r="AB78" s="33">
        <f>ECHS!C73</f>
        <v>0.93610000000000004</v>
      </c>
      <c r="AC78" s="32">
        <f>ECHS!G73</f>
        <v>454</v>
      </c>
      <c r="AD78" s="33">
        <f>KMS!C73</f>
        <v>0.96830000000000005</v>
      </c>
      <c r="AE78" s="32">
        <f>KMS!G73</f>
        <v>1357</v>
      </c>
      <c r="AF78" s="33">
        <f>NMS!C73</f>
        <v>0.94920000000000004</v>
      </c>
      <c r="AG78" s="32">
        <f>NMS!G73</f>
        <v>1044</v>
      </c>
      <c r="AH78" s="36">
        <f>Highpoint!C73</f>
        <v>0</v>
      </c>
      <c r="AI78" s="37">
        <f>KASE!D70</f>
        <v>103</v>
      </c>
      <c r="AJ78" s="38"/>
      <c r="AK78" s="39">
        <f t="shared" si="13"/>
        <v>0.94974615384615357</v>
      </c>
      <c r="AL78" s="36"/>
    </row>
    <row r="79" spans="1:38" ht="12.75" x14ac:dyDescent="0.2">
      <c r="A79" s="25"/>
      <c r="B79" s="41">
        <f t="shared" si="23"/>
        <v>26550</v>
      </c>
      <c r="C79" s="49" t="s">
        <v>98</v>
      </c>
      <c r="D79" s="28">
        <v>45609</v>
      </c>
      <c r="E79" s="27" t="s">
        <v>37</v>
      </c>
      <c r="F79" s="29"/>
      <c r="G79" s="30">
        <f t="shared" si="22"/>
        <v>10913</v>
      </c>
      <c r="H79" s="31">
        <f>CE!C74</f>
        <v>0.96409999999999996</v>
      </c>
      <c r="I79" s="32">
        <f>CE!G74</f>
        <v>529</v>
      </c>
      <c r="J79" s="33">
        <f>GE!C74</f>
        <v>0.97350000000000003</v>
      </c>
      <c r="K79" s="32">
        <f>GE!G74</f>
        <v>604</v>
      </c>
      <c r="L79" s="33">
        <f>ME!C74</f>
        <v>0.96220000000000006</v>
      </c>
      <c r="M79" s="32">
        <f>ME!G74</f>
        <v>635</v>
      </c>
      <c r="N79" s="33">
        <f>SAMPLE!C74</f>
        <v>0.96699999999999997</v>
      </c>
      <c r="O79" s="32">
        <f>SAMPLE!G74</f>
        <v>606</v>
      </c>
      <c r="P79" s="33">
        <f>'Sheldon Elementary'!C74</f>
        <v>0.95940000000000003</v>
      </c>
      <c r="Q79" s="32">
        <f>'Sheldon Elementary'!D74</f>
        <v>591</v>
      </c>
      <c r="R79" s="33">
        <f>SLE!C74</f>
        <v>0.97260000000000002</v>
      </c>
      <c r="S79" s="32">
        <f>SLE!G74</f>
        <v>620</v>
      </c>
      <c r="T79" s="33">
        <f>CECA!C74</f>
        <v>0.92549999999999999</v>
      </c>
      <c r="U79" s="32">
        <f>CECA!G74</f>
        <v>560</v>
      </c>
      <c r="V79" s="33">
        <f>SECA!C74</f>
        <v>0.92100000000000004</v>
      </c>
      <c r="W79" s="32">
        <f>SECA!G74</f>
        <v>561</v>
      </c>
      <c r="X79" s="33">
        <f>KHS!C74</f>
        <v>0.94420000000000004</v>
      </c>
      <c r="Y79" s="34">
        <f>KHS!G74</f>
        <v>2634</v>
      </c>
      <c r="Z79" s="33">
        <f>'9TH CAMP'!C74</f>
        <v>0.93969999999999998</v>
      </c>
      <c r="AA79" s="34">
        <f>'9TH CAMP'!G74</f>
        <v>614</v>
      </c>
      <c r="AB79" s="33">
        <f>ECHS!C74</f>
        <v>0.95369999999999999</v>
      </c>
      <c r="AC79" s="32">
        <f>ECHS!G74</f>
        <v>454</v>
      </c>
      <c r="AD79" s="33">
        <f>KMS!C74</f>
        <v>0.94469999999999998</v>
      </c>
      <c r="AE79" s="32">
        <f>KMS!G74</f>
        <v>1357</v>
      </c>
      <c r="AF79" s="33">
        <f>NMS!C74</f>
        <v>0.94169999999999998</v>
      </c>
      <c r="AG79" s="32">
        <f>NMS!G74</f>
        <v>1045</v>
      </c>
      <c r="AH79" s="36">
        <f>Highpoint!C74</f>
        <v>0</v>
      </c>
      <c r="AI79" s="37">
        <f>KASE!D71</f>
        <v>103</v>
      </c>
      <c r="AJ79" s="38"/>
      <c r="AK79" s="39">
        <f t="shared" si="13"/>
        <v>0.95148461538461526</v>
      </c>
      <c r="AL79" s="36"/>
    </row>
    <row r="80" spans="1:38" ht="12.75" x14ac:dyDescent="0.2">
      <c r="A80" s="25"/>
      <c r="B80" s="41">
        <f t="shared" si="23"/>
        <v>27000</v>
      </c>
      <c r="C80" s="49" t="s">
        <v>99</v>
      </c>
      <c r="D80" s="28">
        <v>45610</v>
      </c>
      <c r="E80" s="27" t="s">
        <v>39</v>
      </c>
      <c r="F80" s="29"/>
      <c r="G80" s="30">
        <f t="shared" si="22"/>
        <v>10915</v>
      </c>
      <c r="H80" s="31">
        <f>CE!C75</f>
        <v>0.94899999999999995</v>
      </c>
      <c r="I80" s="32">
        <f>CE!G75</f>
        <v>529</v>
      </c>
      <c r="J80" s="33">
        <f>GE!C75</f>
        <v>0.96689999999999998</v>
      </c>
      <c r="K80" s="32">
        <f>GE!G75</f>
        <v>604</v>
      </c>
      <c r="L80" s="33">
        <f>ME!C75</f>
        <v>0.96699999999999997</v>
      </c>
      <c r="M80" s="32">
        <f>ME!G75</f>
        <v>637</v>
      </c>
      <c r="N80" s="33">
        <f>SAMPLE!C75</f>
        <v>0.95050000000000001</v>
      </c>
      <c r="O80" s="32">
        <f>SAMPLE!G75</f>
        <v>606</v>
      </c>
      <c r="P80" s="33">
        <f>'Sheldon Elementary'!C75</f>
        <v>0.92889999999999995</v>
      </c>
      <c r="Q80" s="32">
        <f>'Sheldon Elementary'!D75</f>
        <v>591</v>
      </c>
      <c r="R80" s="33">
        <f>SLE!C75</f>
        <v>0.96299999999999997</v>
      </c>
      <c r="S80" s="32">
        <f>SLE!G75</f>
        <v>621</v>
      </c>
      <c r="T80" s="33">
        <f>CECA!C75</f>
        <v>0.92</v>
      </c>
      <c r="U80" s="32">
        <f>CECA!G75</f>
        <v>560</v>
      </c>
      <c r="V80" s="33">
        <f>SECA!C75</f>
        <v>0.89380000000000004</v>
      </c>
      <c r="W80" s="32">
        <f>SECA!G75</f>
        <v>562</v>
      </c>
      <c r="X80" s="33">
        <f>KHS!C75</f>
        <v>0.93700000000000006</v>
      </c>
      <c r="Y80" s="34">
        <f>KHS!G75</f>
        <v>2634</v>
      </c>
      <c r="Z80" s="33">
        <f>'9TH CAMP'!C75</f>
        <v>0.93</v>
      </c>
      <c r="AA80" s="34">
        <f>'9TH CAMP'!G75</f>
        <v>614</v>
      </c>
      <c r="AB80" s="33">
        <f>ECHS!C75</f>
        <v>0.96479999999999999</v>
      </c>
      <c r="AC80" s="32">
        <f>ECHS!G75</f>
        <v>454</v>
      </c>
      <c r="AD80" s="33">
        <f>KMS!C75</f>
        <v>0.94920000000000004</v>
      </c>
      <c r="AE80" s="32">
        <f>KMS!G75</f>
        <v>1357</v>
      </c>
      <c r="AF80" s="33">
        <f>NMS!C75</f>
        <v>0.93100000000000005</v>
      </c>
      <c r="AG80" s="32">
        <f>NMS!G75</f>
        <v>1043</v>
      </c>
      <c r="AH80" s="36">
        <f>Highpoint!C75</f>
        <v>0</v>
      </c>
      <c r="AI80" s="37">
        <f>KASE!D72</f>
        <v>103</v>
      </c>
      <c r="AJ80" s="38"/>
      <c r="AK80" s="39">
        <f t="shared" si="13"/>
        <v>0.94239230769230753</v>
      </c>
      <c r="AL80" s="36"/>
    </row>
    <row r="81" spans="1:38" ht="12.75" x14ac:dyDescent="0.2">
      <c r="A81" s="25"/>
      <c r="B81" s="41">
        <f t="shared" si="23"/>
        <v>27450</v>
      </c>
      <c r="C81" s="49" t="s">
        <v>100</v>
      </c>
      <c r="D81" s="28">
        <v>45611</v>
      </c>
      <c r="E81" s="27" t="s">
        <v>41</v>
      </c>
      <c r="F81" s="29"/>
      <c r="G81" s="30">
        <f t="shared" si="22"/>
        <v>10912</v>
      </c>
      <c r="H81" s="31">
        <f>CE!C76</f>
        <v>0.95269999999999999</v>
      </c>
      <c r="I81" s="32">
        <f>CE!G76</f>
        <v>529</v>
      </c>
      <c r="J81" s="33">
        <f>GE!C76</f>
        <v>0.93540000000000001</v>
      </c>
      <c r="K81" s="32">
        <f>GE!G76</f>
        <v>604</v>
      </c>
      <c r="L81" s="33">
        <f>ME!C76</f>
        <v>0.93559999999999999</v>
      </c>
      <c r="M81" s="32">
        <f>ME!G76</f>
        <v>637</v>
      </c>
      <c r="N81" s="33">
        <f>SAMPLE!C76</f>
        <v>0.92569999999999997</v>
      </c>
      <c r="O81" s="32">
        <f>SAMPLE!G76</f>
        <v>606</v>
      </c>
      <c r="P81" s="33">
        <f>'Sheldon Elementary'!C76</f>
        <v>0.89849999999999997</v>
      </c>
      <c r="Q81" s="32">
        <f>'Sheldon Elementary'!D76</f>
        <v>591</v>
      </c>
      <c r="R81" s="33">
        <f>SLE!C76</f>
        <v>0.92430000000000001</v>
      </c>
      <c r="S81" s="32">
        <f>SLE!G76</f>
        <v>621</v>
      </c>
      <c r="T81" s="33">
        <f>CECA!C76</f>
        <v>0.91100000000000003</v>
      </c>
      <c r="U81" s="32">
        <f>CECA!G76</f>
        <v>560</v>
      </c>
      <c r="V81" s="33">
        <f>SECA!C76</f>
        <v>0.89170000000000005</v>
      </c>
      <c r="W81" s="32">
        <f>SECA!G76</f>
        <v>562</v>
      </c>
      <c r="X81" s="33">
        <f>KHS!C76</f>
        <v>0.92069999999999996</v>
      </c>
      <c r="Y81" s="34">
        <f>KHS!G76</f>
        <v>2634</v>
      </c>
      <c r="Z81" s="33">
        <f>'9TH CAMP'!C76</f>
        <v>0.93159999999999998</v>
      </c>
      <c r="AA81" s="34">
        <f>'9TH CAMP'!G76</f>
        <v>614</v>
      </c>
      <c r="AB81" s="33">
        <f>ECHS!C76</f>
        <v>0.96919999999999995</v>
      </c>
      <c r="AC81" s="32">
        <f>ECHS!G76</f>
        <v>454</v>
      </c>
      <c r="AD81" s="33">
        <f>KMS!C76</f>
        <v>0.94620000000000004</v>
      </c>
      <c r="AE81" s="32">
        <f>KMS!G76</f>
        <v>1357</v>
      </c>
      <c r="AF81" s="33">
        <f>NMS!C76</f>
        <v>0.92020000000000002</v>
      </c>
      <c r="AG81" s="32">
        <f>NMS!G76</f>
        <v>1040</v>
      </c>
      <c r="AH81" s="36">
        <f>Highpoint!C76</f>
        <v>0</v>
      </c>
      <c r="AI81" s="37">
        <f>KASE!D73</f>
        <v>103</v>
      </c>
      <c r="AJ81" s="38"/>
      <c r="AK81" s="39">
        <f t="shared" si="13"/>
        <v>0.92790769230769221</v>
      </c>
      <c r="AL81" s="40"/>
    </row>
    <row r="82" spans="1:38" ht="12.75" x14ac:dyDescent="0.2">
      <c r="A82" s="25"/>
      <c r="B82" s="41">
        <f t="shared" si="23"/>
        <v>27900</v>
      </c>
      <c r="C82" s="49" t="s">
        <v>101</v>
      </c>
      <c r="D82" s="28">
        <v>45614</v>
      </c>
      <c r="E82" s="27" t="s">
        <v>33</v>
      </c>
      <c r="F82" s="29"/>
      <c r="G82" s="30">
        <f t="shared" si="22"/>
        <v>10915</v>
      </c>
      <c r="H82" s="31">
        <f>CE!C77</f>
        <v>0.93010000000000004</v>
      </c>
      <c r="I82" s="32">
        <f>CE!G77</f>
        <v>529</v>
      </c>
      <c r="J82" s="33">
        <f>GE!C77</f>
        <v>0.92369999999999997</v>
      </c>
      <c r="K82" s="32">
        <f>GE!G77</f>
        <v>604</v>
      </c>
      <c r="L82" s="33">
        <f>ME!C77</f>
        <v>0.93389999999999995</v>
      </c>
      <c r="M82" s="32">
        <f>ME!G77</f>
        <v>635</v>
      </c>
      <c r="N82" s="33">
        <f>SAMPLE!C77</f>
        <v>0.93400000000000005</v>
      </c>
      <c r="O82" s="32">
        <f>SAMPLE!G77</f>
        <v>606</v>
      </c>
      <c r="P82" s="33">
        <f>'Sheldon Elementary'!C77</f>
        <v>0.93569999999999998</v>
      </c>
      <c r="Q82" s="32">
        <f>'Sheldon Elementary'!D77</f>
        <v>591</v>
      </c>
      <c r="R82" s="33">
        <f>SLE!C77</f>
        <v>0.93400000000000005</v>
      </c>
      <c r="S82" s="32">
        <f>SLE!G77</f>
        <v>621</v>
      </c>
      <c r="T82" s="33">
        <f>CECA!C77</f>
        <v>0.91830000000000001</v>
      </c>
      <c r="U82" s="32">
        <f>CECA!G77</f>
        <v>556</v>
      </c>
      <c r="V82" s="33">
        <f>SECA!C77</f>
        <v>0.90490000000000004</v>
      </c>
      <c r="W82" s="32">
        <f>SECA!G77</f>
        <v>563</v>
      </c>
      <c r="X82" s="33">
        <f>KHS!C77</f>
        <v>0.91649999999999998</v>
      </c>
      <c r="Y82" s="34">
        <f>KHS!G77</f>
        <v>2635</v>
      </c>
      <c r="Z82" s="33">
        <f>'9TH CAMP'!C77</f>
        <v>0.95130000000000003</v>
      </c>
      <c r="AA82" s="34">
        <f>'9TH CAMP'!G77</f>
        <v>616</v>
      </c>
      <c r="AB82" s="33">
        <f>ECHS!C77</f>
        <v>0.96040000000000003</v>
      </c>
      <c r="AC82" s="32">
        <f>ECHS!G77</f>
        <v>454</v>
      </c>
      <c r="AD82" s="33">
        <f>KMS!C77</f>
        <v>0.94479999999999997</v>
      </c>
      <c r="AE82" s="32">
        <f>KMS!G77</f>
        <v>1358</v>
      </c>
      <c r="AF82" s="33">
        <f>NMS!C77</f>
        <v>0.93769999999999998</v>
      </c>
      <c r="AG82" s="32">
        <f>NMS!G77</f>
        <v>1044</v>
      </c>
      <c r="AH82" s="36">
        <f>Highpoint!C77</f>
        <v>0</v>
      </c>
      <c r="AI82" s="37">
        <f>KASE!D74</f>
        <v>103</v>
      </c>
      <c r="AJ82" s="38"/>
      <c r="AK82" s="39">
        <f t="shared" si="13"/>
        <v>0.93271538461538461</v>
      </c>
      <c r="AL82" s="40"/>
    </row>
    <row r="83" spans="1:38" ht="12.75" x14ac:dyDescent="0.2">
      <c r="A83" s="25"/>
      <c r="B83" s="41">
        <f t="shared" si="23"/>
        <v>28350</v>
      </c>
      <c r="C83" s="49" t="s">
        <v>102</v>
      </c>
      <c r="D83" s="28">
        <v>45615</v>
      </c>
      <c r="E83" s="27" t="s">
        <v>35</v>
      </c>
      <c r="F83" s="29"/>
      <c r="G83" s="30">
        <f t="shared" si="22"/>
        <v>10912</v>
      </c>
      <c r="H83" s="31">
        <f>CE!C78</f>
        <v>0.9546</v>
      </c>
      <c r="I83" s="32">
        <f>CE!G78</f>
        <v>529</v>
      </c>
      <c r="J83" s="33">
        <f>GE!C78</f>
        <v>0.95860000000000001</v>
      </c>
      <c r="K83" s="32">
        <f>GE!G78</f>
        <v>604</v>
      </c>
      <c r="L83" s="33">
        <f>ME!C78</f>
        <v>0.94169999999999998</v>
      </c>
      <c r="M83" s="32">
        <f>ME!G78</f>
        <v>635</v>
      </c>
      <c r="N83" s="33">
        <f>SAMPLE!C78</f>
        <v>0.95709999999999995</v>
      </c>
      <c r="O83" s="32">
        <f>SAMPLE!G78</f>
        <v>606</v>
      </c>
      <c r="P83" s="33">
        <f>'Sheldon Elementary'!C78</f>
        <v>0.93569999999999998</v>
      </c>
      <c r="Q83" s="32">
        <f>'Sheldon Elementary'!D78</f>
        <v>591</v>
      </c>
      <c r="R83" s="33">
        <f>SLE!C78</f>
        <v>0.93879999999999997</v>
      </c>
      <c r="S83" s="32">
        <f>SLE!G78</f>
        <v>621</v>
      </c>
      <c r="T83" s="33">
        <f>CECA!C78</f>
        <v>0.91710000000000003</v>
      </c>
      <c r="U83" s="32">
        <f>CECA!G78</f>
        <v>556</v>
      </c>
      <c r="V83" s="33">
        <f>SECA!C78</f>
        <v>0.92849999999999999</v>
      </c>
      <c r="W83" s="32">
        <f>SECA!G78</f>
        <v>562</v>
      </c>
      <c r="X83" s="33">
        <f>KHS!C78</f>
        <v>0.92410000000000003</v>
      </c>
      <c r="Y83" s="34">
        <f>KHS!G78</f>
        <v>2636</v>
      </c>
      <c r="Z83" s="33">
        <f>'9TH CAMP'!C78</f>
        <v>0.94969999999999999</v>
      </c>
      <c r="AA83" s="34">
        <f>'9TH CAMP'!G78</f>
        <v>616</v>
      </c>
      <c r="AB83" s="33">
        <f>ECHS!C78</f>
        <v>0.97799999999999998</v>
      </c>
      <c r="AC83" s="32">
        <f>ECHS!G78</f>
        <v>454</v>
      </c>
      <c r="AD83" s="33">
        <f>KMS!C78</f>
        <v>0.9587</v>
      </c>
      <c r="AE83" s="32">
        <f>KMS!G78</f>
        <v>1356</v>
      </c>
      <c r="AF83" s="33">
        <f>NMS!C78</f>
        <v>0.95109999999999995</v>
      </c>
      <c r="AG83" s="32">
        <f>NMS!G78</f>
        <v>1044</v>
      </c>
      <c r="AH83" s="36">
        <f>Highpoint!C78</f>
        <v>0</v>
      </c>
      <c r="AI83" s="37">
        <f>KASE!D75</f>
        <v>102</v>
      </c>
      <c r="AJ83" s="38"/>
      <c r="AK83" s="39">
        <f t="shared" si="13"/>
        <v>0.94566923076923071</v>
      </c>
      <c r="AL83" s="40"/>
    </row>
    <row r="84" spans="1:38" ht="12.75" x14ac:dyDescent="0.2">
      <c r="A84" s="25"/>
      <c r="B84" s="41">
        <f t="shared" si="23"/>
        <v>28800</v>
      </c>
      <c r="C84" s="49" t="s">
        <v>103</v>
      </c>
      <c r="D84" s="28">
        <v>45616</v>
      </c>
      <c r="E84" s="27" t="s">
        <v>37</v>
      </c>
      <c r="F84" s="29"/>
      <c r="G84" s="30">
        <f t="shared" si="22"/>
        <v>10913</v>
      </c>
      <c r="H84" s="31">
        <f>CE!C79</f>
        <v>0.96789999999999998</v>
      </c>
      <c r="I84" s="32">
        <f>CE!G79</f>
        <v>529</v>
      </c>
      <c r="J84" s="33">
        <f>GE!C79</f>
        <v>0.94869999999999999</v>
      </c>
      <c r="K84" s="32">
        <f>GE!G79</f>
        <v>604</v>
      </c>
      <c r="L84" s="33">
        <f>ME!C79</f>
        <v>0.93859999999999999</v>
      </c>
      <c r="M84" s="32">
        <f>ME!G79</f>
        <v>635</v>
      </c>
      <c r="N84" s="33">
        <f>SAMPLE!C79</f>
        <v>0.95050000000000001</v>
      </c>
      <c r="O84" s="32">
        <f>SAMPLE!G79</f>
        <v>606</v>
      </c>
      <c r="P84" s="33">
        <f>'Sheldon Elementary'!C79</f>
        <v>0.96279999999999999</v>
      </c>
      <c r="Q84" s="32">
        <f>'Sheldon Elementary'!D79</f>
        <v>591</v>
      </c>
      <c r="R84" s="33">
        <f>SLE!C79</f>
        <v>0.95830000000000004</v>
      </c>
      <c r="S84" s="32">
        <f>SLE!G79</f>
        <v>623</v>
      </c>
      <c r="T84" s="33">
        <f>CECA!C79</f>
        <v>0.90010000000000001</v>
      </c>
      <c r="U84" s="32">
        <f>CECA!G79</f>
        <v>556</v>
      </c>
      <c r="V84" s="33">
        <f>SECA!C79</f>
        <v>0.94689999999999996</v>
      </c>
      <c r="W84" s="32">
        <f>SECA!G79</f>
        <v>562</v>
      </c>
      <c r="X84" s="33">
        <f>KHS!C79</f>
        <v>0.93169999999999997</v>
      </c>
      <c r="Y84" s="34">
        <f>KHS!G79</f>
        <v>2636</v>
      </c>
      <c r="Z84" s="33">
        <f>'9TH CAMP'!C79</f>
        <v>0.93179999999999996</v>
      </c>
      <c r="AA84" s="34">
        <f>'9TH CAMP'!G79</f>
        <v>616</v>
      </c>
      <c r="AB84" s="33">
        <f>ECHS!C79</f>
        <v>0.95809999999999995</v>
      </c>
      <c r="AC84" s="32">
        <f>ECHS!G79</f>
        <v>454</v>
      </c>
      <c r="AD84" s="33">
        <f>KMS!C79</f>
        <v>0.95209999999999995</v>
      </c>
      <c r="AE84" s="32">
        <f>KMS!G79</f>
        <v>1356</v>
      </c>
      <c r="AF84" s="33">
        <f>NMS!C79</f>
        <v>0.94730000000000003</v>
      </c>
      <c r="AG84" s="32">
        <f>NMS!G79</f>
        <v>1043</v>
      </c>
      <c r="AH84" s="36">
        <f>Highpoint!C79</f>
        <v>0</v>
      </c>
      <c r="AI84" s="37">
        <f>KASE!D76</f>
        <v>102</v>
      </c>
      <c r="AJ84" s="38"/>
      <c r="AK84" s="39">
        <f t="shared" si="13"/>
        <v>0.94575384615384617</v>
      </c>
      <c r="AL84" s="40"/>
    </row>
    <row r="85" spans="1:38" ht="12.75" x14ac:dyDescent="0.2">
      <c r="A85" s="25"/>
      <c r="B85" s="41">
        <f t="shared" si="23"/>
        <v>29250</v>
      </c>
      <c r="C85" s="49" t="s">
        <v>104</v>
      </c>
      <c r="D85" s="28">
        <v>45617</v>
      </c>
      <c r="E85" s="27" t="s">
        <v>39</v>
      </c>
      <c r="F85" s="29"/>
      <c r="G85" s="30">
        <f t="shared" si="22"/>
        <v>10917</v>
      </c>
      <c r="H85" s="31">
        <f>CE!C80</f>
        <v>0.95840000000000003</v>
      </c>
      <c r="I85" s="32">
        <f>CE!G80</f>
        <v>529</v>
      </c>
      <c r="J85" s="33">
        <f>GE!C80</f>
        <v>0.95030000000000003</v>
      </c>
      <c r="K85" s="32">
        <f>GE!G80</f>
        <v>604</v>
      </c>
      <c r="L85" s="33">
        <f>ME!C80</f>
        <v>0.94489999999999996</v>
      </c>
      <c r="M85" s="32">
        <f>ME!G80</f>
        <v>635</v>
      </c>
      <c r="N85" s="33">
        <f>SAMPLE!C80</f>
        <v>0.93889999999999996</v>
      </c>
      <c r="O85" s="32">
        <f>SAMPLE!G80</f>
        <v>606</v>
      </c>
      <c r="P85" s="33">
        <f>'Sheldon Elementary'!C80</f>
        <v>0.94420000000000004</v>
      </c>
      <c r="Q85" s="32">
        <f>'Sheldon Elementary'!D80</f>
        <v>591</v>
      </c>
      <c r="R85" s="33">
        <f>SLE!C80</f>
        <v>0.95679999999999998</v>
      </c>
      <c r="S85" s="32">
        <f>SLE!G80</f>
        <v>625</v>
      </c>
      <c r="T85" s="33">
        <f>CECA!C80</f>
        <v>0.92279999999999995</v>
      </c>
      <c r="U85" s="32">
        <f>CECA!G80</f>
        <v>556</v>
      </c>
      <c r="V85" s="33">
        <f>SECA!C80</f>
        <v>0.93389999999999995</v>
      </c>
      <c r="W85" s="32">
        <f>SECA!G80</f>
        <v>562</v>
      </c>
      <c r="X85" s="33">
        <f>KHS!C80</f>
        <v>0.92110000000000003</v>
      </c>
      <c r="Y85" s="34">
        <f>KHS!G80</f>
        <v>2636</v>
      </c>
      <c r="Z85" s="33">
        <f>'9TH CAMP'!C80</f>
        <v>0.9335</v>
      </c>
      <c r="AA85" s="34">
        <f>'9TH CAMP'!G80</f>
        <v>617</v>
      </c>
      <c r="AB85" s="33">
        <f>ECHS!C80</f>
        <v>0.9758</v>
      </c>
      <c r="AC85" s="32">
        <f>ECHS!G80</f>
        <v>454</v>
      </c>
      <c r="AD85" s="33">
        <f>KMS!C80</f>
        <v>0.95499999999999996</v>
      </c>
      <c r="AE85" s="32">
        <f>KMS!G80</f>
        <v>1357</v>
      </c>
      <c r="AF85" s="33">
        <f>NMS!C80</f>
        <v>0.94059999999999999</v>
      </c>
      <c r="AG85" s="32">
        <f>NMS!G80</f>
        <v>1043</v>
      </c>
      <c r="AH85" s="36">
        <f>Highpoint!C80</f>
        <v>0</v>
      </c>
      <c r="AI85" s="37">
        <f>KASE!D77</f>
        <v>102</v>
      </c>
      <c r="AJ85" s="38"/>
      <c r="AK85" s="39">
        <f t="shared" si="13"/>
        <v>0.94432307692307682</v>
      </c>
      <c r="AL85" s="40"/>
    </row>
    <row r="86" spans="1:38" ht="12.75" x14ac:dyDescent="0.2">
      <c r="A86" s="25"/>
      <c r="B86" s="41">
        <f t="shared" si="23"/>
        <v>29700</v>
      </c>
      <c r="C86" s="49" t="s">
        <v>105</v>
      </c>
      <c r="D86" s="28">
        <v>45618</v>
      </c>
      <c r="E86" s="27" t="s">
        <v>41</v>
      </c>
      <c r="F86" s="29"/>
      <c r="G86" s="30">
        <f t="shared" si="22"/>
        <v>10912</v>
      </c>
      <c r="H86" s="31">
        <f>CE!C81</f>
        <v>0.90169999999999995</v>
      </c>
      <c r="I86" s="32">
        <f>CE!G81</f>
        <v>529</v>
      </c>
      <c r="J86" s="33">
        <f>GE!C81</f>
        <v>0.90069999999999995</v>
      </c>
      <c r="K86" s="32">
        <f>GE!G81</f>
        <v>604</v>
      </c>
      <c r="L86" s="33">
        <f>ME!C81</f>
        <v>0.88190000000000002</v>
      </c>
      <c r="M86" s="32">
        <f>ME!G81</f>
        <v>635</v>
      </c>
      <c r="N86" s="33">
        <f>SAMPLE!C81</f>
        <v>0.91720000000000002</v>
      </c>
      <c r="O86" s="32">
        <f>SAMPLE!G81</f>
        <v>604</v>
      </c>
      <c r="P86" s="33">
        <f>'Sheldon Elementary'!C81</f>
        <v>0.92220000000000002</v>
      </c>
      <c r="Q86" s="32">
        <f>'Sheldon Elementary'!D81</f>
        <v>591</v>
      </c>
      <c r="R86" s="33">
        <f>SLE!C81</f>
        <v>0.90880000000000005</v>
      </c>
      <c r="S86" s="32">
        <f>SLE!G81</f>
        <v>625</v>
      </c>
      <c r="T86" s="33">
        <f>CECA!C81</f>
        <v>0.86199999999999999</v>
      </c>
      <c r="U86" s="32">
        <f>CECA!G81</f>
        <v>556</v>
      </c>
      <c r="V86" s="33">
        <f>SECA!C81</f>
        <v>0.8992</v>
      </c>
      <c r="W86" s="32">
        <f>SECA!G81</f>
        <v>562</v>
      </c>
      <c r="X86" s="33">
        <f>KHS!C81</f>
        <v>0.88690000000000002</v>
      </c>
      <c r="Y86" s="34">
        <f>KHS!G81</f>
        <v>2636</v>
      </c>
      <c r="Z86" s="33">
        <f>'9TH CAMP'!C81</f>
        <v>0.87519999999999998</v>
      </c>
      <c r="AA86" s="34">
        <f>'9TH CAMP'!G81</f>
        <v>617</v>
      </c>
      <c r="AB86" s="33">
        <f>ECHS!C81</f>
        <v>0.90310000000000001</v>
      </c>
      <c r="AC86" s="32">
        <f>ECHS!G81</f>
        <v>454</v>
      </c>
      <c r="AD86" s="33">
        <f>KMS!C81</f>
        <v>0.92849999999999999</v>
      </c>
      <c r="AE86" s="32">
        <f>KMS!G81</f>
        <v>1357</v>
      </c>
      <c r="AF86" s="33">
        <f>NMS!C81</f>
        <v>0.8972</v>
      </c>
      <c r="AG86" s="32">
        <f>NMS!G81</f>
        <v>1041</v>
      </c>
      <c r="AH86" s="36">
        <f>Highpoint!C81</f>
        <v>0</v>
      </c>
      <c r="AI86" s="37">
        <f>KASE!D78</f>
        <v>101</v>
      </c>
      <c r="AJ86" s="38"/>
      <c r="AK86" s="39">
        <f t="shared" si="13"/>
        <v>0.89881538461538457</v>
      </c>
      <c r="AL86" s="40"/>
    </row>
    <row r="87" spans="1:38" ht="12.75" x14ac:dyDescent="0.2">
      <c r="A87" s="205" t="s">
        <v>77</v>
      </c>
      <c r="B87" s="206"/>
      <c r="C87" s="206"/>
      <c r="D87" s="43">
        <v>45621</v>
      </c>
      <c r="E87" s="42" t="s">
        <v>33</v>
      </c>
      <c r="F87" s="44"/>
      <c r="G87" s="44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51">
        <f>Highpoint!C82</f>
        <v>0</v>
      </c>
      <c r="AI87" s="45"/>
      <c r="AJ87" s="45"/>
      <c r="AK87" s="40" t="e">
        <f t="shared" si="13"/>
        <v>#DIV/0!</v>
      </c>
      <c r="AL87" s="45"/>
    </row>
    <row r="88" spans="1:38" ht="12.75" x14ac:dyDescent="0.2">
      <c r="A88" s="205" t="s">
        <v>77</v>
      </c>
      <c r="B88" s="206"/>
      <c r="C88" s="206"/>
      <c r="D88" s="43">
        <v>45622</v>
      </c>
      <c r="E88" s="42" t="s">
        <v>35</v>
      </c>
      <c r="F88" s="44"/>
      <c r="G88" s="44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51">
        <f>Highpoint!C83</f>
        <v>0</v>
      </c>
      <c r="AI88" s="45"/>
      <c r="AJ88" s="45"/>
      <c r="AK88" s="40" t="e">
        <f t="shared" si="13"/>
        <v>#DIV/0!</v>
      </c>
      <c r="AL88" s="45"/>
    </row>
    <row r="89" spans="1:38" ht="12.75" x14ac:dyDescent="0.2">
      <c r="A89" s="205" t="s">
        <v>77</v>
      </c>
      <c r="B89" s="206"/>
      <c r="C89" s="206"/>
      <c r="D89" s="43">
        <v>45623</v>
      </c>
      <c r="E89" s="42" t="s">
        <v>37</v>
      </c>
      <c r="F89" s="44"/>
      <c r="G89" s="44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51"/>
      <c r="AI89" s="45"/>
      <c r="AJ89" s="45"/>
      <c r="AK89" s="40" t="e">
        <f t="shared" si="13"/>
        <v>#DIV/0!</v>
      </c>
      <c r="AL89" s="45"/>
    </row>
    <row r="90" spans="1:38" ht="12.75" x14ac:dyDescent="0.2">
      <c r="A90" s="205" t="s">
        <v>77</v>
      </c>
      <c r="B90" s="206"/>
      <c r="C90" s="206"/>
      <c r="D90" s="43">
        <v>45624</v>
      </c>
      <c r="E90" s="42" t="s">
        <v>39</v>
      </c>
      <c r="F90" s="44"/>
      <c r="G90" s="44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51">
        <f>Highpoint!C85</f>
        <v>0</v>
      </c>
      <c r="AI90" s="45"/>
      <c r="AJ90" s="45"/>
      <c r="AK90" s="40" t="e">
        <f t="shared" si="13"/>
        <v>#DIV/0!</v>
      </c>
      <c r="AL90" s="45"/>
    </row>
    <row r="91" spans="1:38" ht="12.75" x14ac:dyDescent="0.2">
      <c r="A91" s="205" t="s">
        <v>77</v>
      </c>
      <c r="B91" s="206"/>
      <c r="C91" s="206"/>
      <c r="D91" s="43">
        <v>45625</v>
      </c>
      <c r="E91" s="42" t="s">
        <v>41</v>
      </c>
      <c r="F91" s="44"/>
      <c r="G91" s="44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51">
        <f>Highpoint!C86</f>
        <v>0</v>
      </c>
      <c r="AI91" s="45"/>
      <c r="AJ91" s="45"/>
      <c r="AK91" s="40" t="e">
        <f t="shared" si="13"/>
        <v>#DIV/0!</v>
      </c>
      <c r="AL91" s="45"/>
    </row>
    <row r="92" spans="1:38" ht="12.75" x14ac:dyDescent="0.2">
      <c r="A92" s="25"/>
      <c r="B92" s="41">
        <f>B86+450</f>
        <v>30150</v>
      </c>
      <c r="C92" s="49" t="s">
        <v>106</v>
      </c>
      <c r="D92" s="28">
        <v>45628</v>
      </c>
      <c r="E92" s="27" t="s">
        <v>33</v>
      </c>
      <c r="F92" s="29"/>
      <c r="G92" s="30">
        <f t="shared" ref="G92:G106" si="24">I92+K92+M92+O92+Q92+S92+U92+W92+Y92+AA92+AC92+AE92+AG92+AI92+AH92</f>
        <v>10903</v>
      </c>
      <c r="H92" s="31">
        <f>CE!C87</f>
        <v>0.94140000000000001</v>
      </c>
      <c r="I92" s="32">
        <f>CE!G87</f>
        <v>529</v>
      </c>
      <c r="J92" s="33">
        <f>GE!C87</f>
        <v>0.93200000000000005</v>
      </c>
      <c r="K92" s="32">
        <f>GE!G87</f>
        <v>603</v>
      </c>
      <c r="L92" s="33">
        <f>ME!C87</f>
        <v>0.92889999999999995</v>
      </c>
      <c r="M92" s="32">
        <f>ME!G87</f>
        <v>634</v>
      </c>
      <c r="N92" s="33">
        <f>SAMPLE!C87</f>
        <v>0.95530000000000004</v>
      </c>
      <c r="O92" s="32">
        <f>SAMPLE!G87</f>
        <v>604</v>
      </c>
      <c r="P92" s="33">
        <f>'Sheldon Elementary'!C87</f>
        <v>0.94569999999999999</v>
      </c>
      <c r="Q92" s="32">
        <f>'Sheldon Elementary'!D87</f>
        <v>589</v>
      </c>
      <c r="R92" s="33">
        <f>SLE!C87</f>
        <v>0.94410000000000005</v>
      </c>
      <c r="S92" s="32">
        <f>SLE!G87</f>
        <v>626</v>
      </c>
      <c r="T92" s="33">
        <f>CECA!C87</f>
        <v>0.91120000000000001</v>
      </c>
      <c r="U92" s="32">
        <f>CECA!G87</f>
        <v>560</v>
      </c>
      <c r="V92" s="33">
        <f>SECA!C87</f>
        <v>0.91120000000000001</v>
      </c>
      <c r="W92" s="32">
        <f>SECA!G87</f>
        <v>562</v>
      </c>
      <c r="X92" s="33">
        <f>KHS!C87</f>
        <v>0.91220000000000001</v>
      </c>
      <c r="Y92" s="34">
        <f>KHS!G87</f>
        <v>2631</v>
      </c>
      <c r="Z92" s="33">
        <f>'9TH CAMP'!C87</f>
        <v>0.92689999999999995</v>
      </c>
      <c r="AA92" s="34">
        <f>'9TH CAMP'!G87</f>
        <v>616</v>
      </c>
      <c r="AB92" s="33">
        <f>ECHS!C87</f>
        <v>0.94710000000000005</v>
      </c>
      <c r="AC92" s="32">
        <f>ECHS!G87</f>
        <v>454</v>
      </c>
      <c r="AD92" s="33">
        <f>KMS!C87</f>
        <v>0.95199999999999996</v>
      </c>
      <c r="AE92" s="32">
        <f>KMS!G87</f>
        <v>1355</v>
      </c>
      <c r="AF92" s="33">
        <f>NMS!C87</f>
        <v>0.92030000000000001</v>
      </c>
      <c r="AG92" s="32">
        <f>NMS!G87</f>
        <v>1044</v>
      </c>
      <c r="AH92" s="36">
        <f>Highpoint!C87</f>
        <v>0</v>
      </c>
      <c r="AI92" s="37">
        <f>KASE!D84</f>
        <v>96</v>
      </c>
      <c r="AJ92" s="38"/>
      <c r="AK92" s="39">
        <f t="shared" si="13"/>
        <v>0.93294615384615376</v>
      </c>
      <c r="AL92" s="40"/>
    </row>
    <row r="93" spans="1:38" ht="12.75" x14ac:dyDescent="0.2">
      <c r="A93" s="26"/>
      <c r="B93" s="41">
        <f t="shared" ref="B93:B106" si="25">B92+450</f>
        <v>30600</v>
      </c>
      <c r="C93" s="49" t="s">
        <v>107</v>
      </c>
      <c r="D93" s="28">
        <v>45629</v>
      </c>
      <c r="E93" s="27" t="s">
        <v>35</v>
      </c>
      <c r="F93" s="29"/>
      <c r="G93" s="29">
        <f t="shared" si="24"/>
        <v>10906</v>
      </c>
      <c r="H93" s="31">
        <f>CE!C88</f>
        <v>0.9395</v>
      </c>
      <c r="I93" s="32">
        <f>CE!G88</f>
        <v>529</v>
      </c>
      <c r="J93" s="31">
        <f>GE!C88</f>
        <v>0.96530000000000005</v>
      </c>
      <c r="K93" s="32">
        <f>GE!G88</f>
        <v>605</v>
      </c>
      <c r="L93" s="31">
        <f>ME!C88</f>
        <v>0.95109999999999995</v>
      </c>
      <c r="M93" s="32">
        <f>ME!G88</f>
        <v>634</v>
      </c>
      <c r="N93" s="31">
        <f>SAMPLE!C88</f>
        <v>0.95030000000000003</v>
      </c>
      <c r="O93" s="32">
        <f>SAMPLE!G88</f>
        <v>604</v>
      </c>
      <c r="P93" s="31">
        <f>'Sheldon Elementary'!C88</f>
        <v>0.9526</v>
      </c>
      <c r="Q93" s="32">
        <f>'Sheldon Elementary'!D88</f>
        <v>591</v>
      </c>
      <c r="R93" s="31">
        <f>SLE!C88</f>
        <v>0.96330000000000005</v>
      </c>
      <c r="S93" s="32">
        <f>SLE!G88</f>
        <v>627</v>
      </c>
      <c r="T93" s="31">
        <f>CECA!C88</f>
        <v>0.96419999999999995</v>
      </c>
      <c r="U93" s="32">
        <f>CECA!G88</f>
        <v>563</v>
      </c>
      <c r="V93" s="31">
        <f>SECA!C88</f>
        <v>0.94789999999999996</v>
      </c>
      <c r="W93" s="32">
        <f>SECA!G88</f>
        <v>561</v>
      </c>
      <c r="X93" s="31">
        <f>KHS!C88</f>
        <v>0.93879999999999997</v>
      </c>
      <c r="Y93" s="34">
        <f>KHS!G88</f>
        <v>2631</v>
      </c>
      <c r="Z93" s="31">
        <f>'9TH CAMP'!C88</f>
        <v>0.93510000000000004</v>
      </c>
      <c r="AA93" s="34">
        <f>'9TH CAMP'!G88</f>
        <v>616</v>
      </c>
      <c r="AB93" s="31">
        <f>ECHS!C88</f>
        <v>0.9758</v>
      </c>
      <c r="AC93" s="32">
        <f>ECHS!G88</f>
        <v>454</v>
      </c>
      <c r="AD93" s="31">
        <f>KMS!C88</f>
        <v>0.95799999999999996</v>
      </c>
      <c r="AE93" s="32">
        <f>KMS!G88</f>
        <v>1356</v>
      </c>
      <c r="AF93" s="31">
        <f>NMS!C88</f>
        <v>0.95020000000000004</v>
      </c>
      <c r="AG93" s="32">
        <f>NMS!G88</f>
        <v>1041</v>
      </c>
      <c r="AH93" s="52">
        <f>Highpoint!C88</f>
        <v>0</v>
      </c>
      <c r="AI93" s="36">
        <f>KASE!D85</f>
        <v>94</v>
      </c>
      <c r="AJ93" s="38"/>
      <c r="AK93" s="39">
        <f t="shared" si="13"/>
        <v>0.95323846153846159</v>
      </c>
      <c r="AL93" s="40"/>
    </row>
    <row r="94" spans="1:38" ht="12.75" x14ac:dyDescent="0.2">
      <c r="A94" s="25"/>
      <c r="B94" s="41">
        <f t="shared" si="25"/>
        <v>31050</v>
      </c>
      <c r="C94" s="49" t="s">
        <v>108</v>
      </c>
      <c r="D94" s="28">
        <v>45630</v>
      </c>
      <c r="E94" s="27" t="s">
        <v>37</v>
      </c>
      <c r="F94" s="29"/>
      <c r="G94" s="30">
        <f t="shared" si="24"/>
        <v>10900</v>
      </c>
      <c r="H94" s="31">
        <f>CE!C89</f>
        <v>0.97919999999999996</v>
      </c>
      <c r="I94" s="32">
        <f>CE!G89</f>
        <v>528</v>
      </c>
      <c r="J94" s="33">
        <f>GE!C89</f>
        <v>0.93879999999999997</v>
      </c>
      <c r="K94" s="32">
        <f>GE!G89</f>
        <v>605</v>
      </c>
      <c r="L94" s="33">
        <f>ME!C89</f>
        <v>0.95899999999999996</v>
      </c>
      <c r="M94" s="32">
        <f>ME!G89</f>
        <v>634</v>
      </c>
      <c r="N94" s="33">
        <f>SAMPLE!C89</f>
        <v>0.95850000000000002</v>
      </c>
      <c r="O94" s="32">
        <f>SAMPLE!G89</f>
        <v>602</v>
      </c>
      <c r="P94" s="33">
        <f>'Sheldon Elementary'!C90</f>
        <v>0.93389999999999995</v>
      </c>
      <c r="Q94" s="32">
        <f>'Sheldon Elementary'!D89</f>
        <v>591</v>
      </c>
      <c r="R94" s="33">
        <f>SLE!C89</f>
        <v>0.96489999999999998</v>
      </c>
      <c r="S94" s="32">
        <f>SLE!G89</f>
        <v>624</v>
      </c>
      <c r="T94" s="33">
        <f>CECA!C89</f>
        <v>0.95199999999999996</v>
      </c>
      <c r="U94" s="32">
        <f>CECA!G89</f>
        <v>564</v>
      </c>
      <c r="V94" s="33">
        <f>SECA!C89</f>
        <v>0.94130000000000003</v>
      </c>
      <c r="W94" s="32">
        <f>SECA!G89</f>
        <v>561</v>
      </c>
      <c r="X94" s="33">
        <f>KHS!C89</f>
        <v>0.9365</v>
      </c>
      <c r="Y94" s="34">
        <f>KHS!G89</f>
        <v>2629</v>
      </c>
      <c r="Z94" s="33">
        <f>'9TH CAMP'!C89</f>
        <v>0.94169999999999998</v>
      </c>
      <c r="AA94" s="34">
        <f>'9TH CAMP'!G89</f>
        <v>618</v>
      </c>
      <c r="AB94" s="33">
        <f>ECHS!C89</f>
        <v>0.96040000000000003</v>
      </c>
      <c r="AC94" s="32">
        <f>ECHS!G89</f>
        <v>454</v>
      </c>
      <c r="AD94" s="33">
        <f>KMS!C89</f>
        <v>0.95350000000000001</v>
      </c>
      <c r="AE94" s="32">
        <f>KMS!G89</f>
        <v>1356</v>
      </c>
      <c r="AF94" s="33">
        <f>NMS!C89</f>
        <v>0.95489999999999997</v>
      </c>
      <c r="AG94" s="32">
        <f>NMS!G89</f>
        <v>1044</v>
      </c>
      <c r="AH94" s="36">
        <f>Highpoint!C89</f>
        <v>0</v>
      </c>
      <c r="AI94" s="37">
        <f>KASE!D86</f>
        <v>90</v>
      </c>
      <c r="AJ94" s="38"/>
      <c r="AK94" s="39">
        <f t="shared" si="13"/>
        <v>0.95189230769230782</v>
      </c>
      <c r="AL94" s="40"/>
    </row>
    <row r="95" spans="1:38" ht="12.75" x14ac:dyDescent="0.2">
      <c r="A95" s="25"/>
      <c r="B95" s="41">
        <f t="shared" si="25"/>
        <v>31500</v>
      </c>
      <c r="C95" s="49" t="s">
        <v>109</v>
      </c>
      <c r="D95" s="28">
        <v>45631</v>
      </c>
      <c r="E95" s="27" t="s">
        <v>39</v>
      </c>
      <c r="F95" s="29"/>
      <c r="G95" s="30">
        <f t="shared" si="24"/>
        <v>10902</v>
      </c>
      <c r="H95" s="31">
        <f>CE!C90</f>
        <v>0.96020000000000005</v>
      </c>
      <c r="I95" s="32">
        <f>CE!G90</f>
        <v>528</v>
      </c>
      <c r="J95" s="33">
        <f>GE!C90</f>
        <v>0.96030000000000004</v>
      </c>
      <c r="K95" s="32">
        <f>GE!G90</f>
        <v>605</v>
      </c>
      <c r="L95" s="33">
        <f>ME!C90</f>
        <v>0.98419999999999996</v>
      </c>
      <c r="M95" s="32">
        <f>ME!G90</f>
        <v>634</v>
      </c>
      <c r="N95" s="33">
        <f>SAMPLE!C90</f>
        <v>0.95020000000000004</v>
      </c>
      <c r="O95" s="32">
        <f>SAMPLE!G90</f>
        <v>602</v>
      </c>
      <c r="P95" s="33">
        <f>'Sheldon Elementary'!C91</f>
        <v>0.94069999999999998</v>
      </c>
      <c r="Q95" s="32">
        <f>'Sheldon Elementary'!D90</f>
        <v>590</v>
      </c>
      <c r="R95" s="33">
        <f>SLE!C90</f>
        <v>0.96960000000000002</v>
      </c>
      <c r="S95" s="32">
        <f>SLE!G90</f>
        <v>626</v>
      </c>
      <c r="T95" s="33">
        <f>CECA!C90</f>
        <v>0.95760000000000001</v>
      </c>
      <c r="U95" s="32">
        <f>CECA!G90</f>
        <v>564</v>
      </c>
      <c r="V95" s="33">
        <f>SECA!C90</f>
        <v>0.9304</v>
      </c>
      <c r="W95" s="32">
        <f>SECA!G90</f>
        <v>561</v>
      </c>
      <c r="X95" s="33">
        <f>KHS!C90</f>
        <v>0.94030000000000002</v>
      </c>
      <c r="Y95" s="34">
        <f>KHS!G90</f>
        <v>2628</v>
      </c>
      <c r="Z95" s="33">
        <f>'9TH CAMP'!C90</f>
        <v>0.94340000000000002</v>
      </c>
      <c r="AA95" s="34">
        <f>'9TH CAMP'!G90</f>
        <v>618</v>
      </c>
      <c r="AB95" s="33">
        <f>ECHS!C90</f>
        <v>0.97140000000000004</v>
      </c>
      <c r="AC95" s="32">
        <f>ECHS!G90</f>
        <v>454</v>
      </c>
      <c r="AD95" s="33">
        <f>KMS!C90</f>
        <v>0.95279999999999998</v>
      </c>
      <c r="AE95" s="32">
        <f>KMS!G90</f>
        <v>1357</v>
      </c>
      <c r="AF95" s="33">
        <f>NMS!C90</f>
        <v>0.95499999999999996</v>
      </c>
      <c r="AG95" s="32">
        <f>NMS!G90</f>
        <v>1045</v>
      </c>
      <c r="AH95" s="36">
        <f>Highpoint!C90</f>
        <v>0</v>
      </c>
      <c r="AI95" s="37">
        <f>KASE!D87</f>
        <v>90</v>
      </c>
      <c r="AJ95" s="38"/>
      <c r="AK95" s="39">
        <f t="shared" si="13"/>
        <v>0.95508461538461553</v>
      </c>
      <c r="AL95" s="40"/>
    </row>
    <row r="96" spans="1:38" ht="12.75" x14ac:dyDescent="0.2">
      <c r="A96" s="25"/>
      <c r="B96" s="41">
        <f t="shared" si="25"/>
        <v>31950</v>
      </c>
      <c r="C96" s="49" t="s">
        <v>110</v>
      </c>
      <c r="D96" s="28">
        <v>45632</v>
      </c>
      <c r="E96" s="27" t="s">
        <v>41</v>
      </c>
      <c r="F96" s="29"/>
      <c r="G96" s="30">
        <f t="shared" si="24"/>
        <v>10898</v>
      </c>
      <c r="H96" s="31">
        <f>CE!C91</f>
        <v>0.93179999999999996</v>
      </c>
      <c r="I96" s="32">
        <f>CE!G91</f>
        <v>528</v>
      </c>
      <c r="J96" s="33">
        <f>GE!C91</f>
        <v>0.9405</v>
      </c>
      <c r="K96" s="32">
        <f>GE!G91</f>
        <v>605</v>
      </c>
      <c r="L96" s="33">
        <f>ME!C91</f>
        <v>0.94950000000000001</v>
      </c>
      <c r="M96" s="32">
        <f>ME!G91</f>
        <v>634</v>
      </c>
      <c r="N96" s="33">
        <f>SAMPLE!C91</f>
        <v>0.9385</v>
      </c>
      <c r="O96" s="32">
        <f>SAMPLE!G91</f>
        <v>602</v>
      </c>
      <c r="P96" s="33">
        <f>'Sheldon Elementary'!C92</f>
        <v>0.92879999999999996</v>
      </c>
      <c r="Q96" s="32">
        <f>'Sheldon Elementary'!D91</f>
        <v>590</v>
      </c>
      <c r="R96" s="33">
        <f>SLE!C91</f>
        <v>0.93610000000000004</v>
      </c>
      <c r="S96" s="32">
        <f>SLE!G91</f>
        <v>626</v>
      </c>
      <c r="T96" s="33">
        <f>CECA!C91</f>
        <v>0.92630000000000001</v>
      </c>
      <c r="U96" s="32">
        <f>CECA!G91</f>
        <v>564</v>
      </c>
      <c r="V96" s="33">
        <f>SECA!C91</f>
        <v>0.90649999999999997</v>
      </c>
      <c r="W96" s="32">
        <f>SECA!G91</f>
        <v>561</v>
      </c>
      <c r="X96" s="33">
        <f>KHS!C91</f>
        <v>0.92759999999999998</v>
      </c>
      <c r="Y96" s="34">
        <f>KHS!G91</f>
        <v>2626</v>
      </c>
      <c r="Z96" s="33">
        <f>'9TH CAMP'!C91</f>
        <v>0.93369999999999997</v>
      </c>
      <c r="AA96" s="34">
        <f>'9TH CAMP'!G91</f>
        <v>618</v>
      </c>
      <c r="AB96" s="33">
        <f>ECHS!C91</f>
        <v>0.93389999999999995</v>
      </c>
      <c r="AC96" s="32">
        <f>ECHS!G91</f>
        <v>454</v>
      </c>
      <c r="AD96" s="33">
        <f>KMS!C91</f>
        <v>0.94840000000000002</v>
      </c>
      <c r="AE96" s="32">
        <f>KMS!G91</f>
        <v>1357</v>
      </c>
      <c r="AF96" s="33">
        <f>NMS!C91</f>
        <v>0.9234</v>
      </c>
      <c r="AG96" s="32">
        <f>NMS!G91</f>
        <v>1044</v>
      </c>
      <c r="AH96" s="36">
        <f>Highpoint!C91</f>
        <v>0</v>
      </c>
      <c r="AI96" s="37">
        <f>KASE!D88</f>
        <v>89</v>
      </c>
      <c r="AJ96" s="38"/>
      <c r="AK96" s="39">
        <f t="shared" si="13"/>
        <v>0.93269230769230771</v>
      </c>
      <c r="AL96" s="40"/>
    </row>
    <row r="97" spans="1:38" ht="12.75" x14ac:dyDescent="0.2">
      <c r="A97" s="25"/>
      <c r="B97" s="41">
        <f t="shared" si="25"/>
        <v>32400</v>
      </c>
      <c r="C97" s="49" t="s">
        <v>111</v>
      </c>
      <c r="D97" s="28">
        <v>45635</v>
      </c>
      <c r="E97" s="27" t="s">
        <v>33</v>
      </c>
      <c r="F97" s="29"/>
      <c r="G97" s="30">
        <f t="shared" si="24"/>
        <v>10901</v>
      </c>
      <c r="H97" s="31">
        <f>CE!C92</f>
        <v>0.94699999999999995</v>
      </c>
      <c r="I97" s="32">
        <f>CE!G92</f>
        <v>528</v>
      </c>
      <c r="J97" s="33">
        <f>GE!C92</f>
        <v>0.95699999999999996</v>
      </c>
      <c r="K97" s="32">
        <f>GE!G93</f>
        <v>605</v>
      </c>
      <c r="L97" s="33">
        <f>ME!C92</f>
        <v>0.93889999999999996</v>
      </c>
      <c r="M97" s="32">
        <f>ME!G92</f>
        <v>638</v>
      </c>
      <c r="N97" s="33">
        <f>SAMPLE!C92</f>
        <v>0.95679999999999998</v>
      </c>
      <c r="O97" s="32">
        <f>SAMPLE!G92</f>
        <v>602</v>
      </c>
      <c r="P97" s="33">
        <f>'Sheldon Elementary'!C93</f>
        <v>0.96099999999999997</v>
      </c>
      <c r="Q97" s="32">
        <f>'Sheldon Elementary'!D92</f>
        <v>590</v>
      </c>
      <c r="R97" s="33">
        <f>SLE!C92</f>
        <v>0.92810000000000004</v>
      </c>
      <c r="S97" s="32">
        <f>SLE!G92</f>
        <v>626</v>
      </c>
      <c r="T97" s="33">
        <f>CECA!C92</f>
        <v>0.90300000000000002</v>
      </c>
      <c r="U97" s="32">
        <f>CECA!G92</f>
        <v>566</v>
      </c>
      <c r="V97" s="33">
        <f>SECA!C92</f>
        <v>0.92069999999999996</v>
      </c>
      <c r="W97" s="32">
        <f>SECA!G92</f>
        <v>561</v>
      </c>
      <c r="X97" s="33">
        <f>KHS!C92</f>
        <v>0.92610000000000003</v>
      </c>
      <c r="Y97" s="34">
        <f>KHS!G92</f>
        <v>2626</v>
      </c>
      <c r="Z97" s="33">
        <f>'9TH CAMP'!C92</f>
        <v>0.95950000000000002</v>
      </c>
      <c r="AA97" s="34">
        <f>'9TH CAMP'!G92</f>
        <v>618</v>
      </c>
      <c r="AB97" s="33">
        <f>ECHS!C92</f>
        <v>0.95150000000000001</v>
      </c>
      <c r="AC97" s="32">
        <f>ECHS!G92</f>
        <v>454</v>
      </c>
      <c r="AD97" s="33">
        <f>KMS!C92</f>
        <v>0.94540000000000002</v>
      </c>
      <c r="AE97" s="32">
        <f>KMS!G92</f>
        <v>1356</v>
      </c>
      <c r="AF97" s="33">
        <f>NMS!C92</f>
        <v>0.94920000000000004</v>
      </c>
      <c r="AG97" s="32">
        <f>NMS!G92</f>
        <v>1043</v>
      </c>
      <c r="AH97" s="36">
        <f>Highpoint!C92</f>
        <v>0</v>
      </c>
      <c r="AI97" s="37">
        <f>KASE!D89</f>
        <v>88</v>
      </c>
      <c r="AJ97" s="38"/>
      <c r="AK97" s="39">
        <f t="shared" si="13"/>
        <v>0.94186153846153831</v>
      </c>
      <c r="AL97" s="40"/>
    </row>
    <row r="98" spans="1:38" ht="12.75" x14ac:dyDescent="0.2">
      <c r="A98" s="25"/>
      <c r="B98" s="41">
        <f t="shared" si="25"/>
        <v>32850</v>
      </c>
      <c r="C98" s="49" t="s">
        <v>112</v>
      </c>
      <c r="D98" s="28">
        <v>45636</v>
      </c>
      <c r="E98" s="27" t="s">
        <v>35</v>
      </c>
      <c r="F98" s="29"/>
      <c r="G98" s="30">
        <f t="shared" si="24"/>
        <v>10905</v>
      </c>
      <c r="H98" s="31">
        <f>CE!C93</f>
        <v>0.9677</v>
      </c>
      <c r="I98" s="32">
        <f>CE!G93</f>
        <v>526</v>
      </c>
      <c r="J98" s="33">
        <f>GE!C93</f>
        <v>0.96199999999999997</v>
      </c>
      <c r="K98" s="32">
        <f>GE!G94</f>
        <v>605</v>
      </c>
      <c r="L98" s="33">
        <f>ME!C93</f>
        <v>0.96079999999999999</v>
      </c>
      <c r="M98" s="32">
        <f>ME!G93</f>
        <v>638</v>
      </c>
      <c r="N98" s="33">
        <f>SAMPLE!C93</f>
        <v>0.95850000000000002</v>
      </c>
      <c r="O98" s="32">
        <f>SAMPLE!G93</f>
        <v>602</v>
      </c>
      <c r="P98" s="33">
        <f>'Sheldon Elementary'!C93</f>
        <v>0.96099999999999997</v>
      </c>
      <c r="Q98" s="32">
        <f>'Sheldon Elementary'!D93</f>
        <v>590</v>
      </c>
      <c r="R98" s="33">
        <f>SLE!C93</f>
        <v>0.95530000000000004</v>
      </c>
      <c r="S98" s="32">
        <f>SLE!G93</f>
        <v>627</v>
      </c>
      <c r="T98" s="33">
        <f>CECA!C93</f>
        <v>0.90859999999999996</v>
      </c>
      <c r="U98" s="32">
        <f>CECA!G93</f>
        <v>567</v>
      </c>
      <c r="V98" s="33">
        <f>SECA!C93</f>
        <v>0.92169999999999996</v>
      </c>
      <c r="W98" s="32">
        <f>SECA!G93</f>
        <v>561</v>
      </c>
      <c r="X98" s="33">
        <f>KHS!C93</f>
        <v>0.93679999999999997</v>
      </c>
      <c r="Y98" s="34">
        <f>KHS!G93</f>
        <v>2628</v>
      </c>
      <c r="Z98" s="33">
        <f>'9TH CAMP'!C93</f>
        <v>0.95950000000000002</v>
      </c>
      <c r="AA98" s="34">
        <f>'9TH CAMP'!G93</f>
        <v>618</v>
      </c>
      <c r="AB98" s="33">
        <f>ECHS!C93</f>
        <v>0.96479999999999999</v>
      </c>
      <c r="AC98" s="32">
        <f>ECHS!G93</f>
        <v>454</v>
      </c>
      <c r="AD98" s="33">
        <f>KMS!C93</f>
        <v>0.94620000000000004</v>
      </c>
      <c r="AE98" s="32">
        <f>KMS!G93</f>
        <v>1357</v>
      </c>
      <c r="AF98" s="33">
        <f>NMS!C93</f>
        <v>0.95499999999999996</v>
      </c>
      <c r="AG98" s="32">
        <f>NMS!G93</f>
        <v>1045</v>
      </c>
      <c r="AH98" s="36">
        <f>Highpoint!C93</f>
        <v>0</v>
      </c>
      <c r="AI98" s="37">
        <f>KASE!D90</f>
        <v>87</v>
      </c>
      <c r="AJ98" s="38"/>
      <c r="AK98" s="39">
        <f t="shared" si="13"/>
        <v>0.95060769230769226</v>
      </c>
      <c r="AL98" s="40"/>
    </row>
    <row r="99" spans="1:38" ht="12.75" x14ac:dyDescent="0.2">
      <c r="A99" s="25"/>
      <c r="B99" s="41">
        <f t="shared" si="25"/>
        <v>33300</v>
      </c>
      <c r="C99" s="49" t="s">
        <v>113</v>
      </c>
      <c r="D99" s="28">
        <v>45637</v>
      </c>
      <c r="E99" s="27" t="s">
        <v>37</v>
      </c>
      <c r="F99" s="29"/>
      <c r="G99" s="30">
        <f t="shared" si="24"/>
        <v>10913</v>
      </c>
      <c r="H99" s="31">
        <f>CE!C94</f>
        <v>0.94110000000000005</v>
      </c>
      <c r="I99" s="32">
        <f>CE!G94</f>
        <v>526</v>
      </c>
      <c r="J99" s="33">
        <f>GE!C94</f>
        <v>0.96030000000000004</v>
      </c>
      <c r="K99" s="32">
        <f>GE!G94</f>
        <v>605</v>
      </c>
      <c r="L99" s="33">
        <f>ME!C94</f>
        <v>0.93420000000000003</v>
      </c>
      <c r="M99" s="32">
        <f>ME!G94</f>
        <v>638</v>
      </c>
      <c r="N99" s="33">
        <f>SAMPLE!C94</f>
        <v>0.97670000000000001</v>
      </c>
      <c r="O99" s="32">
        <f>SAMPLE!G94</f>
        <v>602</v>
      </c>
      <c r="P99" s="33">
        <f>'Sheldon Elementary'!C94</f>
        <v>0.95760000000000001</v>
      </c>
      <c r="Q99" s="32">
        <f>'Sheldon Elementary'!D94</f>
        <v>590</v>
      </c>
      <c r="R99" s="33">
        <f>SLE!C94</f>
        <v>0.93620000000000003</v>
      </c>
      <c r="S99" s="32">
        <f>SLE!G94</f>
        <v>627</v>
      </c>
      <c r="T99" s="33">
        <f>CECA!C94</f>
        <v>0.91769999999999996</v>
      </c>
      <c r="U99" s="32">
        <f>CECA!G94</f>
        <v>568</v>
      </c>
      <c r="V99" s="33">
        <f>SECA!C94</f>
        <v>0.92610000000000003</v>
      </c>
      <c r="W99" s="32">
        <f>SECA!G94</f>
        <v>561</v>
      </c>
      <c r="X99" s="33">
        <f>KHS!C94</f>
        <v>0.93159999999999998</v>
      </c>
      <c r="Y99" s="34">
        <f>KHS!G94</f>
        <v>2631</v>
      </c>
      <c r="Z99" s="33">
        <f>'9TH CAMP'!C94</f>
        <v>0.95169999999999999</v>
      </c>
      <c r="AA99" s="34">
        <f>'9TH CAMP'!G94</f>
        <v>621</v>
      </c>
      <c r="AB99" s="33">
        <f>ECHS!C94</f>
        <v>0.96919999999999995</v>
      </c>
      <c r="AC99" s="32">
        <f>ECHS!G94</f>
        <v>454</v>
      </c>
      <c r="AD99" s="33">
        <f>KMS!C94</f>
        <v>0.94399999999999995</v>
      </c>
      <c r="AE99" s="32">
        <f>KMS!G94</f>
        <v>1357</v>
      </c>
      <c r="AF99" s="33">
        <f>NMS!C94</f>
        <v>0.95509999999999995</v>
      </c>
      <c r="AG99" s="32">
        <f>NMS!G94</f>
        <v>1046</v>
      </c>
      <c r="AH99" s="36">
        <f>Highpoint!C94</f>
        <v>0</v>
      </c>
      <c r="AI99" s="37">
        <f>KASE!D91</f>
        <v>87</v>
      </c>
      <c r="AJ99" s="38"/>
      <c r="AK99" s="39">
        <f t="shared" si="13"/>
        <v>0.94626923076923097</v>
      </c>
      <c r="AL99" s="40"/>
    </row>
    <row r="100" spans="1:38" ht="12.75" x14ac:dyDescent="0.2">
      <c r="A100" s="25"/>
      <c r="B100" s="41">
        <f t="shared" si="25"/>
        <v>33750</v>
      </c>
      <c r="C100" s="49" t="s">
        <v>114</v>
      </c>
      <c r="D100" s="28">
        <v>45638</v>
      </c>
      <c r="E100" s="27" t="s">
        <v>39</v>
      </c>
      <c r="F100" s="29"/>
      <c r="G100" s="30">
        <f t="shared" si="24"/>
        <v>10916</v>
      </c>
      <c r="H100" s="31">
        <f>CE!C95</f>
        <v>0.9506</v>
      </c>
      <c r="I100" s="32">
        <f>CE!G95</f>
        <v>526</v>
      </c>
      <c r="J100" s="33">
        <f>GE!C95</f>
        <v>0.94740000000000002</v>
      </c>
      <c r="K100" s="32">
        <f>GE!G95</f>
        <v>608</v>
      </c>
      <c r="L100" s="33">
        <f>ME!C95</f>
        <v>0.93569999999999998</v>
      </c>
      <c r="M100" s="32">
        <f>ME!G95</f>
        <v>638</v>
      </c>
      <c r="N100" s="33">
        <f>SAMPLE!C95</f>
        <v>0.96009999999999995</v>
      </c>
      <c r="O100" s="32">
        <f>SAMPLE!G95</f>
        <v>602</v>
      </c>
      <c r="P100" s="33">
        <f>'Sheldon Elementary'!C95</f>
        <v>0.94410000000000005</v>
      </c>
      <c r="Q100" s="32">
        <f>'Sheldon Elementary'!D95</f>
        <v>592</v>
      </c>
      <c r="R100" s="33">
        <f>SLE!C95</f>
        <v>0.97289999999999999</v>
      </c>
      <c r="S100" s="32">
        <f>SLE!G95</f>
        <v>627</v>
      </c>
      <c r="T100" s="33">
        <f>CECA!C95</f>
        <v>0.91659999999999997</v>
      </c>
      <c r="U100" s="32">
        <f>CECA!G95</f>
        <v>568</v>
      </c>
      <c r="V100" s="33">
        <f>SECA!C95</f>
        <v>0.93700000000000006</v>
      </c>
      <c r="W100" s="32">
        <f>SECA!G95</f>
        <v>561</v>
      </c>
      <c r="X100" s="33">
        <f>KHS!C95</f>
        <v>0.93389999999999995</v>
      </c>
      <c r="Y100" s="34">
        <f>KHS!G95</f>
        <v>2631</v>
      </c>
      <c r="Z100" s="33">
        <f>'9TH CAMP'!C95</f>
        <v>0.93559999999999999</v>
      </c>
      <c r="AA100" s="34">
        <f>'9TH CAMP'!G95</f>
        <v>621</v>
      </c>
      <c r="AB100" s="33">
        <f>ECHS!C95</f>
        <v>0.96699999999999997</v>
      </c>
      <c r="AC100" s="32">
        <f>ECHS!G95</f>
        <v>454</v>
      </c>
      <c r="AD100" s="33">
        <f>KMS!C95</f>
        <v>0.94540000000000002</v>
      </c>
      <c r="AE100" s="32">
        <f>KMS!G95</f>
        <v>1356</v>
      </c>
      <c r="AF100" s="33">
        <f>NMS!C95</f>
        <v>0.94259999999999999</v>
      </c>
      <c r="AG100" s="32">
        <f>NMS!G95</f>
        <v>1046</v>
      </c>
      <c r="AH100" s="36">
        <f>Highpoint!C95</f>
        <v>0</v>
      </c>
      <c r="AI100" s="37">
        <f>KASE!D92</f>
        <v>86</v>
      </c>
      <c r="AJ100" s="38"/>
      <c r="AK100" s="39">
        <f t="shared" si="13"/>
        <v>0.94530000000000014</v>
      </c>
      <c r="AL100" s="40"/>
    </row>
    <row r="101" spans="1:38" ht="12.75" x14ac:dyDescent="0.2">
      <c r="A101" s="25"/>
      <c r="B101" s="41">
        <f t="shared" si="25"/>
        <v>34200</v>
      </c>
      <c r="C101" s="49" t="s">
        <v>115</v>
      </c>
      <c r="D101" s="28">
        <v>45639</v>
      </c>
      <c r="E101" s="27" t="s">
        <v>41</v>
      </c>
      <c r="F101" s="29"/>
      <c r="G101" s="30">
        <f t="shared" si="24"/>
        <v>10915</v>
      </c>
      <c r="H101" s="31">
        <f>CE!C96</f>
        <v>0.92779999999999996</v>
      </c>
      <c r="I101" s="32">
        <f>CE!G96</f>
        <v>526</v>
      </c>
      <c r="J101" s="33">
        <f>GE!C96</f>
        <v>0.92269999999999996</v>
      </c>
      <c r="K101" s="32">
        <f>GE!G96</f>
        <v>608</v>
      </c>
      <c r="L101" s="33">
        <f>ME!C96</f>
        <v>0.93100000000000005</v>
      </c>
      <c r="M101" s="32">
        <f>ME!G96</f>
        <v>638</v>
      </c>
      <c r="N101" s="33">
        <f>SAMPLE!C96</f>
        <v>0.92689999999999995</v>
      </c>
      <c r="O101" s="32">
        <f>SAMPLE!G96</f>
        <v>602</v>
      </c>
      <c r="P101" s="33">
        <f>'Sheldon Elementary'!C96</f>
        <v>0.9274</v>
      </c>
      <c r="Q101" s="32">
        <f>'Sheldon Elementary'!D96</f>
        <v>592</v>
      </c>
      <c r="R101" s="33">
        <f>SLE!C96</f>
        <v>0.94420000000000004</v>
      </c>
      <c r="S101" s="32">
        <f>SLE!G96</f>
        <v>627</v>
      </c>
      <c r="T101" s="33">
        <f>CECA!C96</f>
        <v>0.89659999999999995</v>
      </c>
      <c r="U101" s="32">
        <f>CECA!G96</f>
        <v>568</v>
      </c>
      <c r="V101" s="33">
        <f>SECA!C96</f>
        <v>0.89239999999999997</v>
      </c>
      <c r="W101" s="32">
        <f>SECA!G96</f>
        <v>561</v>
      </c>
      <c r="X101" s="33">
        <f>KHS!C96</f>
        <v>0.91900000000000004</v>
      </c>
      <c r="Y101" s="34">
        <f>KHS!G96</f>
        <v>2631</v>
      </c>
      <c r="Z101" s="33">
        <f>'9TH CAMP'!C96</f>
        <v>0.92910000000000004</v>
      </c>
      <c r="AA101" s="34">
        <f>'9TH CAMP'!G96</f>
        <v>621</v>
      </c>
      <c r="AB101" s="33">
        <f>ECHS!C96</f>
        <v>0.94710000000000005</v>
      </c>
      <c r="AC101" s="32">
        <f>ECHS!G96</f>
        <v>454</v>
      </c>
      <c r="AD101" s="33">
        <f>KMS!C96</f>
        <v>0.9425</v>
      </c>
      <c r="AE101" s="32">
        <f>KMS!G96</f>
        <v>1356</v>
      </c>
      <c r="AF101" s="33">
        <f>NMS!C96</f>
        <v>0.91800000000000004</v>
      </c>
      <c r="AG101" s="32">
        <f>NMS!G96</f>
        <v>1046</v>
      </c>
      <c r="AH101" s="36">
        <f>Highpoint!C96</f>
        <v>0</v>
      </c>
      <c r="AI101" s="37">
        <f>KASE!D93</f>
        <v>85</v>
      </c>
      <c r="AJ101" s="38"/>
      <c r="AK101" s="39">
        <f t="shared" si="13"/>
        <v>0.92497692307692314</v>
      </c>
      <c r="AL101" s="40"/>
    </row>
    <row r="102" spans="1:38" ht="12.75" x14ac:dyDescent="0.2">
      <c r="A102" s="25"/>
      <c r="B102" s="41">
        <f t="shared" si="25"/>
        <v>34650</v>
      </c>
      <c r="C102" s="49" t="s">
        <v>116</v>
      </c>
      <c r="D102" s="28">
        <v>45642</v>
      </c>
      <c r="E102" s="27" t="s">
        <v>33</v>
      </c>
      <c r="F102" s="29"/>
      <c r="G102" s="30">
        <f t="shared" si="24"/>
        <v>10917</v>
      </c>
      <c r="H102" s="31">
        <f>CE!C97</f>
        <v>0.95630000000000004</v>
      </c>
      <c r="I102" s="32">
        <f>CE!G97</f>
        <v>526</v>
      </c>
      <c r="J102" s="33">
        <f>GE!C97</f>
        <v>0.93589999999999995</v>
      </c>
      <c r="K102" s="32">
        <f>GE!G97</f>
        <v>608</v>
      </c>
      <c r="L102" s="33">
        <f>ME!C97</f>
        <v>0.92630000000000001</v>
      </c>
      <c r="M102" s="32">
        <f>ME!G97</f>
        <v>638</v>
      </c>
      <c r="N102" s="33">
        <f>SAMPLE!C97</f>
        <v>0.92523</v>
      </c>
      <c r="O102" s="32">
        <f>SAMPLE!G97</f>
        <v>602</v>
      </c>
      <c r="P102" s="33">
        <f>'Sheldon Elementary'!C97</f>
        <v>0.95440000000000003</v>
      </c>
      <c r="Q102" s="32">
        <f>'Sheldon Elementary'!D97</f>
        <v>592</v>
      </c>
      <c r="R102" s="33">
        <f>SLE!C97</f>
        <v>0.92820000000000003</v>
      </c>
      <c r="S102" s="32">
        <f>SLE!G97</f>
        <v>627</v>
      </c>
      <c r="T102" s="33">
        <f>CECA!C97</f>
        <v>0.89070000000000005</v>
      </c>
      <c r="U102" s="32">
        <f>CECA!G97</f>
        <v>567</v>
      </c>
      <c r="V102" s="53">
        <f>SECA!C97</f>
        <v>0.87960000000000005</v>
      </c>
      <c r="W102" s="32">
        <f>SECA!G97</f>
        <v>563</v>
      </c>
      <c r="X102" s="33">
        <f>KHS!C97</f>
        <v>0.92169999999999996</v>
      </c>
      <c r="Y102" s="34">
        <f>KHS!G97</f>
        <v>2632</v>
      </c>
      <c r="Z102" s="33">
        <f>'9TH CAMP'!C97</f>
        <v>0.93559999999999999</v>
      </c>
      <c r="AA102" s="34">
        <f>'9TH CAMP'!G97</f>
        <v>621</v>
      </c>
      <c r="AB102" s="33">
        <f>ECHS!C97</f>
        <v>0.93830000000000002</v>
      </c>
      <c r="AC102" s="32">
        <f>ECHS!G97</f>
        <v>454</v>
      </c>
      <c r="AD102" s="33">
        <f>KMS!C97</f>
        <v>0.9476</v>
      </c>
      <c r="AE102" s="32">
        <f>KMS!G97</f>
        <v>1356</v>
      </c>
      <c r="AF102" s="33">
        <f>NMS!C97</f>
        <v>0.94169999999999998</v>
      </c>
      <c r="AG102" s="32">
        <f>NMS!G97</f>
        <v>1046</v>
      </c>
      <c r="AH102" s="36">
        <f>Highpoint!C97</f>
        <v>0</v>
      </c>
      <c r="AI102" s="37">
        <f>KASE!D94</f>
        <v>85</v>
      </c>
      <c r="AJ102" s="38"/>
      <c r="AK102" s="39">
        <f t="shared" si="13"/>
        <v>0.92934846153846162</v>
      </c>
      <c r="AL102" s="40"/>
    </row>
    <row r="103" spans="1:38" ht="12.75" x14ac:dyDescent="0.2">
      <c r="A103" s="25"/>
      <c r="B103" s="41">
        <f t="shared" si="25"/>
        <v>35100</v>
      </c>
      <c r="C103" s="49" t="s">
        <v>117</v>
      </c>
      <c r="D103" s="28">
        <v>45643</v>
      </c>
      <c r="E103" s="27" t="s">
        <v>35</v>
      </c>
      <c r="F103" s="29"/>
      <c r="G103" s="30">
        <f t="shared" si="24"/>
        <v>10917</v>
      </c>
      <c r="H103" s="31">
        <f>CE!C98</f>
        <v>0.95250000000000001</v>
      </c>
      <c r="I103" s="32">
        <f>CE!G98</f>
        <v>526</v>
      </c>
      <c r="J103" s="33">
        <f>GE!C98</f>
        <v>0.96220000000000006</v>
      </c>
      <c r="K103" s="32">
        <f>GE!G98</f>
        <v>608</v>
      </c>
      <c r="L103" s="33">
        <f>ME!C98</f>
        <v>0.94989999999999997</v>
      </c>
      <c r="M103" s="32">
        <f>ME!G98</f>
        <v>639</v>
      </c>
      <c r="N103" s="33">
        <f>SAMPLE!C98</f>
        <v>0.95350000000000001</v>
      </c>
      <c r="O103" s="32">
        <f>SAMPLE!G98</f>
        <v>602</v>
      </c>
      <c r="P103" s="33">
        <f>'Sheldon Elementary'!C98</f>
        <v>0.95779999999999998</v>
      </c>
      <c r="Q103" s="32">
        <f>'Sheldon Elementary'!D98</f>
        <v>592</v>
      </c>
      <c r="R103" s="33">
        <f>SLE!C98</f>
        <v>0.98560000000000003</v>
      </c>
      <c r="S103" s="32">
        <f>SLE!G98</f>
        <v>626</v>
      </c>
      <c r="T103" s="33">
        <f>CECA!C98</f>
        <v>0.91080000000000005</v>
      </c>
      <c r="U103" s="32">
        <f>CECA!G98</f>
        <v>567</v>
      </c>
      <c r="V103" s="33">
        <f>SECA!C98</f>
        <v>0.91</v>
      </c>
      <c r="W103" s="32">
        <f>SECA!G98</f>
        <v>563</v>
      </c>
      <c r="X103" s="33">
        <f>KHS!C98</f>
        <v>0.96730000000000005</v>
      </c>
      <c r="Y103" s="34">
        <f>KHS!G98</f>
        <v>2630</v>
      </c>
      <c r="Z103" s="33">
        <f>'9TH CAMP'!C98</f>
        <v>0.95009999999999994</v>
      </c>
      <c r="AA103" s="34">
        <f>'9TH CAMP'!G98</f>
        <v>621</v>
      </c>
      <c r="AB103" s="33">
        <f>ECHS!C98</f>
        <v>0.96040000000000003</v>
      </c>
      <c r="AC103" s="32">
        <f>ECHS!G98</f>
        <v>454</v>
      </c>
      <c r="AD103" s="33">
        <f>KMS!C98</f>
        <v>0.95950000000000002</v>
      </c>
      <c r="AE103" s="32">
        <f>KMS!G98</f>
        <v>1359</v>
      </c>
      <c r="AF103" s="33">
        <f>NMS!C98</f>
        <v>0.95509999999999995</v>
      </c>
      <c r="AG103" s="32">
        <f>NMS!G98</f>
        <v>1046</v>
      </c>
      <c r="AH103" s="36">
        <f>Highpoint!C98</f>
        <v>0</v>
      </c>
      <c r="AI103" s="37">
        <f>KASE!D95</f>
        <v>84</v>
      </c>
      <c r="AJ103" s="38"/>
      <c r="AK103" s="39">
        <f t="shared" si="13"/>
        <v>0.95190000000000008</v>
      </c>
      <c r="AL103" s="40"/>
    </row>
    <row r="104" spans="1:38" ht="12.75" x14ac:dyDescent="0.2">
      <c r="A104" s="25"/>
      <c r="B104" s="41">
        <f t="shared" si="25"/>
        <v>35550</v>
      </c>
      <c r="C104" s="49" t="s">
        <v>118</v>
      </c>
      <c r="D104" s="28">
        <v>45644</v>
      </c>
      <c r="E104" s="27" t="s">
        <v>37</v>
      </c>
      <c r="F104" s="29"/>
      <c r="G104" s="30">
        <f t="shared" si="24"/>
        <v>10919</v>
      </c>
      <c r="H104" s="31">
        <f>CE!C99</f>
        <v>0.97350000000000003</v>
      </c>
      <c r="I104" s="32">
        <f>CE!G99</f>
        <v>529</v>
      </c>
      <c r="J104" s="33">
        <f>GE!C99</f>
        <v>0.96220000000000006</v>
      </c>
      <c r="K104" s="32">
        <f>GE!G99</f>
        <v>608</v>
      </c>
      <c r="L104" s="33">
        <f>ME!C99</f>
        <v>0.9577</v>
      </c>
      <c r="M104" s="32">
        <f>ME!G99</f>
        <v>638</v>
      </c>
      <c r="N104" s="33">
        <f>SAMPLE!C99</f>
        <v>0.95509999999999995</v>
      </c>
      <c r="O104" s="32">
        <f>SAMPLE!G99</f>
        <v>602</v>
      </c>
      <c r="P104" s="33">
        <f>'Sheldon Elementary'!C99</f>
        <v>0.95950000000000002</v>
      </c>
      <c r="Q104" s="32">
        <f>'Sheldon Elementary'!D99</f>
        <v>592</v>
      </c>
      <c r="R104" s="33">
        <f>SLE!C99</f>
        <v>0.96330000000000005</v>
      </c>
      <c r="S104" s="32">
        <f>SLE!G99</f>
        <v>626</v>
      </c>
      <c r="T104" s="33">
        <f>CECA!C99</f>
        <v>0.91520000000000001</v>
      </c>
      <c r="U104" s="32">
        <f>CECA!G99</f>
        <v>566</v>
      </c>
      <c r="V104" s="33">
        <f>SECA!C99</f>
        <v>0.93720000000000003</v>
      </c>
      <c r="W104" s="32">
        <f>SECA!G99</f>
        <v>564</v>
      </c>
      <c r="X104" s="33">
        <f>KHS!C99</f>
        <v>0.95860000000000001</v>
      </c>
      <c r="Y104" s="34">
        <f>KHS!G99</f>
        <v>2630</v>
      </c>
      <c r="Z104" s="33">
        <f>'9TH CAMP'!C99</f>
        <v>0.95350000000000001</v>
      </c>
      <c r="AA104" s="34">
        <f>'9TH CAMP'!G99</f>
        <v>623</v>
      </c>
      <c r="AB104" s="33">
        <f>ECHS!C99</f>
        <v>0.96260000000000001</v>
      </c>
      <c r="AC104" s="32">
        <f>ECHS!G99</f>
        <v>454</v>
      </c>
      <c r="AD104" s="33">
        <f>KMS!C99</f>
        <v>0.9536</v>
      </c>
      <c r="AE104" s="32">
        <f>KMS!G99</f>
        <v>1358</v>
      </c>
      <c r="AF104" s="33">
        <f>NMS!C99</f>
        <v>0.95599999999999996</v>
      </c>
      <c r="AG104" s="32">
        <f>NMS!G99</f>
        <v>1046</v>
      </c>
      <c r="AH104" s="36">
        <f>Highpoint!C99</f>
        <v>0</v>
      </c>
      <c r="AI104" s="37">
        <f>KASE!D96</f>
        <v>83</v>
      </c>
      <c r="AJ104" s="38"/>
      <c r="AK104" s="39">
        <f t="shared" si="13"/>
        <v>0.95446153846153847</v>
      </c>
      <c r="AL104" s="40"/>
    </row>
    <row r="105" spans="1:38" ht="12.75" x14ac:dyDescent="0.2">
      <c r="A105" s="25"/>
      <c r="B105" s="41">
        <f t="shared" si="25"/>
        <v>36000</v>
      </c>
      <c r="C105" s="49" t="s">
        <v>119</v>
      </c>
      <c r="D105" s="28">
        <v>45645</v>
      </c>
      <c r="E105" s="27" t="s">
        <v>39</v>
      </c>
      <c r="F105" s="29"/>
      <c r="G105" s="30">
        <f t="shared" si="24"/>
        <v>10918</v>
      </c>
      <c r="H105" s="31">
        <f>CE!C100</f>
        <v>0.96220000000000006</v>
      </c>
      <c r="I105" s="32">
        <f>CE!G100</f>
        <v>529</v>
      </c>
      <c r="J105" s="33">
        <f>GE!C100</f>
        <v>0.92930000000000001</v>
      </c>
      <c r="K105" s="32">
        <f>GE!G100</f>
        <v>608</v>
      </c>
      <c r="L105" s="33">
        <f>ME!C100</f>
        <v>0.95140000000000002</v>
      </c>
      <c r="M105" s="32">
        <f>ME!G100</f>
        <v>638</v>
      </c>
      <c r="N105" s="33">
        <f>SAMPLE!C100</f>
        <v>0.94679999999999997</v>
      </c>
      <c r="O105" s="32">
        <f>SAMPLE!G100</f>
        <v>602</v>
      </c>
      <c r="P105" s="33">
        <f>'Sheldon Elementary'!C100</f>
        <v>0.96450000000000002</v>
      </c>
      <c r="Q105" s="32">
        <f>'Sheldon Elementary'!D100</f>
        <v>591</v>
      </c>
      <c r="R105" s="33">
        <f>SLE!C100</f>
        <v>0.93140000000000001</v>
      </c>
      <c r="S105" s="32">
        <f>SLE!G100</f>
        <v>627</v>
      </c>
      <c r="T105" s="33">
        <f>CECA!C100</f>
        <v>0.93640000000000001</v>
      </c>
      <c r="U105" s="32">
        <f>CECA!G100</f>
        <v>566</v>
      </c>
      <c r="V105" s="33">
        <f>SECA!C100</f>
        <v>0.95020000000000004</v>
      </c>
      <c r="W105" s="32">
        <f>SECA!G100</f>
        <v>564</v>
      </c>
      <c r="X105" s="33">
        <f>KHS!C100</f>
        <v>0.95709999999999995</v>
      </c>
      <c r="Y105" s="34">
        <f>KHS!G100</f>
        <v>2631</v>
      </c>
      <c r="Z105" s="33">
        <f>'9TH CAMP'!C100</f>
        <v>0.95499999999999996</v>
      </c>
      <c r="AA105" s="34">
        <f>'9TH CAMP'!G100</f>
        <v>622</v>
      </c>
      <c r="AB105" s="33">
        <f>ECHS!C100</f>
        <v>0.97360000000000002</v>
      </c>
      <c r="AC105" s="32">
        <f>ECHS!G100</f>
        <v>454</v>
      </c>
      <c r="AD105" s="33">
        <f>KMS!C100</f>
        <v>0.94179999999999997</v>
      </c>
      <c r="AE105" s="32">
        <f>KMS!G100</f>
        <v>1358</v>
      </c>
      <c r="AF105" s="33">
        <f>NMS!C100</f>
        <v>0.95220000000000005</v>
      </c>
      <c r="AG105" s="32">
        <f>NMS!G100</f>
        <v>1046</v>
      </c>
      <c r="AH105" s="36">
        <f>Highpoint!C100</f>
        <v>0</v>
      </c>
      <c r="AI105" s="37">
        <f>KASE!D97</f>
        <v>82</v>
      </c>
      <c r="AJ105" s="38"/>
      <c r="AK105" s="39">
        <f t="shared" si="13"/>
        <v>0.95014615384615375</v>
      </c>
      <c r="AL105" s="40"/>
    </row>
    <row r="106" spans="1:38" ht="12.75" x14ac:dyDescent="0.2">
      <c r="A106" s="25"/>
      <c r="B106" s="41">
        <f t="shared" si="25"/>
        <v>36450</v>
      </c>
      <c r="C106" s="49" t="s">
        <v>120</v>
      </c>
      <c r="D106" s="28">
        <v>45646</v>
      </c>
      <c r="E106" s="27" t="s">
        <v>41</v>
      </c>
      <c r="F106" s="29"/>
      <c r="G106" s="30">
        <f t="shared" si="24"/>
        <v>10913</v>
      </c>
      <c r="H106" s="31">
        <f>CE!C101</f>
        <v>0.92249999999999999</v>
      </c>
      <c r="I106" s="32">
        <f>CE!G101</f>
        <v>529</v>
      </c>
      <c r="J106" s="33">
        <f>GE!C101</f>
        <v>0.90629999999999999</v>
      </c>
      <c r="K106" s="32">
        <f>GE!G101</f>
        <v>608</v>
      </c>
      <c r="L106" s="33">
        <f>ME!C101</f>
        <v>0.90600000000000003</v>
      </c>
      <c r="M106" s="32">
        <f>ME!G101</f>
        <v>638</v>
      </c>
      <c r="N106" s="33">
        <f>SAMPLE!C101</f>
        <v>0.89700000000000002</v>
      </c>
      <c r="O106" s="32">
        <f>SAMPLE!G101</f>
        <v>602</v>
      </c>
      <c r="P106" s="33">
        <f>'Sheldon Elementary'!C101</f>
        <v>0.80369999999999997</v>
      </c>
      <c r="Q106" s="32">
        <f>'Sheldon Elementary'!D101</f>
        <v>591</v>
      </c>
      <c r="R106" s="33">
        <f>SLE!C101</f>
        <v>0.9536</v>
      </c>
      <c r="S106" s="32">
        <f>SLE!G101</f>
        <v>625</v>
      </c>
      <c r="T106" s="33">
        <f>CECA!C101</f>
        <v>0.66739999999999999</v>
      </c>
      <c r="U106" s="32">
        <f>CECA!G101</f>
        <v>566</v>
      </c>
      <c r="V106" s="33">
        <f>SECA!C101</f>
        <v>0.67320000000000002</v>
      </c>
      <c r="W106" s="32">
        <f>SECA!G101</f>
        <v>564</v>
      </c>
      <c r="X106" s="33">
        <f>KHS!C101</f>
        <v>0.92969999999999997</v>
      </c>
      <c r="Y106" s="34">
        <f>KHS!G101</f>
        <v>2631</v>
      </c>
      <c r="Z106" s="33">
        <f>'9TH CAMP'!C101</f>
        <v>0.92279999999999995</v>
      </c>
      <c r="AA106" s="34">
        <f>'9TH CAMP'!G101</f>
        <v>622</v>
      </c>
      <c r="AB106" s="33">
        <f>ECHS!C101</f>
        <v>0.95369999999999999</v>
      </c>
      <c r="AC106" s="32">
        <f>ECHS!G101</f>
        <v>454</v>
      </c>
      <c r="AD106" s="33">
        <f>KMS!C101</f>
        <v>0.90129999999999999</v>
      </c>
      <c r="AE106" s="32">
        <f>KMS!G101</f>
        <v>1358</v>
      </c>
      <c r="AF106" s="33">
        <f>NMS!C101</f>
        <v>0.86990000000000001</v>
      </c>
      <c r="AG106" s="32">
        <f>NMS!G101</f>
        <v>1045</v>
      </c>
      <c r="AH106" s="36">
        <f>Highpoint!C101</f>
        <v>0</v>
      </c>
      <c r="AI106" s="37">
        <f>KASE!D98</f>
        <v>80</v>
      </c>
      <c r="AJ106" s="38"/>
      <c r="AK106" s="39">
        <f t="shared" si="13"/>
        <v>0.86977692307692311</v>
      </c>
      <c r="AL106" s="40"/>
    </row>
    <row r="107" spans="1:38" ht="12.75" x14ac:dyDescent="0.2">
      <c r="A107" s="205" t="s">
        <v>77</v>
      </c>
      <c r="B107" s="206"/>
      <c r="C107" s="206"/>
      <c r="D107" s="43">
        <v>45649</v>
      </c>
      <c r="E107" s="42" t="s">
        <v>33</v>
      </c>
      <c r="F107" s="44"/>
      <c r="G107" s="44"/>
      <c r="H107" s="54">
        <f>CE!C103</f>
        <v>0</v>
      </c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51">
        <f>Highpoint!C103</f>
        <v>0</v>
      </c>
      <c r="AI107" s="45"/>
      <c r="AJ107" s="45"/>
      <c r="AK107" s="39">
        <f t="shared" si="13"/>
        <v>0</v>
      </c>
      <c r="AL107" s="45"/>
    </row>
    <row r="108" spans="1:38" ht="12.75" x14ac:dyDescent="0.2">
      <c r="A108" s="205" t="s">
        <v>77</v>
      </c>
      <c r="B108" s="206"/>
      <c r="C108" s="206"/>
      <c r="D108" s="43">
        <v>45650</v>
      </c>
      <c r="E108" s="42" t="s">
        <v>35</v>
      </c>
      <c r="F108" s="44"/>
      <c r="G108" s="44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51">
        <f>Highpoint!C104</f>
        <v>0</v>
      </c>
      <c r="AI108" s="45"/>
      <c r="AJ108" s="45"/>
      <c r="AK108" s="40" t="e">
        <f t="shared" si="13"/>
        <v>#DIV/0!</v>
      </c>
      <c r="AL108" s="45"/>
    </row>
    <row r="109" spans="1:38" ht="12.75" x14ac:dyDescent="0.2">
      <c r="A109" s="205" t="s">
        <v>77</v>
      </c>
      <c r="B109" s="206"/>
      <c r="C109" s="206"/>
      <c r="D109" s="43">
        <v>45651</v>
      </c>
      <c r="E109" s="42" t="s">
        <v>37</v>
      </c>
      <c r="F109" s="44"/>
      <c r="G109" s="44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51">
        <f>Highpoint!C105</f>
        <v>0</v>
      </c>
      <c r="AI109" s="45"/>
      <c r="AJ109" s="45"/>
      <c r="AK109" s="40" t="e">
        <f t="shared" si="13"/>
        <v>#DIV/0!</v>
      </c>
      <c r="AL109" s="45"/>
    </row>
    <row r="110" spans="1:38" ht="12.75" x14ac:dyDescent="0.2">
      <c r="A110" s="205" t="s">
        <v>77</v>
      </c>
      <c r="B110" s="206"/>
      <c r="C110" s="206"/>
      <c r="D110" s="43">
        <v>45652</v>
      </c>
      <c r="E110" s="42" t="s">
        <v>39</v>
      </c>
      <c r="F110" s="44"/>
      <c r="G110" s="44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51">
        <f>Highpoint!C106</f>
        <v>0</v>
      </c>
      <c r="AI110" s="45"/>
      <c r="AJ110" s="45"/>
      <c r="AK110" s="40" t="e">
        <f t="shared" si="13"/>
        <v>#DIV/0!</v>
      </c>
      <c r="AL110" s="45"/>
    </row>
    <row r="111" spans="1:38" ht="12.75" x14ac:dyDescent="0.2">
      <c r="A111" s="205" t="s">
        <v>77</v>
      </c>
      <c r="B111" s="206"/>
      <c r="C111" s="206"/>
      <c r="D111" s="43">
        <v>45653</v>
      </c>
      <c r="E111" s="42" t="s">
        <v>41</v>
      </c>
      <c r="F111" s="44"/>
      <c r="G111" s="44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51">
        <f>Highpoint!C107</f>
        <v>0</v>
      </c>
      <c r="AI111" s="45"/>
      <c r="AJ111" s="45"/>
      <c r="AK111" s="40" t="e">
        <f t="shared" si="13"/>
        <v>#DIV/0!</v>
      </c>
      <c r="AL111" s="45"/>
    </row>
    <row r="112" spans="1:38" ht="12.75" x14ac:dyDescent="0.2">
      <c r="A112" s="205" t="s">
        <v>77</v>
      </c>
      <c r="B112" s="206"/>
      <c r="C112" s="206"/>
      <c r="D112" s="43">
        <v>45656</v>
      </c>
      <c r="E112" s="42" t="s">
        <v>33</v>
      </c>
      <c r="F112" s="44"/>
      <c r="G112" s="44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51">
        <f>Highpoint!C108</f>
        <v>0</v>
      </c>
      <c r="AI112" s="45"/>
      <c r="AJ112" s="45"/>
      <c r="AK112" s="40" t="e">
        <f t="shared" si="13"/>
        <v>#DIV/0!</v>
      </c>
      <c r="AL112" s="45"/>
    </row>
    <row r="113" spans="1:38" ht="12.75" x14ac:dyDescent="0.2">
      <c r="A113" s="205" t="s">
        <v>77</v>
      </c>
      <c r="B113" s="206"/>
      <c r="C113" s="206"/>
      <c r="D113" s="43">
        <v>45657</v>
      </c>
      <c r="E113" s="42" t="s">
        <v>35</v>
      </c>
      <c r="F113" s="44"/>
      <c r="G113" s="44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51">
        <f>Highpoint!C109</f>
        <v>0</v>
      </c>
      <c r="AI113" s="45"/>
      <c r="AJ113" s="45"/>
      <c r="AK113" s="40" t="e">
        <f t="shared" si="13"/>
        <v>#DIV/0!</v>
      </c>
      <c r="AL113" s="45"/>
    </row>
    <row r="114" spans="1:38" ht="12.75" x14ac:dyDescent="0.2">
      <c r="A114" s="205" t="s">
        <v>77</v>
      </c>
      <c r="B114" s="206"/>
      <c r="C114" s="206"/>
      <c r="D114" s="43">
        <v>45658</v>
      </c>
      <c r="E114" s="42" t="s">
        <v>37</v>
      </c>
      <c r="F114" s="44"/>
      <c r="G114" s="44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51">
        <f>Highpoint!C110</f>
        <v>0</v>
      </c>
      <c r="AI114" s="45"/>
      <c r="AJ114" s="45"/>
      <c r="AK114" s="40" t="e">
        <f t="shared" si="13"/>
        <v>#DIV/0!</v>
      </c>
      <c r="AL114" s="45"/>
    </row>
    <row r="115" spans="1:38" ht="12.75" x14ac:dyDescent="0.2">
      <c r="A115" s="205" t="s">
        <v>77</v>
      </c>
      <c r="B115" s="206"/>
      <c r="C115" s="206"/>
      <c r="D115" s="43">
        <v>45659</v>
      </c>
      <c r="E115" s="42" t="s">
        <v>39</v>
      </c>
      <c r="F115" s="44"/>
      <c r="G115" s="44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51">
        <f>Highpoint!C111</f>
        <v>0</v>
      </c>
      <c r="AI115" s="45"/>
      <c r="AJ115" s="45"/>
      <c r="AK115" s="40" t="e">
        <f t="shared" si="13"/>
        <v>#DIV/0!</v>
      </c>
      <c r="AL115" s="45"/>
    </row>
    <row r="116" spans="1:38" ht="12.75" x14ac:dyDescent="0.2">
      <c r="A116" s="205" t="s">
        <v>77</v>
      </c>
      <c r="B116" s="206"/>
      <c r="C116" s="206"/>
      <c r="D116" s="43">
        <v>45660</v>
      </c>
      <c r="E116" s="42" t="s">
        <v>41</v>
      </c>
      <c r="F116" s="44"/>
      <c r="G116" s="44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51">
        <f>Highpoint!C112</f>
        <v>0</v>
      </c>
      <c r="AI116" s="45"/>
      <c r="AJ116" s="45"/>
      <c r="AK116" s="40" t="e">
        <f t="shared" si="13"/>
        <v>#DIV/0!</v>
      </c>
      <c r="AL116" s="45"/>
    </row>
    <row r="117" spans="1:38" ht="12.75" x14ac:dyDescent="0.2">
      <c r="A117" s="207" t="s">
        <v>62</v>
      </c>
      <c r="B117" s="206"/>
      <c r="C117" s="206"/>
      <c r="D117" s="46">
        <v>45663</v>
      </c>
      <c r="E117" s="26" t="s">
        <v>33</v>
      </c>
      <c r="F117" s="29"/>
      <c r="G117" s="29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38">
        <f>Highpoint!C114</f>
        <v>0</v>
      </c>
      <c r="AI117" s="48"/>
      <c r="AJ117" s="48"/>
      <c r="AK117" s="40" t="e">
        <f t="shared" si="13"/>
        <v>#DIV/0!</v>
      </c>
      <c r="AL117" s="48"/>
    </row>
    <row r="118" spans="1:38" ht="12.75" x14ac:dyDescent="0.2">
      <c r="A118" s="207" t="s">
        <v>62</v>
      </c>
      <c r="B118" s="206"/>
      <c r="C118" s="206"/>
      <c r="D118" s="46">
        <v>45664</v>
      </c>
      <c r="E118" s="26" t="s">
        <v>35</v>
      </c>
      <c r="F118" s="29"/>
      <c r="G118" s="29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38">
        <f>Highpoint!C115</f>
        <v>0</v>
      </c>
      <c r="AI118" s="48"/>
      <c r="AJ118" s="48"/>
      <c r="AK118" s="40" t="e">
        <f t="shared" si="13"/>
        <v>#DIV/0!</v>
      </c>
      <c r="AL118" s="48"/>
    </row>
    <row r="119" spans="1:38" ht="12.75" x14ac:dyDescent="0.2">
      <c r="A119" s="25"/>
      <c r="B119" s="41">
        <f>B106+450</f>
        <v>36900</v>
      </c>
      <c r="C119" s="49" t="s">
        <v>121</v>
      </c>
      <c r="D119" s="28">
        <v>45665</v>
      </c>
      <c r="E119" s="27" t="s">
        <v>37</v>
      </c>
      <c r="F119" s="29"/>
      <c r="G119" s="30">
        <f t="shared" ref="G119:G126" si="26">I119+K119+M119+O119+Q119+S119+U119+W119+Y119+AA119+AC119+AE119+AG119+AI119+AH119</f>
        <v>10880</v>
      </c>
      <c r="H119" s="31">
        <f>CE!C114</f>
        <v>0.91890000000000005</v>
      </c>
      <c r="I119" s="32">
        <f>CE!G114</f>
        <v>530</v>
      </c>
      <c r="J119" s="33">
        <f>GE!C114</f>
        <v>0.89900000000000002</v>
      </c>
      <c r="K119" s="32">
        <f>GE!G114</f>
        <v>604</v>
      </c>
      <c r="L119" s="33">
        <f>ME!C114</f>
        <v>0.93520000000000003</v>
      </c>
      <c r="M119" s="32">
        <f>ME!G114</f>
        <v>633</v>
      </c>
      <c r="N119" s="33">
        <f>SAMPLE!C114</f>
        <v>0.92649999999999999</v>
      </c>
      <c r="O119" s="32">
        <f>SAMPLE!G114</f>
        <v>599</v>
      </c>
      <c r="P119" s="33">
        <f>'Sheldon Elementary'!C114</f>
        <v>0.92369999999999997</v>
      </c>
      <c r="Q119" s="32">
        <f>'Sheldon Elementary'!D114</f>
        <v>591</v>
      </c>
      <c r="R119" s="33">
        <f>SLE!C114</f>
        <v>0.91510000000000002</v>
      </c>
      <c r="S119" s="32">
        <f>SLE!G114</f>
        <v>624</v>
      </c>
      <c r="T119" s="33">
        <f>CECA!C114</f>
        <v>0.90749999999999997</v>
      </c>
      <c r="U119" s="32">
        <f>CECA!G114</f>
        <v>567</v>
      </c>
      <c r="V119" s="33">
        <f>SECA!C114</f>
        <v>0.89800000000000002</v>
      </c>
      <c r="W119" s="32">
        <f>SECA!G114</f>
        <v>561</v>
      </c>
      <c r="X119" s="33">
        <f>KHS!C114</f>
        <v>0.91700000000000004</v>
      </c>
      <c r="Y119" s="34">
        <f>KHS!G114</f>
        <v>2610</v>
      </c>
      <c r="Z119" s="33">
        <f>'9TH CAMP'!C114</f>
        <v>0.93410000000000004</v>
      </c>
      <c r="AA119" s="34">
        <f>'9TH CAMP'!G114</f>
        <v>622</v>
      </c>
      <c r="AB119" s="33">
        <f>ECHS!C114</f>
        <v>0.94269999999999998</v>
      </c>
      <c r="AC119" s="32">
        <f>ECHS!G114</f>
        <v>454</v>
      </c>
      <c r="AD119" s="33">
        <f>KMS!C114</f>
        <v>0.94689999999999996</v>
      </c>
      <c r="AE119" s="32">
        <f>KMS!G114</f>
        <v>1355</v>
      </c>
      <c r="AF119" s="33">
        <f>NMS!C114</f>
        <v>0.93230000000000002</v>
      </c>
      <c r="AG119" s="32">
        <f>NMS!G114</f>
        <v>1045</v>
      </c>
      <c r="AH119" s="36">
        <f>Highpoint!C114</f>
        <v>0</v>
      </c>
      <c r="AI119" s="37">
        <f>KASE!D111</f>
        <v>85</v>
      </c>
      <c r="AJ119" s="38"/>
      <c r="AK119" s="39">
        <f t="shared" si="13"/>
        <v>0.9228384615384615</v>
      </c>
      <c r="AL119" s="40"/>
    </row>
    <row r="120" spans="1:38" ht="12.75" x14ac:dyDescent="0.2">
      <c r="A120" s="25"/>
      <c r="B120" s="41">
        <f t="shared" ref="B120:B126" si="27">B119+450</f>
        <v>37350</v>
      </c>
      <c r="C120" s="49" t="s">
        <v>122</v>
      </c>
      <c r="D120" s="28">
        <v>45666</v>
      </c>
      <c r="E120" s="27" t="s">
        <v>39</v>
      </c>
      <c r="F120" s="29"/>
      <c r="G120" s="30">
        <f t="shared" si="26"/>
        <v>10878</v>
      </c>
      <c r="H120" s="31">
        <f>CE!C115</f>
        <v>0.92059999999999997</v>
      </c>
      <c r="I120" s="32">
        <f>CE!G115</f>
        <v>529</v>
      </c>
      <c r="J120" s="33">
        <f>GE!C115</f>
        <v>0.89600000000000002</v>
      </c>
      <c r="K120" s="32">
        <f>GE!G115</f>
        <v>606</v>
      </c>
      <c r="L120" s="33">
        <f>ME!C115</f>
        <v>0.89700000000000002</v>
      </c>
      <c r="M120" s="32">
        <f>ME!G115</f>
        <v>631</v>
      </c>
      <c r="N120" s="33">
        <f>SAMPLE!C115</f>
        <v>0.89829999999999999</v>
      </c>
      <c r="O120" s="32">
        <f>SAMPLE!G115</f>
        <v>600</v>
      </c>
      <c r="P120" s="33">
        <f>'Sheldon Elementary'!C115</f>
        <v>0.91820000000000002</v>
      </c>
      <c r="Q120" s="32">
        <f>'Sheldon Elementary'!D115</f>
        <v>587</v>
      </c>
      <c r="R120" s="33">
        <f>SLE!C115</f>
        <v>0.92310000000000003</v>
      </c>
      <c r="S120" s="32">
        <f>SLE!G115</f>
        <v>624</v>
      </c>
      <c r="T120" s="33">
        <f>CECA!C115</f>
        <v>0.89880000000000004</v>
      </c>
      <c r="U120" s="32">
        <f>CECA!G115</f>
        <v>568</v>
      </c>
      <c r="V120" s="33">
        <f>SECA!C115</f>
        <v>0.91339999999999999</v>
      </c>
      <c r="W120" s="32">
        <f>SECA!G115</f>
        <v>559</v>
      </c>
      <c r="X120" s="33">
        <f>KHS!C115</f>
        <v>0.90080000000000005</v>
      </c>
      <c r="Y120" s="34">
        <f>KHS!G115</f>
        <v>2610</v>
      </c>
      <c r="Z120" s="33">
        <f>'9TH CAMP'!C115</f>
        <v>0.92779999999999996</v>
      </c>
      <c r="AA120" s="34">
        <f>'9TH CAMP'!G115</f>
        <v>623</v>
      </c>
      <c r="AB120" s="33">
        <f>ECHS!C115</f>
        <v>0.97130000000000005</v>
      </c>
      <c r="AC120" s="32">
        <f>ECHS!G115</f>
        <v>453</v>
      </c>
      <c r="AD120" s="33">
        <f>KMS!C115</f>
        <v>0.93510000000000004</v>
      </c>
      <c r="AE120" s="32">
        <f>KMS!G115</f>
        <v>1357</v>
      </c>
      <c r="AF120" s="33">
        <f>NMS!C115</f>
        <v>0.90620000000000001</v>
      </c>
      <c r="AG120" s="32">
        <f>NMS!G115</f>
        <v>1046</v>
      </c>
      <c r="AH120" s="36">
        <f>Highpoint!C115</f>
        <v>0</v>
      </c>
      <c r="AI120" s="37">
        <f>KASE!D112</f>
        <v>85</v>
      </c>
      <c r="AJ120" s="38"/>
      <c r="AK120" s="39">
        <f t="shared" si="13"/>
        <v>0.91589230769230767</v>
      </c>
      <c r="AL120" s="40"/>
    </row>
    <row r="121" spans="1:38" ht="12.75" x14ac:dyDescent="0.2">
      <c r="A121" s="25"/>
      <c r="B121" s="41">
        <f t="shared" si="27"/>
        <v>37800</v>
      </c>
      <c r="C121" s="49" t="s">
        <v>123</v>
      </c>
      <c r="D121" s="28">
        <v>45667</v>
      </c>
      <c r="E121" s="27" t="s">
        <v>41</v>
      </c>
      <c r="F121" s="29"/>
      <c r="G121" s="30">
        <f t="shared" si="26"/>
        <v>8287.09</v>
      </c>
      <c r="H121" s="31">
        <f>CE!C116</f>
        <v>0.90739999999999998</v>
      </c>
      <c r="I121" s="32">
        <f>CE!G116</f>
        <v>529</v>
      </c>
      <c r="J121" s="33">
        <f>GE!C116</f>
        <v>0.86370000000000002</v>
      </c>
      <c r="K121" s="32">
        <f>GE!G116</f>
        <v>609</v>
      </c>
      <c r="L121" s="33">
        <f>ME!C116</f>
        <v>0.88429999999999997</v>
      </c>
      <c r="M121" s="32">
        <f>ME!G116</f>
        <v>631</v>
      </c>
      <c r="N121" s="33">
        <f>SAMPLE!C116</f>
        <v>0.90500000000000003</v>
      </c>
      <c r="O121" s="32">
        <f>SAMPLE!G116</f>
        <v>600</v>
      </c>
      <c r="P121" s="33">
        <f>'Sheldon Elementary'!C116</f>
        <v>0.91139999999999999</v>
      </c>
      <c r="Q121" s="32">
        <f>'Sheldon Elementary'!D116</f>
        <v>587</v>
      </c>
      <c r="R121" s="33">
        <f>SLE!C116</f>
        <v>0.90059999999999996</v>
      </c>
      <c r="S121" s="32">
        <f>SLE!G116</f>
        <v>624</v>
      </c>
      <c r="T121" s="33">
        <f>CECA!C116</f>
        <v>0.88429999999999997</v>
      </c>
      <c r="U121" s="32">
        <f>CECA!G116</f>
        <v>568</v>
      </c>
      <c r="V121" s="33">
        <f>SECA!C116</f>
        <v>0.88460000000000005</v>
      </c>
      <c r="W121" s="32">
        <f>SECA!G116</f>
        <v>559</v>
      </c>
      <c r="X121" s="33">
        <f>KHS!C116</f>
        <v>0.88500000000000001</v>
      </c>
      <c r="Y121" s="34">
        <f>KHS!G116</f>
        <v>26.09</v>
      </c>
      <c r="Z121" s="33">
        <f>'9TH CAMP'!C116</f>
        <v>0.92269999999999996</v>
      </c>
      <c r="AA121" s="34">
        <f>'9TH CAMP'!G116</f>
        <v>621</v>
      </c>
      <c r="AB121" s="33">
        <f>ECHS!C116</f>
        <v>0.94899999999999995</v>
      </c>
      <c r="AC121" s="32">
        <f>ECHS!G116</f>
        <v>451</v>
      </c>
      <c r="AD121" s="33">
        <f>KMS!C116</f>
        <v>0.93279999999999996</v>
      </c>
      <c r="AE121" s="32">
        <f>KMS!G116</f>
        <v>1354</v>
      </c>
      <c r="AF121" s="33">
        <f>NMS!C116</f>
        <v>0.88970000000000005</v>
      </c>
      <c r="AG121" s="32">
        <f>NMS!G116</f>
        <v>1043</v>
      </c>
      <c r="AH121" s="36">
        <f>Highpoint!C116</f>
        <v>0</v>
      </c>
      <c r="AI121" s="37">
        <f>KASE!D113</f>
        <v>85</v>
      </c>
      <c r="AJ121" s="38"/>
      <c r="AK121" s="39">
        <f t="shared" si="13"/>
        <v>0.90157692307692305</v>
      </c>
      <c r="AL121" s="40"/>
    </row>
    <row r="122" spans="1:38" ht="12.75" x14ac:dyDescent="0.2">
      <c r="A122" s="25"/>
      <c r="B122" s="41">
        <f t="shared" si="27"/>
        <v>38250</v>
      </c>
      <c r="C122" s="49" t="s">
        <v>124</v>
      </c>
      <c r="D122" s="28">
        <v>45670</v>
      </c>
      <c r="E122" s="27" t="s">
        <v>33</v>
      </c>
      <c r="F122" s="29"/>
      <c r="G122" s="30">
        <f t="shared" si="26"/>
        <v>10882</v>
      </c>
      <c r="H122" s="31">
        <f>CE!C117</f>
        <v>0.95089999999999997</v>
      </c>
      <c r="I122" s="32">
        <f>CE!G117</f>
        <v>530</v>
      </c>
      <c r="J122" s="33">
        <f>GE!C117</f>
        <v>0.95240000000000002</v>
      </c>
      <c r="K122" s="32">
        <f>GE!G117</f>
        <v>611</v>
      </c>
      <c r="L122" s="33">
        <f>ME!C117</f>
        <v>0.93659999999999999</v>
      </c>
      <c r="M122" s="32">
        <f>ME!G117</f>
        <v>631</v>
      </c>
      <c r="N122" s="33">
        <f>SAMPLE!C117</f>
        <v>0.95030000000000003</v>
      </c>
      <c r="O122" s="32">
        <f>SAMPLE!G117</f>
        <v>604</v>
      </c>
      <c r="P122" s="33">
        <f>'Sheldon Elementary'!C117</f>
        <v>0.9456</v>
      </c>
      <c r="Q122" s="32">
        <f>'Sheldon Elementary'!D117</f>
        <v>588</v>
      </c>
      <c r="R122" s="33">
        <f>SLE!C117</f>
        <v>0.94099999999999995</v>
      </c>
      <c r="S122" s="32">
        <f>SLE!G117</f>
        <v>626</v>
      </c>
      <c r="T122" s="33">
        <f>CECA!C117</f>
        <v>0.94799999999999995</v>
      </c>
      <c r="U122" s="32">
        <f>CECA!G117</f>
        <v>571</v>
      </c>
      <c r="V122" s="33">
        <f>SECA!C117</f>
        <v>0.92320000000000002</v>
      </c>
      <c r="W122" s="32">
        <f>SECA!G117</f>
        <v>559</v>
      </c>
      <c r="X122" s="33">
        <f>KHS!C117</f>
        <v>0.93049999999999999</v>
      </c>
      <c r="Y122" s="34">
        <f>KHS!G117</f>
        <v>2603</v>
      </c>
      <c r="Z122" s="33">
        <f>'9TH CAMP'!C117</f>
        <v>0.9375</v>
      </c>
      <c r="AA122" s="34">
        <f>'9TH CAMP'!G117</f>
        <v>624</v>
      </c>
      <c r="AB122" s="33">
        <f>ECHS!C117</f>
        <v>0.95789999999999997</v>
      </c>
      <c r="AC122" s="32">
        <f>ECHS!G117</f>
        <v>451</v>
      </c>
      <c r="AD122" s="33">
        <f>KMS!C117</f>
        <v>0.94920000000000004</v>
      </c>
      <c r="AE122" s="32">
        <f>KMS!G117</f>
        <v>1357</v>
      </c>
      <c r="AF122" s="33">
        <f>NMS!C117</f>
        <v>0.94820000000000004</v>
      </c>
      <c r="AG122" s="32">
        <f>NMS!G117</f>
        <v>1042</v>
      </c>
      <c r="AH122" s="36">
        <f>Highpoint!C117</f>
        <v>0</v>
      </c>
      <c r="AI122" s="37">
        <f>KASE!D114</f>
        <v>85</v>
      </c>
      <c r="AJ122" s="38"/>
      <c r="AK122" s="39">
        <f t="shared" si="13"/>
        <v>0.94394615384615388</v>
      </c>
      <c r="AL122" s="40"/>
    </row>
    <row r="123" spans="1:38" ht="12.75" x14ac:dyDescent="0.2">
      <c r="A123" s="25"/>
      <c r="B123" s="41">
        <f t="shared" si="27"/>
        <v>38700</v>
      </c>
      <c r="C123" s="49" t="s">
        <v>125</v>
      </c>
      <c r="D123" s="28">
        <v>45671</v>
      </c>
      <c r="E123" s="27" t="s">
        <v>35</v>
      </c>
      <c r="F123" s="29"/>
      <c r="G123" s="30">
        <f t="shared" si="26"/>
        <v>10893</v>
      </c>
      <c r="H123" s="31">
        <f>CE!C118</f>
        <v>0.97550000000000003</v>
      </c>
      <c r="I123" s="32">
        <f>CE!G118</f>
        <v>530</v>
      </c>
      <c r="J123" s="33">
        <f>GE!C118</f>
        <v>0.9607</v>
      </c>
      <c r="K123" s="32">
        <f>GE!G118</f>
        <v>614</v>
      </c>
      <c r="L123" s="33">
        <f>ME!C118</f>
        <v>0.9556</v>
      </c>
      <c r="M123" s="32">
        <f>ME!G118</f>
        <v>631</v>
      </c>
      <c r="N123" s="33">
        <f>SAMPLE!C118</f>
        <v>0.96309999999999996</v>
      </c>
      <c r="O123" s="32">
        <f>SAMPLE!G118</f>
        <v>606</v>
      </c>
      <c r="P123" s="33">
        <f>'Sheldon Elementary'!C118</f>
        <v>0.94740000000000002</v>
      </c>
      <c r="Q123" s="32">
        <f>'Sheldon Elementary'!D118</f>
        <v>589</v>
      </c>
      <c r="R123" s="33">
        <f>SLE!C118</f>
        <v>0.96650000000000003</v>
      </c>
      <c r="S123" s="32">
        <f>SLE!G118</f>
        <v>626</v>
      </c>
      <c r="T123" s="33">
        <f>CECA!C118</f>
        <v>0.95240000000000002</v>
      </c>
      <c r="U123" s="32">
        <f>CECA!G118</f>
        <v>572</v>
      </c>
      <c r="V123" s="33">
        <f>SECA!C118</f>
        <v>0.93220000000000003</v>
      </c>
      <c r="W123" s="32">
        <f>SECA!G118</f>
        <v>561</v>
      </c>
      <c r="X123" s="33">
        <f>KHS!C118</f>
        <v>0.94010000000000005</v>
      </c>
      <c r="Y123" s="34">
        <f>KHS!G118</f>
        <v>2603</v>
      </c>
      <c r="Z123" s="33">
        <f>'9TH CAMP'!C118</f>
        <v>0.94230000000000003</v>
      </c>
      <c r="AA123" s="34">
        <f>'9TH CAMP'!G118</f>
        <v>624</v>
      </c>
      <c r="AB123" s="33">
        <f>ECHS!C118</f>
        <v>0.96009999999999995</v>
      </c>
      <c r="AC123" s="32">
        <f>ECHS!G118</f>
        <v>451</v>
      </c>
      <c r="AD123" s="33">
        <f>KMS!C118</f>
        <v>0.95140000000000002</v>
      </c>
      <c r="AE123" s="32">
        <f>KMS!G118</f>
        <v>1358</v>
      </c>
      <c r="AF123" s="33">
        <f>NMS!C118</f>
        <v>0.95299999999999996</v>
      </c>
      <c r="AG123" s="32">
        <f>NMS!G118</f>
        <v>1043</v>
      </c>
      <c r="AH123" s="36">
        <f>Highpoint!C118</f>
        <v>0</v>
      </c>
      <c r="AI123" s="37">
        <f>KASE!D115</f>
        <v>85</v>
      </c>
      <c r="AJ123" s="38"/>
      <c r="AK123" s="39">
        <f t="shared" si="13"/>
        <v>0.95386923076923058</v>
      </c>
      <c r="AL123" s="40"/>
    </row>
    <row r="124" spans="1:38" ht="12.75" x14ac:dyDescent="0.2">
      <c r="A124" s="25"/>
      <c r="B124" s="41">
        <f t="shared" si="27"/>
        <v>39150</v>
      </c>
      <c r="C124" s="49" t="s">
        <v>126</v>
      </c>
      <c r="D124" s="28">
        <v>45672</v>
      </c>
      <c r="E124" s="27" t="s">
        <v>37</v>
      </c>
      <c r="F124" s="29"/>
      <c r="G124" s="30">
        <f t="shared" si="26"/>
        <v>10898</v>
      </c>
      <c r="H124" s="31">
        <f>CE!C119</f>
        <v>0.96789999999999998</v>
      </c>
      <c r="I124" s="32">
        <f>CE!G119</f>
        <v>530</v>
      </c>
      <c r="J124" s="33">
        <f>GE!C119</f>
        <v>0.96560000000000001</v>
      </c>
      <c r="K124" s="32">
        <f>GE!G119</f>
        <v>610</v>
      </c>
      <c r="L124" s="33">
        <f>ME!C119</f>
        <v>0.95740000000000003</v>
      </c>
      <c r="M124" s="32">
        <f>ME!G119</f>
        <v>634</v>
      </c>
      <c r="N124" s="33">
        <f>SAMPLE!C119</f>
        <v>0.96040000000000003</v>
      </c>
      <c r="O124" s="32">
        <f>SAMPLE!G119</f>
        <v>606</v>
      </c>
      <c r="P124" s="33">
        <f>'Sheldon Elementary'!C119</f>
        <v>0.95760000000000001</v>
      </c>
      <c r="Q124" s="32">
        <f>'Sheldon Elementary'!D119</f>
        <v>589</v>
      </c>
      <c r="R124" s="33">
        <f>SLE!C119</f>
        <v>0.96009999999999995</v>
      </c>
      <c r="S124" s="32">
        <f>SLE!G119</f>
        <v>626</v>
      </c>
      <c r="T124" s="33">
        <f>CECA!C119</f>
        <v>0.9446</v>
      </c>
      <c r="U124" s="32">
        <f>CECA!G119</f>
        <v>571</v>
      </c>
      <c r="V124" s="33">
        <f>SECA!C119</f>
        <v>0.93110000000000004</v>
      </c>
      <c r="W124" s="32">
        <f>SECA!G119</f>
        <v>561</v>
      </c>
      <c r="X124" s="33">
        <f>KHS!C119</f>
        <v>0.93859999999999999</v>
      </c>
      <c r="Y124" s="34">
        <f>KHS!G119</f>
        <v>2607</v>
      </c>
      <c r="Z124" s="33">
        <f>'9TH CAMP'!C119</f>
        <v>0.95840000000000003</v>
      </c>
      <c r="AA124" s="34">
        <f>'9TH CAMP'!G119</f>
        <v>625</v>
      </c>
      <c r="AB124" s="33">
        <f>ECHS!C119</f>
        <v>0.95789999999999997</v>
      </c>
      <c r="AC124" s="32">
        <f>ECHS!G119</f>
        <v>451</v>
      </c>
      <c r="AD124" s="33">
        <f>KMS!C119</f>
        <v>0.95879999999999999</v>
      </c>
      <c r="AE124" s="32">
        <f>KMS!G119</f>
        <v>1360</v>
      </c>
      <c r="AF124" s="33">
        <f>NMS!C119</f>
        <v>0.95109999999999995</v>
      </c>
      <c r="AG124" s="32">
        <f>NMS!G119</f>
        <v>1044</v>
      </c>
      <c r="AH124" s="36">
        <f>Highpoint!C119</f>
        <v>0</v>
      </c>
      <c r="AI124" s="37">
        <f>KASE!D116</f>
        <v>84</v>
      </c>
      <c r="AJ124" s="38"/>
      <c r="AK124" s="39">
        <f t="shared" si="13"/>
        <v>0.95457692307692299</v>
      </c>
      <c r="AL124" s="40"/>
    </row>
    <row r="125" spans="1:38" ht="12.75" x14ac:dyDescent="0.2">
      <c r="A125" s="25"/>
      <c r="B125" s="41">
        <f t="shared" si="27"/>
        <v>39600</v>
      </c>
      <c r="C125" s="49" t="s">
        <v>127</v>
      </c>
      <c r="D125" s="28">
        <v>45673</v>
      </c>
      <c r="E125" s="27" t="s">
        <v>39</v>
      </c>
      <c r="F125" s="29"/>
      <c r="G125" s="30">
        <f t="shared" si="26"/>
        <v>10890</v>
      </c>
      <c r="H125" s="31">
        <f>CE!C120</f>
        <v>0.96230000000000004</v>
      </c>
      <c r="I125" s="32">
        <f>CE!G120</f>
        <v>530</v>
      </c>
      <c r="J125" s="33">
        <f>GE!C120</f>
        <v>0.95079999999999998</v>
      </c>
      <c r="K125" s="32">
        <f>GE!G120</f>
        <v>610</v>
      </c>
      <c r="L125" s="33">
        <f>ME!C120</f>
        <v>0.95740000000000003</v>
      </c>
      <c r="M125" s="32">
        <f>ME!G120</f>
        <v>634</v>
      </c>
      <c r="N125" s="33">
        <f>SAMPLE!C120</f>
        <v>0.95709999999999995</v>
      </c>
      <c r="O125" s="32">
        <f>SAMPLE!G120</f>
        <v>606</v>
      </c>
      <c r="P125" s="33">
        <f>'Sheldon Elementary'!C120</f>
        <v>0.95420000000000005</v>
      </c>
      <c r="Q125" s="32">
        <f>'Sheldon Elementary'!D120</f>
        <v>589</v>
      </c>
      <c r="R125" s="33">
        <f>SLE!C120</f>
        <v>0.95509999999999995</v>
      </c>
      <c r="S125" s="32">
        <f>SLE!G120</f>
        <v>622</v>
      </c>
      <c r="T125" s="33">
        <f>CECA!C120</f>
        <v>0.93469999999999998</v>
      </c>
      <c r="U125" s="32">
        <f>CECA!G120</f>
        <v>572</v>
      </c>
      <c r="V125" s="33">
        <f>SECA!C120</f>
        <v>0.93540000000000001</v>
      </c>
      <c r="W125" s="32">
        <f>SECA!G120</f>
        <v>560</v>
      </c>
      <c r="X125" s="33">
        <f>KHS!C120</f>
        <v>0.93510000000000004</v>
      </c>
      <c r="Y125" s="34">
        <f>KHS!G120</f>
        <v>2605</v>
      </c>
      <c r="Z125" s="33">
        <f>'9TH CAMP'!C120</f>
        <v>0.9425</v>
      </c>
      <c r="AA125" s="34">
        <f>'9TH CAMP'!G120</f>
        <v>626</v>
      </c>
      <c r="AB125" s="33">
        <f>ECHS!C120</f>
        <v>0.92459999999999998</v>
      </c>
      <c r="AC125" s="32">
        <f>ECHS!G120</f>
        <v>451</v>
      </c>
      <c r="AD125" s="33">
        <f>KMS!C120</f>
        <v>0.95660000000000001</v>
      </c>
      <c r="AE125" s="32">
        <f>KMS!G120</f>
        <v>1358</v>
      </c>
      <c r="AF125" s="33">
        <f>NMS!C120</f>
        <v>0.96260000000000001</v>
      </c>
      <c r="AG125" s="32">
        <f>NMS!G120</f>
        <v>1044</v>
      </c>
      <c r="AH125" s="36">
        <f>Highpoint!C120</f>
        <v>0</v>
      </c>
      <c r="AI125" s="37">
        <f>KASE!D117</f>
        <v>83</v>
      </c>
      <c r="AJ125" s="38"/>
      <c r="AK125" s="39">
        <f t="shared" si="13"/>
        <v>0.94833846153846157</v>
      </c>
      <c r="AL125" s="40"/>
    </row>
    <row r="126" spans="1:38" ht="12.75" x14ac:dyDescent="0.2">
      <c r="A126" s="25"/>
      <c r="B126" s="41">
        <f t="shared" si="27"/>
        <v>40050</v>
      </c>
      <c r="C126" s="49" t="s">
        <v>128</v>
      </c>
      <c r="D126" s="28">
        <v>45674</v>
      </c>
      <c r="E126" s="27" t="s">
        <v>41</v>
      </c>
      <c r="F126" s="29"/>
      <c r="G126" s="30">
        <f t="shared" si="26"/>
        <v>10884</v>
      </c>
      <c r="H126" s="31">
        <f>CE!C121</f>
        <v>0.96789999999999998</v>
      </c>
      <c r="I126" s="32">
        <f>CE!G121</f>
        <v>530</v>
      </c>
      <c r="J126" s="33">
        <f>GE!C121</f>
        <v>0.91800000000000004</v>
      </c>
      <c r="K126" s="32">
        <f>GE!G121</f>
        <v>610</v>
      </c>
      <c r="L126" s="33">
        <f>ME!C121</f>
        <v>0.93520000000000003</v>
      </c>
      <c r="M126" s="32">
        <f>ME!G121</f>
        <v>633</v>
      </c>
      <c r="N126" s="33">
        <f>SAMPLE!C121</f>
        <v>0.94550000000000001</v>
      </c>
      <c r="O126" s="32">
        <f>SAMPLE!G121</f>
        <v>605</v>
      </c>
      <c r="P126" s="33">
        <f>'Sheldon Elementary'!C121</f>
        <v>0.94740000000000002</v>
      </c>
      <c r="Q126" s="32">
        <f>'Sheldon Elementary'!D121</f>
        <v>589</v>
      </c>
      <c r="R126" s="33">
        <f>SLE!C121</f>
        <v>0.92630000000000001</v>
      </c>
      <c r="S126" s="32">
        <f>SLE!G121</f>
        <v>622</v>
      </c>
      <c r="T126" s="33">
        <f>CECA!C121</f>
        <v>0.93020000000000003</v>
      </c>
      <c r="U126" s="32">
        <f>CECA!G121</f>
        <v>571</v>
      </c>
      <c r="V126" s="33">
        <f>SECA!C121</f>
        <v>0.91569999999999996</v>
      </c>
      <c r="W126" s="32">
        <f>SECA!G121</f>
        <v>560</v>
      </c>
      <c r="X126" s="33">
        <f>KHS!C121</f>
        <v>0.9163</v>
      </c>
      <c r="Y126" s="34">
        <f>KHS!G121</f>
        <v>2603</v>
      </c>
      <c r="Z126" s="33">
        <f>'9TH CAMP'!C121</f>
        <v>0.91210000000000002</v>
      </c>
      <c r="AA126" s="34">
        <f>'9TH CAMP'!G121</f>
        <v>626</v>
      </c>
      <c r="AB126" s="33">
        <f>ECHS!C121</f>
        <v>0.95109999999999995</v>
      </c>
      <c r="AC126" s="32">
        <f>ECHS!G121</f>
        <v>450</v>
      </c>
      <c r="AD126" s="33">
        <f>KMS!C121</f>
        <v>0.94699999999999995</v>
      </c>
      <c r="AE126" s="32">
        <f>KMS!G121</f>
        <v>1358</v>
      </c>
      <c r="AF126" s="33">
        <f>NMS!C121</f>
        <v>0.91849999999999998</v>
      </c>
      <c r="AG126" s="32">
        <f>NMS!G121</f>
        <v>1043</v>
      </c>
      <c r="AH126" s="36">
        <f>Highpoint!C121</f>
        <v>0</v>
      </c>
      <c r="AI126" s="37">
        <f>KASE!D118</f>
        <v>84</v>
      </c>
      <c r="AJ126" s="38"/>
      <c r="AK126" s="39">
        <f t="shared" si="13"/>
        <v>0.93316923076923086</v>
      </c>
      <c r="AL126" s="40"/>
    </row>
    <row r="127" spans="1:38" ht="12.75" x14ac:dyDescent="0.2">
      <c r="A127" s="205" t="s">
        <v>52</v>
      </c>
      <c r="B127" s="206"/>
      <c r="C127" s="206"/>
      <c r="D127" s="43">
        <v>45677</v>
      </c>
      <c r="E127" s="42" t="s">
        <v>33</v>
      </c>
      <c r="F127" s="44"/>
      <c r="G127" s="44"/>
      <c r="H127" s="55"/>
      <c r="I127" s="56"/>
      <c r="J127" s="57"/>
      <c r="K127" s="56"/>
      <c r="L127" s="57"/>
      <c r="M127" s="56"/>
      <c r="N127" s="57"/>
      <c r="O127" s="56"/>
      <c r="P127" s="57"/>
      <c r="Q127" s="56"/>
      <c r="R127" s="57"/>
      <c r="S127" s="56"/>
      <c r="T127" s="57"/>
      <c r="U127" s="56"/>
      <c r="V127" s="58"/>
      <c r="W127" s="56"/>
      <c r="X127" s="58"/>
      <c r="Y127" s="59"/>
      <c r="Z127" s="58"/>
      <c r="AA127" s="59"/>
      <c r="AB127" s="58">
        <f>ECHS!C122</f>
        <v>0</v>
      </c>
      <c r="AC127" s="56"/>
      <c r="AD127" s="57"/>
      <c r="AE127" s="56"/>
      <c r="AF127" s="57"/>
      <c r="AG127" s="56"/>
      <c r="AH127" s="51"/>
      <c r="AI127" s="60"/>
      <c r="AJ127" s="45"/>
      <c r="AK127" s="40">
        <f t="shared" si="13"/>
        <v>0</v>
      </c>
      <c r="AL127" s="45"/>
    </row>
    <row r="128" spans="1:38" ht="12.75" x14ac:dyDescent="0.2">
      <c r="A128" s="25"/>
      <c r="B128" s="41">
        <f>B126+450</f>
        <v>40500</v>
      </c>
      <c r="C128" s="49" t="s">
        <v>129</v>
      </c>
      <c r="D128" s="28">
        <v>45678</v>
      </c>
      <c r="E128" s="27" t="s">
        <v>35</v>
      </c>
      <c r="F128" s="29"/>
      <c r="G128" s="30">
        <f t="shared" ref="G128:G141" si="28">I128+K128+M128+O128+Q128+S128+U128+W128+Y128+AA128+AC128+AE128+AG128+AI128+AH128</f>
        <v>706</v>
      </c>
      <c r="H128" s="31">
        <f>CE!C123</f>
        <v>0</v>
      </c>
      <c r="I128" s="32">
        <f>CE!G123</f>
        <v>0</v>
      </c>
      <c r="J128" s="33">
        <f>GE!C123</f>
        <v>0</v>
      </c>
      <c r="K128" s="32">
        <f>GE!G123</f>
        <v>0</v>
      </c>
      <c r="L128" s="33">
        <f>ME!C123</f>
        <v>0</v>
      </c>
      <c r="M128" s="32">
        <f>ME!G123</f>
        <v>0</v>
      </c>
      <c r="N128" s="33">
        <f>SAMPLE!C123</f>
        <v>0</v>
      </c>
      <c r="O128" s="32">
        <f>SAMPLE!G123</f>
        <v>0</v>
      </c>
      <c r="P128" s="33">
        <f>'Sheldon Elementary'!C123</f>
        <v>0</v>
      </c>
      <c r="Q128" s="32">
        <f>'Sheldon Elementary'!D123</f>
        <v>0</v>
      </c>
      <c r="R128" s="33">
        <f>SLE!C123</f>
        <v>0</v>
      </c>
      <c r="S128" s="32">
        <f>SLE!G123</f>
        <v>622</v>
      </c>
      <c r="T128" s="33">
        <f>CECA!C123</f>
        <v>0</v>
      </c>
      <c r="U128" s="32">
        <f>CECA!G123</f>
        <v>0</v>
      </c>
      <c r="V128" s="33">
        <f>SECA!C123</f>
        <v>0</v>
      </c>
      <c r="W128" s="32">
        <f>SECA!G123</f>
        <v>0</v>
      </c>
      <c r="X128" s="33">
        <f>KHS!C123</f>
        <v>0</v>
      </c>
      <c r="Y128" s="34">
        <f>KHS!G123</f>
        <v>0</v>
      </c>
      <c r="Z128" s="33">
        <f>'9TH CAMP'!C123</f>
        <v>0</v>
      </c>
      <c r="AA128" s="34">
        <f>'9TH CAMP'!G123</f>
        <v>0</v>
      </c>
      <c r="AB128" s="61">
        <f>ECHS!C123</f>
        <v>0</v>
      </c>
      <c r="AC128" s="32">
        <f>ECHS!G123</f>
        <v>0</v>
      </c>
      <c r="AD128" s="33">
        <f>KMS!C123</f>
        <v>0</v>
      </c>
      <c r="AE128" s="32">
        <f>KMS!G123</f>
        <v>0</v>
      </c>
      <c r="AF128" s="33">
        <f>NMS!C123</f>
        <v>0</v>
      </c>
      <c r="AG128" s="32">
        <f>NMS!G123</f>
        <v>0</v>
      </c>
      <c r="AH128" s="36">
        <f>Highpoint!C123</f>
        <v>0</v>
      </c>
      <c r="AI128" s="37">
        <f>KASE!D120</f>
        <v>84</v>
      </c>
      <c r="AJ128" s="38"/>
      <c r="AK128" s="39">
        <f t="shared" si="13"/>
        <v>0</v>
      </c>
      <c r="AL128" s="40"/>
    </row>
    <row r="129" spans="1:38" ht="12.75" x14ac:dyDescent="0.2">
      <c r="A129" s="25"/>
      <c r="B129" s="41">
        <f t="shared" ref="B129:B141" si="29">B128+450</f>
        <v>40950</v>
      </c>
      <c r="C129" s="49" t="s">
        <v>130</v>
      </c>
      <c r="D129" s="28">
        <v>45679</v>
      </c>
      <c r="E129" s="27" t="s">
        <v>37</v>
      </c>
      <c r="F129" s="29"/>
      <c r="G129" s="30">
        <f t="shared" si="28"/>
        <v>706</v>
      </c>
      <c r="H129" s="31">
        <f>CE!C124</f>
        <v>0</v>
      </c>
      <c r="I129" s="32">
        <f>CE!G124</f>
        <v>0</v>
      </c>
      <c r="J129" s="33">
        <f>GE!C124</f>
        <v>0</v>
      </c>
      <c r="K129" s="32">
        <f>GE!G124</f>
        <v>0</v>
      </c>
      <c r="L129" s="33">
        <f>ME!C124</f>
        <v>0</v>
      </c>
      <c r="M129" s="32">
        <f>ME!G124</f>
        <v>0</v>
      </c>
      <c r="N129" s="33">
        <f>SAMPLE!C124</f>
        <v>0</v>
      </c>
      <c r="O129" s="32">
        <f>SAMPLE!G124</f>
        <v>0</v>
      </c>
      <c r="P129" s="33">
        <f>'Sheldon Elementary'!C124</f>
        <v>0</v>
      </c>
      <c r="Q129" s="32">
        <f>'Sheldon Elementary'!D124</f>
        <v>0</v>
      </c>
      <c r="R129" s="33">
        <f>SLE!C124</f>
        <v>0</v>
      </c>
      <c r="S129" s="32">
        <f>SLE!G124</f>
        <v>622</v>
      </c>
      <c r="T129" s="33">
        <f>CECA!C124</f>
        <v>0</v>
      </c>
      <c r="U129" s="32">
        <f>CECA!G124</f>
        <v>0</v>
      </c>
      <c r="V129" s="33">
        <f>SECA!C124</f>
        <v>0</v>
      </c>
      <c r="W129" s="32">
        <f>SECA!G124</f>
        <v>0</v>
      </c>
      <c r="X129" s="33">
        <f>KHS!C124</f>
        <v>0</v>
      </c>
      <c r="Y129" s="34">
        <f>KHS!G124</f>
        <v>0</v>
      </c>
      <c r="Z129" s="33">
        <f>'9TH CAMP'!C124</f>
        <v>0</v>
      </c>
      <c r="AA129" s="34">
        <f>'9TH CAMP'!G124</f>
        <v>0</v>
      </c>
      <c r="AB129" s="61">
        <f>ECHS!C124</f>
        <v>0</v>
      </c>
      <c r="AC129" s="32">
        <f>ECHS!G124</f>
        <v>0</v>
      </c>
      <c r="AD129" s="33">
        <f>KMS!C124</f>
        <v>0</v>
      </c>
      <c r="AE129" s="32">
        <f>KMS!G124</f>
        <v>0</v>
      </c>
      <c r="AF129" s="33">
        <f>NMS!C124</f>
        <v>0</v>
      </c>
      <c r="AG129" s="32">
        <f>NMS!G124</f>
        <v>0</v>
      </c>
      <c r="AH129" s="36">
        <f>Highpoint!C124</f>
        <v>0</v>
      </c>
      <c r="AI129" s="37">
        <f>KASE!D121</f>
        <v>84</v>
      </c>
      <c r="AJ129" s="38"/>
      <c r="AK129" s="39">
        <f t="shared" si="13"/>
        <v>0</v>
      </c>
      <c r="AL129" s="40"/>
    </row>
    <row r="130" spans="1:38" ht="12.75" x14ac:dyDescent="0.2">
      <c r="A130" s="25"/>
      <c r="B130" s="41">
        <f t="shared" si="29"/>
        <v>41400</v>
      </c>
      <c r="C130" s="49" t="s">
        <v>131</v>
      </c>
      <c r="D130" s="28">
        <v>45680</v>
      </c>
      <c r="E130" s="27" t="s">
        <v>39</v>
      </c>
      <c r="F130" s="29"/>
      <c r="G130" s="30">
        <f t="shared" si="28"/>
        <v>10887</v>
      </c>
      <c r="H130" s="31">
        <f>CE!C125</f>
        <v>0.83799999999999997</v>
      </c>
      <c r="I130" s="32">
        <f>CE!G125</f>
        <v>531</v>
      </c>
      <c r="J130" s="33">
        <f>GE!C125</f>
        <v>0.85709999999999997</v>
      </c>
      <c r="K130" s="32">
        <f>GE!G125</f>
        <v>609</v>
      </c>
      <c r="L130" s="33">
        <f>ME!C125</f>
        <v>0.8357</v>
      </c>
      <c r="M130" s="32">
        <f>ME!G125</f>
        <v>633</v>
      </c>
      <c r="N130" s="33">
        <f>SAMPLE!C125</f>
        <v>0.8155</v>
      </c>
      <c r="O130" s="32">
        <f>SAMPLE!G125</f>
        <v>607</v>
      </c>
      <c r="P130" s="33">
        <f>'Sheldon Elementary'!C125</f>
        <v>0.81830000000000003</v>
      </c>
      <c r="Q130" s="32">
        <f>'Sheldon Elementary'!D125</f>
        <v>589</v>
      </c>
      <c r="R130" s="33">
        <f>SLE!C125</f>
        <v>0.82210000000000005</v>
      </c>
      <c r="S130" s="32">
        <f>SLE!G125</f>
        <v>622</v>
      </c>
      <c r="T130" s="33">
        <f>CECA!C125</f>
        <v>0.81540000000000001</v>
      </c>
      <c r="U130" s="32">
        <f>CECA!G125</f>
        <v>571</v>
      </c>
      <c r="V130" s="33">
        <f>SECA!C125</f>
        <v>0.76339999999999997</v>
      </c>
      <c r="W130" s="32">
        <f>SECA!G125</f>
        <v>560</v>
      </c>
      <c r="X130" s="33">
        <f>KHS!C125</f>
        <v>0.86509999999999998</v>
      </c>
      <c r="Y130" s="34">
        <f>KHS!G125</f>
        <v>2601</v>
      </c>
      <c r="Z130" s="33">
        <f>'9TH CAMP'!C125</f>
        <v>0.82399999999999995</v>
      </c>
      <c r="AA130" s="34">
        <f>'9TH CAMP'!G125</f>
        <v>625</v>
      </c>
      <c r="AB130" s="33">
        <f>ECHS!C125</f>
        <v>0.91110000000000002</v>
      </c>
      <c r="AC130" s="32">
        <f>ECHS!G125</f>
        <v>450</v>
      </c>
      <c r="AD130" s="33">
        <f>KMS!C125</f>
        <v>0.86819999999999997</v>
      </c>
      <c r="AE130" s="32">
        <f>KMS!G125</f>
        <v>1358</v>
      </c>
      <c r="AF130" s="33">
        <f>NMS!C125</f>
        <v>0.8861</v>
      </c>
      <c r="AG130" s="32">
        <f>NMS!G125</f>
        <v>1045</v>
      </c>
      <c r="AH130" s="36">
        <f>Highpoint!C125</f>
        <v>0</v>
      </c>
      <c r="AI130" s="37">
        <f>KASE!D122</f>
        <v>86</v>
      </c>
      <c r="AJ130" s="38"/>
      <c r="AK130" s="39">
        <f t="shared" si="13"/>
        <v>0.84</v>
      </c>
      <c r="AL130" s="40"/>
    </row>
    <row r="131" spans="1:38" ht="12.75" x14ac:dyDescent="0.2">
      <c r="A131" s="25"/>
      <c r="B131" s="41">
        <f t="shared" si="29"/>
        <v>41850</v>
      </c>
      <c r="C131" s="49" t="s">
        <v>132</v>
      </c>
      <c r="D131" s="28">
        <v>45681</v>
      </c>
      <c r="E131" s="27" t="s">
        <v>41</v>
      </c>
      <c r="F131" s="29"/>
      <c r="G131" s="30">
        <f t="shared" si="28"/>
        <v>10889</v>
      </c>
      <c r="H131" s="31">
        <f>CE!C126</f>
        <v>0.91710000000000003</v>
      </c>
      <c r="I131" s="32">
        <f>CE!G126</f>
        <v>531</v>
      </c>
      <c r="J131" s="33">
        <f>GE!C126</f>
        <v>0.90800000000000003</v>
      </c>
      <c r="K131" s="32">
        <f>GE!G126</f>
        <v>609</v>
      </c>
      <c r="L131" s="33">
        <f>ME!C126</f>
        <v>0.89419999999999999</v>
      </c>
      <c r="M131" s="32">
        <f>ME!G126</f>
        <v>633</v>
      </c>
      <c r="N131" s="33">
        <f>SAMPLE!C126</f>
        <v>0.90280000000000005</v>
      </c>
      <c r="O131" s="32">
        <f>SAMPLE!G126</f>
        <v>607</v>
      </c>
      <c r="P131" s="33">
        <f>'Sheldon Elementary'!C126</f>
        <v>0.89129999999999998</v>
      </c>
      <c r="Q131" s="32">
        <f>'Sheldon Elementary'!D126</f>
        <v>589</v>
      </c>
      <c r="R131" s="33">
        <f>SLE!C126</f>
        <v>0.91990000000000005</v>
      </c>
      <c r="S131" s="32">
        <f>SLE!G126</f>
        <v>622</v>
      </c>
      <c r="T131" s="33">
        <f>CECA!C126</f>
        <v>0.89470000000000005</v>
      </c>
      <c r="U131" s="32">
        <f>CECA!G126</f>
        <v>571</v>
      </c>
      <c r="V131" s="33">
        <f>SECA!C126</f>
        <v>0.86970000000000003</v>
      </c>
      <c r="W131" s="32">
        <f>SECA!G126</f>
        <v>560</v>
      </c>
      <c r="X131" s="33">
        <f>KHS!C126</f>
        <v>0.90739999999999998</v>
      </c>
      <c r="Y131" s="34">
        <f>KHS!G126</f>
        <v>2602</v>
      </c>
      <c r="Z131" s="33">
        <f>'9TH CAMP'!C126</f>
        <v>0.91520000000000001</v>
      </c>
      <c r="AA131" s="34">
        <f>'9TH CAMP'!G126</f>
        <v>625</v>
      </c>
      <c r="AB131" s="33">
        <f>ECHS!C126</f>
        <v>0.94220000000000004</v>
      </c>
      <c r="AC131" s="32">
        <f>ECHS!G126</f>
        <v>450</v>
      </c>
      <c r="AD131" s="33">
        <f>KMS!C126</f>
        <v>0.93669999999999998</v>
      </c>
      <c r="AE131" s="32">
        <f>KMS!G126</f>
        <v>1359</v>
      </c>
      <c r="AF131" s="33">
        <f>NMS!C126</f>
        <v>0.91279999999999994</v>
      </c>
      <c r="AG131" s="32">
        <f>NMS!G126</f>
        <v>1045</v>
      </c>
      <c r="AH131" s="36">
        <f>Highpoint!C126</f>
        <v>0</v>
      </c>
      <c r="AI131" s="37">
        <f>KASE!D123</f>
        <v>86</v>
      </c>
      <c r="AJ131" s="38"/>
      <c r="AK131" s="39">
        <f t="shared" si="13"/>
        <v>0.90861538461538471</v>
      </c>
      <c r="AL131" s="40"/>
    </row>
    <row r="132" spans="1:38" ht="12.75" x14ac:dyDescent="0.2">
      <c r="A132" s="25"/>
      <c r="B132" s="41">
        <f t="shared" si="29"/>
        <v>42300</v>
      </c>
      <c r="C132" s="49" t="s">
        <v>133</v>
      </c>
      <c r="D132" s="28">
        <v>45684</v>
      </c>
      <c r="E132" s="27" t="s">
        <v>33</v>
      </c>
      <c r="F132" s="29"/>
      <c r="G132" s="30">
        <f t="shared" si="28"/>
        <v>10884</v>
      </c>
      <c r="H132" s="31">
        <f>CE!C127</f>
        <v>0.95109999999999995</v>
      </c>
      <c r="I132" s="32">
        <f>CE!G127</f>
        <v>532</v>
      </c>
      <c r="J132" s="33">
        <f>GE!C127</f>
        <v>0.93400000000000005</v>
      </c>
      <c r="K132" s="32">
        <f>GE!G127</f>
        <v>606</v>
      </c>
      <c r="L132" s="33">
        <f>ME!C127</f>
        <v>0.93359999999999999</v>
      </c>
      <c r="M132" s="32">
        <f>ME!G127</f>
        <v>634</v>
      </c>
      <c r="N132" s="33">
        <f>SAMPLE!C127</f>
        <v>0.94230000000000003</v>
      </c>
      <c r="O132" s="32">
        <f>SAMPLE!G127</f>
        <v>607</v>
      </c>
      <c r="P132" s="33">
        <f>'Sheldon Elementary'!C127</f>
        <v>0.95930000000000004</v>
      </c>
      <c r="Q132" s="32">
        <f>'Sheldon Elementary'!D127</f>
        <v>590</v>
      </c>
      <c r="R132" s="33">
        <f>SLE!C127</f>
        <v>0.92930000000000001</v>
      </c>
      <c r="S132" s="32">
        <f>SLE!G127</f>
        <v>620</v>
      </c>
      <c r="T132" s="33">
        <f>CECA!C127</f>
        <v>0.93659999999999999</v>
      </c>
      <c r="U132" s="32">
        <f>CECA!G127</f>
        <v>569</v>
      </c>
      <c r="V132" s="33">
        <f>SECA!C127</f>
        <v>0.9234</v>
      </c>
      <c r="W132" s="32">
        <f>SECA!G127</f>
        <v>560</v>
      </c>
      <c r="X132" s="33">
        <f>KHS!C127</f>
        <v>0.92269999999999996</v>
      </c>
      <c r="Y132" s="34">
        <f>KHS!G127</f>
        <v>2601</v>
      </c>
      <c r="Z132" s="33">
        <f>'9TH CAMP'!C127</f>
        <v>0.96650000000000003</v>
      </c>
      <c r="AA132" s="34">
        <f>'9TH CAMP'!G127</f>
        <v>627</v>
      </c>
      <c r="AB132" s="33">
        <f>ECHS!C127</f>
        <v>0.96220000000000006</v>
      </c>
      <c r="AC132" s="32">
        <f>ECHS!G127</f>
        <v>450</v>
      </c>
      <c r="AD132" s="33">
        <f>KMS!C127</f>
        <v>0.95</v>
      </c>
      <c r="AE132" s="32">
        <f>KMS!G127</f>
        <v>1360</v>
      </c>
      <c r="AF132" s="33">
        <f>NMS!C127</f>
        <v>0.95779999999999998</v>
      </c>
      <c r="AG132" s="32">
        <f>NMS!G127</f>
        <v>1042</v>
      </c>
      <c r="AH132" s="36">
        <f>Highpoint!C127</f>
        <v>0</v>
      </c>
      <c r="AI132" s="37">
        <f>KASE!D124</f>
        <v>86</v>
      </c>
      <c r="AJ132" s="38"/>
      <c r="AK132" s="39">
        <f t="shared" si="13"/>
        <v>0.94375384615384605</v>
      </c>
      <c r="AL132" s="40"/>
    </row>
    <row r="133" spans="1:38" ht="12.75" x14ac:dyDescent="0.2">
      <c r="A133" s="25"/>
      <c r="B133" s="41">
        <f t="shared" si="29"/>
        <v>42750</v>
      </c>
      <c r="C133" s="49" t="s">
        <v>134</v>
      </c>
      <c r="D133" s="28">
        <v>45685</v>
      </c>
      <c r="E133" s="27" t="s">
        <v>35</v>
      </c>
      <c r="F133" s="29"/>
      <c r="G133" s="30">
        <f t="shared" si="28"/>
        <v>10890</v>
      </c>
      <c r="H133" s="31">
        <f>CE!C128</f>
        <v>0.9718</v>
      </c>
      <c r="I133" s="32">
        <f>CE!G128</f>
        <v>532</v>
      </c>
      <c r="J133" s="33">
        <f>GE!C128</f>
        <v>0.93899999999999995</v>
      </c>
      <c r="K133" s="32">
        <f>GE!G128</f>
        <v>607</v>
      </c>
      <c r="L133" s="33">
        <f>ME!C128</f>
        <v>0.9335</v>
      </c>
      <c r="M133" s="32">
        <f>ME!G128</f>
        <v>632</v>
      </c>
      <c r="N133" s="33">
        <f>SAMPLE!C128</f>
        <v>0.94420000000000004</v>
      </c>
      <c r="O133" s="32">
        <f>SAMPLE!G128</f>
        <v>609</v>
      </c>
      <c r="P133" s="33">
        <f>'Sheldon Elementary'!C128</f>
        <v>0.96440000000000003</v>
      </c>
      <c r="Q133" s="32">
        <f>'Sheldon Elementary'!D128</f>
        <v>590</v>
      </c>
      <c r="R133" s="33">
        <f>SLE!C128</f>
        <v>0.96299999999999997</v>
      </c>
      <c r="S133" s="32">
        <f>SLE!G128</f>
        <v>620</v>
      </c>
      <c r="T133" s="33">
        <f>CECA!C128</f>
        <v>0.92879999999999996</v>
      </c>
      <c r="U133" s="32">
        <f>CECA!G128</f>
        <v>569</v>
      </c>
      <c r="V133" s="33">
        <f>SECA!C128</f>
        <v>0.91149999999999998</v>
      </c>
      <c r="W133" s="32">
        <f>SECA!G128</f>
        <v>561</v>
      </c>
      <c r="X133" s="33">
        <f>KHS!C128</f>
        <v>0.93230000000000002</v>
      </c>
      <c r="Y133" s="34">
        <f>KHS!G128</f>
        <v>2601</v>
      </c>
      <c r="Z133" s="33">
        <f>'9TH CAMP'!C128</f>
        <v>0.95069999999999999</v>
      </c>
      <c r="AA133" s="34">
        <f>'9TH CAMP'!G128</f>
        <v>629</v>
      </c>
      <c r="AB133" s="33">
        <f>ECHS!C128</f>
        <v>0.9778</v>
      </c>
      <c r="AC133" s="32">
        <f>ECHS!G128</f>
        <v>450</v>
      </c>
      <c r="AD133" s="33">
        <f>KMS!C128</f>
        <v>0.95369999999999999</v>
      </c>
      <c r="AE133" s="32">
        <f>KMS!G128</f>
        <v>1362</v>
      </c>
      <c r="AF133" s="33">
        <f>NMS!C128</f>
        <v>0.9607</v>
      </c>
      <c r="AG133" s="32">
        <f>NMS!G128</f>
        <v>1042</v>
      </c>
      <c r="AH133" s="36">
        <f>Highpoint!C128</f>
        <v>0</v>
      </c>
      <c r="AI133" s="37">
        <f>KASE!D125</f>
        <v>86</v>
      </c>
      <c r="AJ133" s="38"/>
      <c r="AK133" s="39">
        <f t="shared" si="13"/>
        <v>0.94856923076923061</v>
      </c>
      <c r="AL133" s="40"/>
    </row>
    <row r="134" spans="1:38" ht="12.75" x14ac:dyDescent="0.2">
      <c r="A134" s="25"/>
      <c r="B134" s="41">
        <f t="shared" si="29"/>
        <v>43200</v>
      </c>
      <c r="C134" s="49" t="s">
        <v>135</v>
      </c>
      <c r="D134" s="28">
        <v>45686</v>
      </c>
      <c r="E134" s="27" t="s">
        <v>37</v>
      </c>
      <c r="F134" s="29"/>
      <c r="G134" s="30">
        <f t="shared" si="28"/>
        <v>10896</v>
      </c>
      <c r="H134" s="31">
        <f>CE!C129</f>
        <v>0.97199999999999998</v>
      </c>
      <c r="I134" s="32">
        <f>CE!G129</f>
        <v>535</v>
      </c>
      <c r="J134" s="33">
        <f>GE!C129</f>
        <v>0.95240000000000002</v>
      </c>
      <c r="K134" s="32">
        <f>GE!G129</f>
        <v>608</v>
      </c>
      <c r="L134" s="33">
        <f>ME!C129</f>
        <v>0.92720000000000002</v>
      </c>
      <c r="M134" s="32">
        <f>ME!G129</f>
        <v>632</v>
      </c>
      <c r="N134" s="33">
        <f>SAMPLE!C129</f>
        <v>0.92779999999999996</v>
      </c>
      <c r="O134" s="32">
        <f>SAMPLE!G129</f>
        <v>609</v>
      </c>
      <c r="P134" s="33">
        <f>'Sheldon Elementary'!C129</f>
        <v>0.93240000000000001</v>
      </c>
      <c r="Q134" s="32">
        <f>'Sheldon Elementary'!D129</f>
        <v>592</v>
      </c>
      <c r="R134" s="33">
        <f>SLE!C129</f>
        <v>0.95179999999999998</v>
      </c>
      <c r="S134" s="32">
        <f>SLE!G129</f>
        <v>620</v>
      </c>
      <c r="T134" s="33">
        <f>CECA!C129</f>
        <v>0.90529999999999999</v>
      </c>
      <c r="U134" s="32">
        <f>CECA!G129</f>
        <v>569</v>
      </c>
      <c r="V134" s="33">
        <f>SECA!C129</f>
        <v>0.92249999999999999</v>
      </c>
      <c r="W134" s="32">
        <f>SECA!G129</f>
        <v>561</v>
      </c>
      <c r="X134" s="33">
        <f>KHS!C129</f>
        <v>0.9254</v>
      </c>
      <c r="Y134" s="34">
        <f>KHS!G129</f>
        <v>2600</v>
      </c>
      <c r="Z134" s="33">
        <f>'9TH CAMP'!C129</f>
        <v>0.93959999999999999</v>
      </c>
      <c r="AA134" s="34">
        <f>'9TH CAMP'!G129</f>
        <v>629</v>
      </c>
      <c r="AB134" s="33">
        <f>ECHS!C129</f>
        <v>0.97560000000000002</v>
      </c>
      <c r="AC134" s="32">
        <f>ECHS!G129</f>
        <v>450</v>
      </c>
      <c r="AD134" s="33">
        <f>KMS!C129</f>
        <v>0.94420000000000004</v>
      </c>
      <c r="AE134" s="32">
        <f>KMS!G129</f>
        <v>1361</v>
      </c>
      <c r="AF134" s="33">
        <f>NMS!C129</f>
        <v>0.95399999999999996</v>
      </c>
      <c r="AG134" s="32">
        <f>NMS!G129</f>
        <v>1043</v>
      </c>
      <c r="AH134" s="36">
        <f>Highpoint!C129</f>
        <v>0</v>
      </c>
      <c r="AI134" s="37">
        <f>KASE!D126</f>
        <v>87</v>
      </c>
      <c r="AJ134" s="38"/>
      <c r="AK134" s="39">
        <f t="shared" si="13"/>
        <v>0.94078461538461566</v>
      </c>
      <c r="AL134" s="40"/>
    </row>
    <row r="135" spans="1:38" ht="12.75" x14ac:dyDescent="0.2">
      <c r="A135" s="25"/>
      <c r="B135" s="41">
        <f t="shared" si="29"/>
        <v>43650</v>
      </c>
      <c r="C135" s="49" t="s">
        <v>136</v>
      </c>
      <c r="D135" s="28">
        <v>45687</v>
      </c>
      <c r="E135" s="27" t="s">
        <v>39</v>
      </c>
      <c r="F135" s="29"/>
      <c r="G135" s="30">
        <f t="shared" si="28"/>
        <v>16902</v>
      </c>
      <c r="H135" s="31">
        <f>CE!C130</f>
        <v>0.93640000000000001</v>
      </c>
      <c r="I135" s="32">
        <f>CE!G130</f>
        <v>535</v>
      </c>
      <c r="J135" s="33">
        <f>GE!C130</f>
        <v>0.93330000000000002</v>
      </c>
      <c r="K135" s="32">
        <f>GE!G130</f>
        <v>610</v>
      </c>
      <c r="L135" s="33">
        <f>ME!C130</f>
        <v>0.95089999999999997</v>
      </c>
      <c r="M135" s="32">
        <f>ME!G130</f>
        <v>632</v>
      </c>
      <c r="N135" s="33">
        <f>SAMPLE!C130</f>
        <v>0.93259999999999998</v>
      </c>
      <c r="O135" s="32">
        <f>SAMPLE!G130</f>
        <v>608</v>
      </c>
      <c r="P135" s="33">
        <f>'Sheldon Elementary'!C130</f>
        <v>0.9375</v>
      </c>
      <c r="Q135" s="32">
        <f>'Sheldon Elementary'!D130</f>
        <v>592</v>
      </c>
      <c r="R135" s="33">
        <f>SLE!C130</f>
        <v>0.95499999999999996</v>
      </c>
      <c r="S135" s="32">
        <f>SLE!G130</f>
        <v>620</v>
      </c>
      <c r="T135" s="33">
        <f>CECA!C130</f>
        <v>0.94099999999999995</v>
      </c>
      <c r="U135" s="32">
        <f>CECA!G130</f>
        <v>569</v>
      </c>
      <c r="V135" s="33">
        <f>SECA!C130</f>
        <v>0.92010000000000003</v>
      </c>
      <c r="W135" s="32">
        <f>SECA!G130</f>
        <v>561</v>
      </c>
      <c r="X135" s="33">
        <f>KHS!C130</f>
        <v>0.92810000000000004</v>
      </c>
      <c r="Y135" s="34">
        <f>KHS!G130</f>
        <v>8602</v>
      </c>
      <c r="Z135" s="33">
        <f>'9TH CAMP'!C130</f>
        <v>0.9304</v>
      </c>
      <c r="AA135" s="34">
        <f>'9TH CAMP'!G130</f>
        <v>632</v>
      </c>
      <c r="AB135" s="33">
        <f>ECHS!C130</f>
        <v>0.98</v>
      </c>
      <c r="AC135" s="32">
        <f>ECHS!G130</f>
        <v>450</v>
      </c>
      <c r="AD135" s="33">
        <f>KMS!C130</f>
        <v>0.94630000000000003</v>
      </c>
      <c r="AE135" s="32">
        <f>KMS!G130</f>
        <v>1360</v>
      </c>
      <c r="AF135" s="33">
        <f>NMS!C130</f>
        <v>0.94159999999999999</v>
      </c>
      <c r="AG135" s="32">
        <f>NMS!G130</f>
        <v>1044</v>
      </c>
      <c r="AH135" s="36">
        <f>Highpoint!C130</f>
        <v>0</v>
      </c>
      <c r="AI135" s="37">
        <f>KASE!D127</f>
        <v>87</v>
      </c>
      <c r="AJ135" s="38"/>
      <c r="AK135" s="39">
        <f t="shared" si="13"/>
        <v>0.94101538461538459</v>
      </c>
      <c r="AL135" s="40"/>
    </row>
    <row r="136" spans="1:38" ht="12.75" x14ac:dyDescent="0.2">
      <c r="A136" s="25"/>
      <c r="B136" s="41">
        <f t="shared" si="29"/>
        <v>44100</v>
      </c>
      <c r="C136" s="49" t="s">
        <v>137</v>
      </c>
      <c r="D136" s="28">
        <v>45688</v>
      </c>
      <c r="E136" s="27" t="s">
        <v>41</v>
      </c>
      <c r="F136" s="29"/>
      <c r="G136" s="30">
        <f t="shared" si="28"/>
        <v>10264</v>
      </c>
      <c r="H136" s="31">
        <f>CE!C131</f>
        <v>0.92900000000000005</v>
      </c>
      <c r="I136" s="32">
        <f>CE!G131</f>
        <v>535</v>
      </c>
      <c r="J136" s="33">
        <f>GE!C131</f>
        <v>0.9194</v>
      </c>
      <c r="K136" s="32">
        <f>GE!G131</f>
        <v>608</v>
      </c>
      <c r="L136" s="33">
        <f>ME!C131</f>
        <v>0.94450000000000001</v>
      </c>
      <c r="M136" s="32">
        <f>ME!G131</f>
        <v>631</v>
      </c>
      <c r="N136" s="33">
        <f>SAMPLE!C131</f>
        <v>0.94399999999999995</v>
      </c>
      <c r="O136" s="32">
        <f>SAMPLE!G131</f>
        <v>607</v>
      </c>
      <c r="P136" s="33">
        <f>'Sheldon Elementary'!C131</f>
        <v>0.91549999999999998</v>
      </c>
      <c r="Q136" s="32">
        <f>'Sheldon Elementary'!D131</f>
        <v>592</v>
      </c>
      <c r="R136" s="33">
        <f>SLE!C131</f>
        <v>0.92769999999999997</v>
      </c>
      <c r="S136" s="32">
        <f>SLE!G131</f>
        <v>619</v>
      </c>
      <c r="T136" s="33">
        <f>CECA!C131</f>
        <v>0.92630000000000001</v>
      </c>
      <c r="U136" s="32">
        <f>CECA!G131</f>
        <v>568</v>
      </c>
      <c r="V136" s="33">
        <f>SECA!C131</f>
        <v>0.91669999999999996</v>
      </c>
      <c r="W136" s="32">
        <f>SECA!G131</f>
        <v>561</v>
      </c>
      <c r="X136" s="33">
        <f>KHS!C131</f>
        <v>0.91810000000000003</v>
      </c>
      <c r="Y136" s="34">
        <f>KHS!G131</f>
        <v>2602</v>
      </c>
      <c r="Z136" s="33">
        <f>'9TH CAMP'!C131</f>
        <v>0.91410000000000002</v>
      </c>
      <c r="AA136" s="34">
        <f>'9TH CAMP'!G131</f>
        <v>0</v>
      </c>
      <c r="AB136" s="33">
        <f>ECHS!C131</f>
        <v>0.96</v>
      </c>
      <c r="AC136" s="32">
        <f>ECHS!G131</f>
        <v>450</v>
      </c>
      <c r="AD136" s="33">
        <f>KMS!C131</f>
        <v>0.94340000000000002</v>
      </c>
      <c r="AE136" s="32">
        <f>KMS!G131</f>
        <v>1360</v>
      </c>
      <c r="AF136" s="33">
        <f>NMS!C131</f>
        <v>0.94059999999999999</v>
      </c>
      <c r="AG136" s="32">
        <f>NMS!G131</f>
        <v>1043</v>
      </c>
      <c r="AH136" s="36">
        <f>Highpoint!C131</f>
        <v>0</v>
      </c>
      <c r="AI136" s="37">
        <f>KASE!D128</f>
        <v>88</v>
      </c>
      <c r="AJ136" s="38"/>
      <c r="AK136" s="39">
        <f t="shared" si="13"/>
        <v>0.93071538461538461</v>
      </c>
      <c r="AL136" s="40"/>
    </row>
    <row r="137" spans="1:38" ht="12.75" x14ac:dyDescent="0.2">
      <c r="A137" s="25"/>
      <c r="B137" s="41">
        <f t="shared" si="29"/>
        <v>44550</v>
      </c>
      <c r="C137" s="49" t="s">
        <v>138</v>
      </c>
      <c r="D137" s="28">
        <v>45691</v>
      </c>
      <c r="E137" s="27" t="s">
        <v>33</v>
      </c>
      <c r="F137" s="29"/>
      <c r="G137" s="30">
        <f t="shared" si="28"/>
        <v>10886</v>
      </c>
      <c r="H137" s="31">
        <f>CE!C132</f>
        <v>0.82799999999999996</v>
      </c>
      <c r="I137" s="32">
        <f>CE!G132</f>
        <v>535</v>
      </c>
      <c r="J137" s="33">
        <f>GE!C132</f>
        <v>0.79900000000000004</v>
      </c>
      <c r="K137" s="32">
        <f>GE!G132</f>
        <v>607</v>
      </c>
      <c r="L137" s="33">
        <f>ME!C132</f>
        <v>0.77969999999999995</v>
      </c>
      <c r="M137" s="32">
        <f>ME!G132</f>
        <v>631</v>
      </c>
      <c r="N137" s="33">
        <f>SAMPLE!C132</f>
        <v>0.74670000000000003</v>
      </c>
      <c r="O137" s="32">
        <f>SAMPLE!G132</f>
        <v>608</v>
      </c>
      <c r="P137" s="33">
        <f>'Sheldon Elementary'!C132</f>
        <v>0.80910000000000004</v>
      </c>
      <c r="Q137" s="32">
        <f>'Sheldon Elementary'!D132</f>
        <v>592</v>
      </c>
      <c r="R137" s="33">
        <f>SLE!C132</f>
        <v>0.81610000000000005</v>
      </c>
      <c r="S137" s="32">
        <f>SLE!G132</f>
        <v>618</v>
      </c>
      <c r="T137" s="33">
        <f>CECA!C132</f>
        <v>0.77429999999999999</v>
      </c>
      <c r="U137" s="32">
        <f>CECA!G132</f>
        <v>567</v>
      </c>
      <c r="V137" s="33">
        <f>SECA!C132</f>
        <v>0.83220000000000005</v>
      </c>
      <c r="W137" s="32">
        <f>SECA!G132</f>
        <v>560</v>
      </c>
      <c r="X137" s="33">
        <f>KHS!C132</f>
        <v>0.7984</v>
      </c>
      <c r="Y137" s="34">
        <f>KHS!G132</f>
        <v>2601</v>
      </c>
      <c r="Z137" s="33">
        <f>'9TH CAMP'!C132</f>
        <v>0.81330000000000002</v>
      </c>
      <c r="AA137" s="34">
        <f>'9TH CAMP'!G132</f>
        <v>632</v>
      </c>
      <c r="AB137" s="33">
        <f>ECHS!C132</f>
        <v>0.8911</v>
      </c>
      <c r="AC137" s="32">
        <f>ECHS!G132</f>
        <v>450</v>
      </c>
      <c r="AD137" s="33">
        <f>KMS!C132</f>
        <v>0.81950000000000001</v>
      </c>
      <c r="AE137" s="32">
        <f>KMS!G132</f>
        <v>1357</v>
      </c>
      <c r="AF137" s="33">
        <f>NMS!C132</f>
        <v>0.79020000000000001</v>
      </c>
      <c r="AG137" s="32">
        <f>NMS!G132</f>
        <v>1039</v>
      </c>
      <c r="AH137" s="36">
        <f>Highpoint!C132</f>
        <v>0</v>
      </c>
      <c r="AI137" s="37">
        <f>KASE!D129</f>
        <v>89</v>
      </c>
      <c r="AJ137" s="38"/>
      <c r="AK137" s="39">
        <f t="shared" si="13"/>
        <v>0.80750769230769237</v>
      </c>
      <c r="AL137" s="40"/>
    </row>
    <row r="138" spans="1:38" ht="12.75" x14ac:dyDescent="0.2">
      <c r="A138" s="25"/>
      <c r="B138" s="41">
        <f t="shared" si="29"/>
        <v>45000</v>
      </c>
      <c r="C138" s="49" t="s">
        <v>139</v>
      </c>
      <c r="D138" s="28">
        <v>45692</v>
      </c>
      <c r="E138" s="27" t="s">
        <v>35</v>
      </c>
      <c r="F138" s="29"/>
      <c r="G138" s="30">
        <f t="shared" si="28"/>
        <v>10884</v>
      </c>
      <c r="H138" s="31">
        <f>CE!C133</f>
        <v>0.96460000000000001</v>
      </c>
      <c r="I138" s="32">
        <f>CE!G134</f>
        <v>536</v>
      </c>
      <c r="J138" s="33">
        <f>GE!C133</f>
        <v>0.94710000000000005</v>
      </c>
      <c r="K138" s="32">
        <f>GE!G133</f>
        <v>605</v>
      </c>
      <c r="L138" s="33">
        <f>ME!C133</f>
        <v>0.96030000000000004</v>
      </c>
      <c r="M138" s="32">
        <f>ME!G133</f>
        <v>630</v>
      </c>
      <c r="N138" s="33">
        <f>SAMPLE!C133</f>
        <v>0.97370000000000001</v>
      </c>
      <c r="O138" s="32">
        <f>SAMPLE!G133</f>
        <v>609</v>
      </c>
      <c r="P138" s="33">
        <f>'Sheldon Elementary'!C133</f>
        <v>0.9375</v>
      </c>
      <c r="Q138" s="32">
        <f>'Sheldon Elementary'!D133</f>
        <v>592</v>
      </c>
      <c r="R138" s="33">
        <f>SLE!C133</f>
        <v>0.93720000000000003</v>
      </c>
      <c r="S138" s="32">
        <f>SLE!G133</f>
        <v>619</v>
      </c>
      <c r="T138" s="33">
        <f>CECA!C133</f>
        <v>0.94420000000000004</v>
      </c>
      <c r="U138" s="32">
        <f>CECA!G133</f>
        <v>568</v>
      </c>
      <c r="V138" s="33">
        <f>SECA!C133</f>
        <v>0.92210000000000003</v>
      </c>
      <c r="W138" s="32">
        <f>SECA!G133</f>
        <v>559</v>
      </c>
      <c r="X138" s="33">
        <f>KHS!C133</f>
        <v>0.94189999999999996</v>
      </c>
      <c r="Y138" s="34">
        <f>KHS!G133</f>
        <v>2597</v>
      </c>
      <c r="Z138" s="33">
        <f>'9TH CAMP'!C133</f>
        <v>0.94930000000000003</v>
      </c>
      <c r="AA138" s="34">
        <f>'9TH CAMP'!G133</f>
        <v>632</v>
      </c>
      <c r="AB138" s="33">
        <f>ECHS!C133</f>
        <v>0.9667</v>
      </c>
      <c r="AC138" s="32">
        <f>ECHS!G133</f>
        <v>450</v>
      </c>
      <c r="AD138" s="33">
        <f>KMS!C133</f>
        <v>0.9536</v>
      </c>
      <c r="AE138" s="32">
        <f>KMS!G133</f>
        <v>1358</v>
      </c>
      <c r="AF138" s="33">
        <f>NMS!C133</f>
        <v>0.95379999999999998</v>
      </c>
      <c r="AG138" s="32">
        <f>NMS!G133</f>
        <v>1039</v>
      </c>
      <c r="AH138" s="36">
        <f>Highpoint!C133</f>
        <v>0</v>
      </c>
      <c r="AI138" s="37">
        <f>KASE!D130</f>
        <v>90</v>
      </c>
      <c r="AJ138" s="38"/>
      <c r="AK138" s="39">
        <f t="shared" si="13"/>
        <v>0.95015384615384613</v>
      </c>
      <c r="AL138" s="40"/>
    </row>
    <row r="139" spans="1:38" ht="12.75" x14ac:dyDescent="0.2">
      <c r="A139" s="25"/>
      <c r="B139" s="41">
        <f t="shared" si="29"/>
        <v>45450</v>
      </c>
      <c r="C139" s="49" t="s">
        <v>140</v>
      </c>
      <c r="D139" s="28">
        <v>45693</v>
      </c>
      <c r="E139" s="27" t="s">
        <v>37</v>
      </c>
      <c r="F139" s="29"/>
      <c r="G139" s="30">
        <f t="shared" si="28"/>
        <v>10887</v>
      </c>
      <c r="H139" s="31">
        <f>CE!C134</f>
        <v>0.96079999999999999</v>
      </c>
      <c r="I139" s="32">
        <f>CE!G135</f>
        <v>536</v>
      </c>
      <c r="J139" s="33">
        <f>GE!C134</f>
        <v>0.96179999999999999</v>
      </c>
      <c r="K139" s="32">
        <f>GE!G134</f>
        <v>602</v>
      </c>
      <c r="L139" s="33">
        <f>ME!C134</f>
        <v>0.97460000000000002</v>
      </c>
      <c r="M139" s="32">
        <f>ME!G134</f>
        <v>630</v>
      </c>
      <c r="N139" s="33">
        <f>SAMPLE!C134</f>
        <v>0.95420000000000005</v>
      </c>
      <c r="O139" s="32">
        <f>SAMPLE!G134</f>
        <v>611</v>
      </c>
      <c r="P139" s="33">
        <f>'Sheldon Elementary'!C134</f>
        <v>0.93579999999999997</v>
      </c>
      <c r="Q139" s="32">
        <f>'Sheldon Elementary'!D134</f>
        <v>592</v>
      </c>
      <c r="R139" s="33">
        <f>SLE!C134</f>
        <v>0.95640000000000003</v>
      </c>
      <c r="S139" s="32">
        <f>SLE!G134</f>
        <v>619</v>
      </c>
      <c r="T139" s="33">
        <f>CECA!C134</f>
        <v>0.94310000000000005</v>
      </c>
      <c r="U139" s="32">
        <f>CECA!G134</f>
        <v>568</v>
      </c>
      <c r="V139" s="33">
        <f>SECA!C134</f>
        <v>0.94410000000000005</v>
      </c>
      <c r="W139" s="32">
        <f>SECA!G134</f>
        <v>560</v>
      </c>
      <c r="X139" s="33">
        <f>KHS!C134</f>
        <v>0.94720000000000004</v>
      </c>
      <c r="Y139" s="34">
        <f>KHS!G134</f>
        <v>2594</v>
      </c>
      <c r="Z139" s="33">
        <f>'9TH CAMP'!C134</f>
        <v>0.95089999999999997</v>
      </c>
      <c r="AA139" s="34">
        <f>'9TH CAMP'!G134</f>
        <v>631</v>
      </c>
      <c r="AB139" s="33">
        <f>ECHS!C134</f>
        <v>0.96760000000000002</v>
      </c>
      <c r="AC139" s="32">
        <f>ECHS!G134</f>
        <v>450</v>
      </c>
      <c r="AD139" s="33">
        <f>KMS!C134</f>
        <v>0.94789999999999996</v>
      </c>
      <c r="AE139" s="32">
        <f>KMS!G134</f>
        <v>1362</v>
      </c>
      <c r="AF139" s="33">
        <f>NMS!C134</f>
        <v>0.95950000000000002</v>
      </c>
      <c r="AG139" s="32">
        <f>NMS!G134</f>
        <v>1039</v>
      </c>
      <c r="AH139" s="36">
        <f>Highpoint!C134</f>
        <v>0</v>
      </c>
      <c r="AI139" s="37">
        <f>KASE!D131</f>
        <v>93</v>
      </c>
      <c r="AJ139" s="38"/>
      <c r="AK139" s="39">
        <f t="shared" si="13"/>
        <v>0.95414615384615398</v>
      </c>
      <c r="AL139" s="40"/>
    </row>
    <row r="140" spans="1:38" ht="12.75" x14ac:dyDescent="0.2">
      <c r="A140" s="25"/>
      <c r="B140" s="41">
        <f t="shared" si="29"/>
        <v>45900</v>
      </c>
      <c r="C140" s="49" t="s">
        <v>141</v>
      </c>
      <c r="D140" s="28">
        <v>45694</v>
      </c>
      <c r="E140" s="27" t="s">
        <v>39</v>
      </c>
      <c r="F140" s="29"/>
      <c r="G140" s="30">
        <f t="shared" si="28"/>
        <v>10887</v>
      </c>
      <c r="H140" s="31">
        <f>CE!C135</f>
        <v>0.96079999999999999</v>
      </c>
      <c r="I140" s="32">
        <f>CE!G135</f>
        <v>536</v>
      </c>
      <c r="J140" s="33">
        <f>GE!C135</f>
        <v>0.94199999999999995</v>
      </c>
      <c r="K140" s="32">
        <f>GE!G135</f>
        <v>603</v>
      </c>
      <c r="L140" s="33">
        <f>ME!C135</f>
        <v>0.96030000000000004</v>
      </c>
      <c r="M140" s="32">
        <f>ME!G135</f>
        <v>629</v>
      </c>
      <c r="N140" s="33">
        <f>SAMPLE!C135</f>
        <v>0.97870000000000001</v>
      </c>
      <c r="O140" s="32">
        <f>SAMPLE!G135</f>
        <v>610</v>
      </c>
      <c r="P140" s="33">
        <f>'Sheldon Elementary'!C135</f>
        <v>0.95099999999999996</v>
      </c>
      <c r="Q140" s="32">
        <f>'Sheldon Elementary'!D135</f>
        <v>592</v>
      </c>
      <c r="R140" s="33">
        <f>SLE!C135</f>
        <v>0.96289999999999998</v>
      </c>
      <c r="S140" s="32">
        <f>SLE!G135</f>
        <v>620</v>
      </c>
      <c r="T140" s="33">
        <f>CECA!C135</f>
        <v>0.94979999999999998</v>
      </c>
      <c r="U140" s="32">
        <f>CECA!G135</f>
        <v>570</v>
      </c>
      <c r="V140" s="33">
        <f>SECA!C135</f>
        <v>0.92330000000000001</v>
      </c>
      <c r="W140" s="32">
        <f>SECA!G135</f>
        <v>560</v>
      </c>
      <c r="X140" s="33">
        <f>KHS!C135</f>
        <v>0.94330000000000003</v>
      </c>
      <c r="Y140" s="34">
        <f>KHS!G135</f>
        <v>2594</v>
      </c>
      <c r="Z140" s="33">
        <f>'9TH CAMP'!C135</f>
        <v>0.91920000000000002</v>
      </c>
      <c r="AA140" s="34">
        <f>'9TH CAMP'!G135</f>
        <v>631</v>
      </c>
      <c r="AB140" s="33">
        <f>ECHS!C135</f>
        <v>0.98</v>
      </c>
      <c r="AC140" s="32">
        <f>ECHS!G135</f>
        <v>450</v>
      </c>
      <c r="AD140" s="33">
        <f>KMS!C135</f>
        <v>0.94930000000000003</v>
      </c>
      <c r="AE140" s="32">
        <f>KMS!G135</f>
        <v>1362</v>
      </c>
      <c r="AF140" s="33">
        <f>NMS!C135</f>
        <v>0.95950000000000002</v>
      </c>
      <c r="AG140" s="32">
        <f>NMS!G135</f>
        <v>1037</v>
      </c>
      <c r="AH140" s="36">
        <f>Highpoint!C135</f>
        <v>0</v>
      </c>
      <c r="AI140" s="37">
        <f>KASE!D132</f>
        <v>93</v>
      </c>
      <c r="AJ140" s="38"/>
      <c r="AK140" s="39">
        <f t="shared" si="13"/>
        <v>0.95231538461538467</v>
      </c>
      <c r="AL140" s="40"/>
    </row>
    <row r="141" spans="1:38" ht="12.75" x14ac:dyDescent="0.2">
      <c r="A141" s="25"/>
      <c r="B141" s="41">
        <f t="shared" si="29"/>
        <v>46350</v>
      </c>
      <c r="C141" s="49" t="s">
        <v>142</v>
      </c>
      <c r="D141" s="28">
        <v>45695</v>
      </c>
      <c r="E141" s="27" t="s">
        <v>41</v>
      </c>
      <c r="F141" s="29"/>
      <c r="G141" s="30">
        <f t="shared" si="28"/>
        <v>10884</v>
      </c>
      <c r="H141" s="31">
        <f>CE!C136</f>
        <v>0.94589999999999996</v>
      </c>
      <c r="I141" s="32">
        <f>CE!G136</f>
        <v>536</v>
      </c>
      <c r="J141" s="33">
        <f>GE!C136</f>
        <v>0.94199999999999995</v>
      </c>
      <c r="K141" s="32">
        <f>GE!G136</f>
        <v>603</v>
      </c>
      <c r="L141" s="33">
        <f>ME!C136</f>
        <v>0.94120000000000004</v>
      </c>
      <c r="M141" s="32">
        <f>ME!G136</f>
        <v>629</v>
      </c>
      <c r="N141" s="33">
        <f>SAMPLE!C136</f>
        <v>0.95740000000000003</v>
      </c>
      <c r="O141" s="32">
        <f>SAMPLE!G136</f>
        <v>610</v>
      </c>
      <c r="P141" s="33">
        <f>'Sheldon Elementary'!C136</f>
        <v>0.91220000000000001</v>
      </c>
      <c r="Q141" s="32">
        <f>'Sheldon Elementary'!D136</f>
        <v>592</v>
      </c>
      <c r="R141" s="33">
        <f>SLE!C136</f>
        <v>0.93059999999999998</v>
      </c>
      <c r="S141" s="32">
        <f>SLE!G136</f>
        <v>620</v>
      </c>
      <c r="T141" s="33">
        <f>CECA!C136</f>
        <v>0.91410000000000002</v>
      </c>
      <c r="U141" s="32">
        <f>CECA!G136</f>
        <v>570</v>
      </c>
      <c r="V141" s="33">
        <f>SECA!C136</f>
        <v>0.88939999999999997</v>
      </c>
      <c r="W141" s="32">
        <f>SECA!G136</f>
        <v>560</v>
      </c>
      <c r="X141" s="33">
        <f>KHS!C136</f>
        <v>0.9355</v>
      </c>
      <c r="Y141" s="34">
        <f>KHS!G136</f>
        <v>2591</v>
      </c>
      <c r="Z141" s="33">
        <f>'9TH CAMP'!C136</f>
        <v>0.91600000000000004</v>
      </c>
      <c r="AA141" s="34">
        <f>'9TH CAMP'!G136</f>
        <v>631</v>
      </c>
      <c r="AB141" s="33">
        <f>ECHS!C136</f>
        <v>0.9667</v>
      </c>
      <c r="AC141" s="32">
        <f>ECHS!G136</f>
        <v>450</v>
      </c>
      <c r="AD141" s="33">
        <f>KMS!C136</f>
        <v>0.93759999999999999</v>
      </c>
      <c r="AE141" s="32">
        <f>KMS!G136</f>
        <v>1362</v>
      </c>
      <c r="AF141" s="33">
        <f>NMS!C136</f>
        <v>0.91510000000000002</v>
      </c>
      <c r="AG141" s="32">
        <f>NMS!G136</f>
        <v>1037</v>
      </c>
      <c r="AH141" s="36">
        <f>Highpoint!C136</f>
        <v>0</v>
      </c>
      <c r="AI141" s="37">
        <f>KASE!D133</f>
        <v>93</v>
      </c>
      <c r="AJ141" s="38"/>
      <c r="AK141" s="39">
        <f t="shared" si="13"/>
        <v>0.93105384615384623</v>
      </c>
      <c r="AL141" s="40"/>
    </row>
    <row r="142" spans="1:38" ht="12.75" x14ac:dyDescent="0.2">
      <c r="A142" s="207" t="s">
        <v>62</v>
      </c>
      <c r="B142" s="206"/>
      <c r="C142" s="206"/>
      <c r="D142" s="46">
        <v>45698</v>
      </c>
      <c r="E142" s="26" t="s">
        <v>33</v>
      </c>
      <c r="F142" s="29"/>
      <c r="G142" s="29"/>
      <c r="H142" s="62"/>
      <c r="I142" s="63"/>
      <c r="J142" s="64"/>
      <c r="K142" s="63"/>
      <c r="L142" s="64"/>
      <c r="M142" s="63"/>
      <c r="N142" s="64"/>
      <c r="O142" s="63"/>
      <c r="P142" s="64"/>
      <c r="Q142" s="63"/>
      <c r="R142" s="64"/>
      <c r="S142" s="63"/>
      <c r="T142" s="64"/>
      <c r="U142" s="63"/>
      <c r="V142" s="65"/>
      <c r="W142" s="63"/>
      <c r="X142" s="65"/>
      <c r="Y142" s="66"/>
      <c r="Z142" s="65"/>
      <c r="AA142" s="66"/>
      <c r="AB142" s="65">
        <f>ECHS!C137</f>
        <v>0</v>
      </c>
      <c r="AC142" s="63"/>
      <c r="AD142" s="64"/>
      <c r="AE142" s="63"/>
      <c r="AF142" s="64"/>
      <c r="AG142" s="63"/>
      <c r="AH142" s="38"/>
      <c r="AI142" s="67"/>
      <c r="AJ142" s="48"/>
      <c r="AK142" s="40">
        <f t="shared" si="13"/>
        <v>0</v>
      </c>
      <c r="AL142" s="48"/>
    </row>
    <row r="143" spans="1:38" ht="12.75" x14ac:dyDescent="0.2">
      <c r="A143" s="207" t="s">
        <v>62</v>
      </c>
      <c r="B143" s="206"/>
      <c r="C143" s="206"/>
      <c r="D143" s="46">
        <v>45699</v>
      </c>
      <c r="E143" s="26" t="s">
        <v>35</v>
      </c>
      <c r="F143" s="29"/>
      <c r="G143" s="29"/>
      <c r="H143" s="62"/>
      <c r="I143" s="63"/>
      <c r="J143" s="64"/>
      <c r="K143" s="63"/>
      <c r="L143" s="64"/>
      <c r="M143" s="63"/>
      <c r="N143" s="64"/>
      <c r="O143" s="63"/>
      <c r="P143" s="64"/>
      <c r="Q143" s="63"/>
      <c r="R143" s="64"/>
      <c r="S143" s="63"/>
      <c r="T143" s="64"/>
      <c r="U143" s="63"/>
      <c r="V143" s="65"/>
      <c r="W143" s="63"/>
      <c r="X143" s="65"/>
      <c r="Y143" s="66"/>
      <c r="Z143" s="65"/>
      <c r="AA143" s="66"/>
      <c r="AB143" s="65">
        <f>ECHS!C138</f>
        <v>0</v>
      </c>
      <c r="AC143" s="63"/>
      <c r="AD143" s="64"/>
      <c r="AE143" s="63"/>
      <c r="AF143" s="64"/>
      <c r="AG143" s="63"/>
      <c r="AH143" s="38"/>
      <c r="AI143" s="67"/>
      <c r="AJ143" s="48"/>
      <c r="AK143" s="40">
        <f t="shared" si="13"/>
        <v>0</v>
      </c>
      <c r="AL143" s="48"/>
    </row>
    <row r="144" spans="1:38" ht="12.75" x14ac:dyDescent="0.2">
      <c r="A144" s="25"/>
      <c r="B144" s="41">
        <f>B141+450</f>
        <v>46800</v>
      </c>
      <c r="C144" s="49" t="s">
        <v>143</v>
      </c>
      <c r="D144" s="28">
        <v>45700</v>
      </c>
      <c r="E144" s="27" t="s">
        <v>37</v>
      </c>
      <c r="F144" s="29"/>
      <c r="G144" s="30">
        <f t="shared" ref="G144:G146" si="30">I144+K144+M144+O144+Q144+S144+U144+W144+Y144+AA144+AC144+AE144+AG144+AI144+AH144</f>
        <v>10885</v>
      </c>
      <c r="H144" s="31">
        <f>CE!C139</f>
        <v>0.95709999999999995</v>
      </c>
      <c r="I144" s="32">
        <f>CE!G139</f>
        <v>536</v>
      </c>
      <c r="J144" s="33">
        <f>GE!C139</f>
        <v>0.95189999999999997</v>
      </c>
      <c r="K144" s="32">
        <f>GE!G139</f>
        <v>603</v>
      </c>
      <c r="L144" s="33">
        <f>ME!C139</f>
        <v>0.9476</v>
      </c>
      <c r="M144" s="32">
        <f>ME!G139</f>
        <v>630</v>
      </c>
      <c r="N144" s="33">
        <f>SAMPLE!C139</f>
        <v>0.94569999999999999</v>
      </c>
      <c r="O144" s="32">
        <f>SAMPLE!G139</f>
        <v>608</v>
      </c>
      <c r="P144" s="33">
        <f>'Sheldon Elementary'!C139</f>
        <v>0.94430000000000003</v>
      </c>
      <c r="Q144" s="32">
        <f>'Sheldon Elementary'!D139</f>
        <v>592</v>
      </c>
      <c r="R144" s="33">
        <f>SLE!C139</f>
        <v>0.94030000000000002</v>
      </c>
      <c r="S144" s="32">
        <f>SLE!G139</f>
        <v>620</v>
      </c>
      <c r="T144" s="33">
        <f>CECA!C139</f>
        <v>0.93530000000000002</v>
      </c>
      <c r="U144" s="32">
        <f>CECA!G139</f>
        <v>570</v>
      </c>
      <c r="V144" s="33">
        <f>SECA!C139</f>
        <v>0.89180000000000004</v>
      </c>
      <c r="W144" s="32">
        <f>SECA!G139</f>
        <v>562</v>
      </c>
      <c r="X144" s="33">
        <f>KHS!C139</f>
        <v>0.9325</v>
      </c>
      <c r="Y144" s="34">
        <f>KHS!G139</f>
        <v>2592</v>
      </c>
      <c r="Z144" s="33">
        <f>'9TH CAMP'!C139</f>
        <v>0.95879999999999999</v>
      </c>
      <c r="AA144" s="34">
        <f>'9TH CAMP'!G139</f>
        <v>631</v>
      </c>
      <c r="AB144" s="33">
        <f>ECHS!C139</f>
        <v>0.9556</v>
      </c>
      <c r="AC144" s="32">
        <f>ECHS!G139</f>
        <v>450</v>
      </c>
      <c r="AD144" s="33">
        <f>KMS!C139</f>
        <v>0.94199999999999995</v>
      </c>
      <c r="AE144" s="32">
        <f>KMS!G139</f>
        <v>1363</v>
      </c>
      <c r="AF144" s="33">
        <f>NMS!C139</f>
        <v>0.95660000000000001</v>
      </c>
      <c r="AG144" s="32">
        <f>NMS!G139</f>
        <v>1036</v>
      </c>
      <c r="AH144" s="36">
        <f>Highpoint!C139</f>
        <v>0</v>
      </c>
      <c r="AI144" s="37">
        <f>KASE!D136</f>
        <v>92</v>
      </c>
      <c r="AJ144" s="38"/>
      <c r="AK144" s="39">
        <f t="shared" si="13"/>
        <v>0.94303846153846149</v>
      </c>
      <c r="AL144" s="40"/>
    </row>
    <row r="145" spans="1:38" ht="12.75" x14ac:dyDescent="0.2">
      <c r="A145" s="25"/>
      <c r="B145" s="41">
        <f t="shared" ref="B145:B146" si="31">B144+450</f>
        <v>47250</v>
      </c>
      <c r="C145" s="49" t="s">
        <v>144</v>
      </c>
      <c r="D145" s="28">
        <v>45701</v>
      </c>
      <c r="E145" s="27" t="s">
        <v>39</v>
      </c>
      <c r="F145" s="29"/>
      <c r="G145" s="30">
        <f t="shared" si="30"/>
        <v>10885</v>
      </c>
      <c r="H145" s="31">
        <f>CE!C140</f>
        <v>0.95520000000000005</v>
      </c>
      <c r="I145" s="32">
        <f>CE!G140</f>
        <v>536</v>
      </c>
      <c r="J145" s="33">
        <f>GE!C140</f>
        <v>0.94199999999999995</v>
      </c>
      <c r="K145" s="32">
        <f>GE!G140</f>
        <v>603</v>
      </c>
      <c r="L145" s="33">
        <f>ME!C140</f>
        <v>0.96830000000000005</v>
      </c>
      <c r="M145" s="32">
        <f>ME!G140</f>
        <v>630</v>
      </c>
      <c r="N145" s="33">
        <f>SAMPLE!C140</f>
        <v>0.9556</v>
      </c>
      <c r="O145" s="32">
        <f>SAMPLE!G140</f>
        <v>608</v>
      </c>
      <c r="P145" s="33">
        <f>'Sheldon Elementary'!C140</f>
        <v>0.95950000000000002</v>
      </c>
      <c r="Q145" s="32">
        <f>'Sheldon Elementary'!D140</f>
        <v>592</v>
      </c>
      <c r="R145" s="33">
        <f>SLE!C140</f>
        <v>0.94350000000000001</v>
      </c>
      <c r="S145" s="32">
        <f>SLE!G140</f>
        <v>620</v>
      </c>
      <c r="T145" s="33">
        <f>CECA!C140</f>
        <v>0.92969999999999997</v>
      </c>
      <c r="U145" s="32">
        <f>CECA!G140</f>
        <v>570</v>
      </c>
      <c r="V145" s="33">
        <f>SECA!C140</f>
        <v>0.91579999999999995</v>
      </c>
      <c r="W145" s="32">
        <f>SECA!G140</f>
        <v>562</v>
      </c>
      <c r="X145" s="33">
        <f>KHS!C140</f>
        <v>0.94140000000000001</v>
      </c>
      <c r="Y145" s="34">
        <f>KHS!G140</f>
        <v>2592</v>
      </c>
      <c r="Z145" s="33">
        <f>'9TH CAMP'!C140</f>
        <v>0.91920000000000002</v>
      </c>
      <c r="AA145" s="34">
        <f>'9TH CAMP'!G140</f>
        <v>631</v>
      </c>
      <c r="AB145" s="33">
        <f>ECHS!C140</f>
        <v>0.98</v>
      </c>
      <c r="AC145" s="32">
        <f>ECHS!G140</f>
        <v>450</v>
      </c>
      <c r="AD145" s="33">
        <f>KMS!C140</f>
        <v>0.93689999999999996</v>
      </c>
      <c r="AE145" s="32">
        <f>KMS!G140</f>
        <v>1363</v>
      </c>
      <c r="AF145" s="33">
        <f>NMS!C140</f>
        <v>0.94689999999999996</v>
      </c>
      <c r="AG145" s="32">
        <f>NMS!G140</f>
        <v>1036</v>
      </c>
      <c r="AH145" s="36">
        <f>Highpoint!C140</f>
        <v>0</v>
      </c>
      <c r="AI145" s="37">
        <f>KASE!D137</f>
        <v>92</v>
      </c>
      <c r="AJ145" s="38"/>
      <c r="AK145" s="39">
        <f t="shared" si="13"/>
        <v>0.94569230769230772</v>
      </c>
      <c r="AL145" s="40"/>
    </row>
    <row r="146" spans="1:38" ht="12.75" x14ac:dyDescent="0.2">
      <c r="A146" s="25"/>
      <c r="B146" s="41">
        <f t="shared" si="31"/>
        <v>47700</v>
      </c>
      <c r="C146" s="49" t="s">
        <v>145</v>
      </c>
      <c r="D146" s="28">
        <v>45702</v>
      </c>
      <c r="E146" s="27" t="s">
        <v>41</v>
      </c>
      <c r="F146" s="29"/>
      <c r="G146" s="30">
        <f t="shared" si="30"/>
        <v>10894</v>
      </c>
      <c r="H146" s="31">
        <f>CE!C141</f>
        <v>0.96079999999999999</v>
      </c>
      <c r="I146" s="32">
        <f>CE!G141</f>
        <v>536</v>
      </c>
      <c r="J146" s="33">
        <f>GE!C141</f>
        <v>0.93259999999999998</v>
      </c>
      <c r="K146" s="32">
        <f>GE!G141</f>
        <v>608</v>
      </c>
      <c r="L146" s="33">
        <f>ME!C141</f>
        <v>0.94750000000000001</v>
      </c>
      <c r="M146" s="32">
        <f>ME!G141</f>
        <v>629</v>
      </c>
      <c r="N146" s="33">
        <f>SAMPLE!C141</f>
        <v>0.96889999999999998</v>
      </c>
      <c r="O146" s="32">
        <f>SAMPLE!G141</f>
        <v>610</v>
      </c>
      <c r="P146" s="33">
        <f>'Sheldon Elementary'!C141</f>
        <v>0.96960000000000002</v>
      </c>
      <c r="Q146" s="32">
        <f>'Sheldon Elementary'!D141</f>
        <v>592</v>
      </c>
      <c r="R146" s="33">
        <f>SLE!C141</f>
        <v>0.94669999999999999</v>
      </c>
      <c r="S146" s="32">
        <f>SLE!G141</f>
        <v>619</v>
      </c>
      <c r="T146" s="33">
        <f>CECA!C141</f>
        <v>0.93189999999999995</v>
      </c>
      <c r="U146" s="32">
        <f>CECA!G141</f>
        <v>570</v>
      </c>
      <c r="V146" s="33">
        <f>SECA!C141</f>
        <v>0.95750000000000002</v>
      </c>
      <c r="W146" s="32">
        <f>SECA!G141</f>
        <v>565</v>
      </c>
      <c r="X146" s="33">
        <f>KHS!C141</f>
        <v>0.92749999999999999</v>
      </c>
      <c r="Y146" s="34">
        <f>KHS!G141</f>
        <v>2592</v>
      </c>
      <c r="Z146" s="33">
        <f>'9TH CAMP'!C141</f>
        <v>0.88149999999999995</v>
      </c>
      <c r="AA146" s="34">
        <f>'9TH CAMP'!G141</f>
        <v>633</v>
      </c>
      <c r="AB146" s="33">
        <f>ECHS!C141</f>
        <v>0.94440000000000002</v>
      </c>
      <c r="AC146" s="32">
        <f>ECHS!G141</f>
        <v>450</v>
      </c>
      <c r="AD146" s="33">
        <f>KMS!C141</f>
        <v>0.9294</v>
      </c>
      <c r="AE146" s="32">
        <f>KMS!G141</f>
        <v>1359</v>
      </c>
      <c r="AF146" s="33">
        <f>NMS!C141</f>
        <v>0.9163</v>
      </c>
      <c r="AG146" s="32">
        <f>NMS!G141</f>
        <v>1039</v>
      </c>
      <c r="AH146" s="36">
        <f>Highpoint!C141</f>
        <v>0</v>
      </c>
      <c r="AI146" s="37">
        <f>KASE!D138</f>
        <v>92</v>
      </c>
      <c r="AJ146" s="38"/>
      <c r="AK146" s="39">
        <f t="shared" si="13"/>
        <v>0.93958461538461513</v>
      </c>
      <c r="AL146" s="40"/>
    </row>
    <row r="147" spans="1:38" ht="12.75" x14ac:dyDescent="0.2">
      <c r="A147" s="207" t="s">
        <v>62</v>
      </c>
      <c r="B147" s="206"/>
      <c r="C147" s="206"/>
      <c r="D147" s="46">
        <v>45705</v>
      </c>
      <c r="E147" s="26" t="s">
        <v>33</v>
      </c>
      <c r="F147" s="29"/>
      <c r="G147" s="29"/>
      <c r="H147" s="62"/>
      <c r="I147" s="63"/>
      <c r="J147" s="64"/>
      <c r="K147" s="63"/>
      <c r="L147" s="64"/>
      <c r="M147" s="63"/>
      <c r="N147" s="64"/>
      <c r="O147" s="63"/>
      <c r="P147" s="64"/>
      <c r="Q147" s="63"/>
      <c r="R147" s="64"/>
      <c r="S147" s="63"/>
      <c r="T147" s="64"/>
      <c r="U147" s="63"/>
      <c r="V147" s="65"/>
      <c r="W147" s="63"/>
      <c r="X147" s="65"/>
      <c r="Y147" s="66"/>
      <c r="Z147" s="65"/>
      <c r="AA147" s="66"/>
      <c r="AB147" s="65">
        <f>ECHS!C142</f>
        <v>0</v>
      </c>
      <c r="AC147" s="63"/>
      <c r="AD147" s="64"/>
      <c r="AE147" s="63"/>
      <c r="AF147" s="64"/>
      <c r="AG147" s="63"/>
      <c r="AH147" s="38"/>
      <c r="AI147" s="67"/>
      <c r="AJ147" s="48"/>
      <c r="AK147" s="40">
        <f t="shared" si="13"/>
        <v>0</v>
      </c>
      <c r="AL147" s="48"/>
    </row>
    <row r="148" spans="1:38" ht="12.75" x14ac:dyDescent="0.2">
      <c r="A148" s="25"/>
      <c r="B148" s="41">
        <f>B146+450</f>
        <v>48150</v>
      </c>
      <c r="C148" s="49" t="s">
        <v>146</v>
      </c>
      <c r="D148" s="28">
        <v>45706</v>
      </c>
      <c r="E148" s="27" t="s">
        <v>35</v>
      </c>
      <c r="F148" s="29"/>
      <c r="G148" s="30">
        <f t="shared" ref="G148:G166" si="32">I148+K148+M148+O148+Q148+S148+U148+W148+Y148+AA148+AC148+AE148+AG148+AI148+AH148</f>
        <v>10879</v>
      </c>
      <c r="H148" s="31">
        <f>CE!C143</f>
        <v>0.96079999999999999</v>
      </c>
      <c r="I148" s="32">
        <f>CE!G143</f>
        <v>536</v>
      </c>
      <c r="J148" s="33">
        <f>GE!C143</f>
        <v>0.93740000000000001</v>
      </c>
      <c r="K148" s="32">
        <f>GE!G143</f>
        <v>607</v>
      </c>
      <c r="L148" s="33">
        <f>ME!C143</f>
        <v>0.96509999999999996</v>
      </c>
      <c r="M148" s="32">
        <f>ME!G143</f>
        <v>630</v>
      </c>
      <c r="N148" s="33">
        <f>SAMPLE!C143</f>
        <v>0.95240000000000002</v>
      </c>
      <c r="O148" s="32">
        <f>SAMPLE!G143</f>
        <v>609</v>
      </c>
      <c r="P148" s="33">
        <f>'Sheldon Elementary'!C143</f>
        <v>0.95250000000000001</v>
      </c>
      <c r="Q148" s="32">
        <f>'Sheldon Elementary'!D143</f>
        <v>590</v>
      </c>
      <c r="R148" s="33">
        <f>SLE!C143</f>
        <v>0.94179999999999997</v>
      </c>
      <c r="S148" s="32">
        <f>SLE!G143</f>
        <v>619</v>
      </c>
      <c r="T148" s="33">
        <f>CECA!C143</f>
        <v>0.92400000000000004</v>
      </c>
      <c r="U148" s="32">
        <f>CECA!G143</f>
        <v>570</v>
      </c>
      <c r="V148" s="33">
        <f>SECA!C143</f>
        <v>0.91379999999999995</v>
      </c>
      <c r="W148" s="32">
        <f>SECA!G143</f>
        <v>563</v>
      </c>
      <c r="X148" s="33">
        <f>KHS!C143</f>
        <v>0.94679999999999997</v>
      </c>
      <c r="Y148" s="34">
        <f>KHS!G143</f>
        <v>2594</v>
      </c>
      <c r="Z148" s="33">
        <f>'9TH CAMP'!C143</f>
        <v>0.93330000000000002</v>
      </c>
      <c r="AA148" s="34">
        <f>'9TH CAMP'!G143</f>
        <v>630</v>
      </c>
      <c r="AB148" s="33">
        <f>ECHS!C143</f>
        <v>0.98</v>
      </c>
      <c r="AC148" s="32">
        <f>ECHS!G143</f>
        <v>449</v>
      </c>
      <c r="AD148" s="33">
        <f>KMS!C143</f>
        <v>0.96240000000000003</v>
      </c>
      <c r="AE148" s="32">
        <f>KMS!G143</f>
        <v>1356</v>
      </c>
      <c r="AF148" s="33">
        <f>NMS!C143</f>
        <v>0.94899999999999995</v>
      </c>
      <c r="AG148" s="32">
        <f>NMS!G143</f>
        <v>1040</v>
      </c>
      <c r="AH148" s="36">
        <f>Highpoint!C143</f>
        <v>0</v>
      </c>
      <c r="AI148" s="37">
        <f>KASE!D140</f>
        <v>86</v>
      </c>
      <c r="AJ148" s="38"/>
      <c r="AK148" s="39">
        <f t="shared" si="13"/>
        <v>0.94763846153846165</v>
      </c>
      <c r="AL148" s="40"/>
    </row>
    <row r="149" spans="1:38" ht="12.75" x14ac:dyDescent="0.2">
      <c r="A149" s="25"/>
      <c r="B149" s="41">
        <f t="shared" ref="B149:B166" si="33">B148+450</f>
        <v>48600</v>
      </c>
      <c r="C149" s="49" t="s">
        <v>147</v>
      </c>
      <c r="D149" s="28">
        <v>45707</v>
      </c>
      <c r="E149" s="27" t="s">
        <v>37</v>
      </c>
      <c r="F149" s="29"/>
      <c r="G149" s="30">
        <f t="shared" si="32"/>
        <v>10876</v>
      </c>
      <c r="H149" s="31">
        <f>CE!C144</f>
        <v>0.94779999999999998</v>
      </c>
      <c r="I149" s="32">
        <f>CE!G144</f>
        <v>536</v>
      </c>
      <c r="J149" s="33">
        <f>GE!C144</f>
        <v>0.94750000000000001</v>
      </c>
      <c r="K149" s="32">
        <f>GE!G144</f>
        <v>609</v>
      </c>
      <c r="L149" s="33">
        <f>ME!C144</f>
        <v>0.97299999999999998</v>
      </c>
      <c r="M149" s="32">
        <f>ME!G144</f>
        <v>630</v>
      </c>
      <c r="N149" s="33">
        <f>SAMPLE!C144</f>
        <v>0.96060000000000001</v>
      </c>
      <c r="O149" s="32">
        <f>SAMPLE!G144</f>
        <v>609</v>
      </c>
      <c r="P149" s="33">
        <f>'Sheldon Elementary'!C144</f>
        <v>0.96779999999999999</v>
      </c>
      <c r="Q149" s="32">
        <f>'Sheldon Elementary'!D144</f>
        <v>590</v>
      </c>
      <c r="R149" s="33">
        <f>SLE!C144</f>
        <v>0.94020000000000004</v>
      </c>
      <c r="S149" s="32">
        <f>SLE!G144</f>
        <v>619</v>
      </c>
      <c r="T149" s="33">
        <f>CECA!C144</f>
        <v>0.91959999999999997</v>
      </c>
      <c r="U149" s="32">
        <f>CECA!G144</f>
        <v>571</v>
      </c>
      <c r="V149" s="33">
        <f>SECA!C144</f>
        <v>0.90069999999999995</v>
      </c>
      <c r="W149" s="32">
        <f>SECA!G144</f>
        <v>563</v>
      </c>
      <c r="X149" s="33">
        <f>KHS!C144</f>
        <v>0.94830000000000003</v>
      </c>
      <c r="Y149" s="34">
        <f>KHS!G144</f>
        <v>2590</v>
      </c>
      <c r="Z149" s="33">
        <f>'9TH CAMP'!C144</f>
        <v>0.95709999999999995</v>
      </c>
      <c r="AA149" s="34">
        <f>'9TH CAMP'!G144</f>
        <v>630</v>
      </c>
      <c r="AB149" s="33">
        <f>ECHS!C144</f>
        <v>0.9889</v>
      </c>
      <c r="AC149" s="32">
        <f>ECHS!G144</f>
        <v>449</v>
      </c>
      <c r="AD149" s="33">
        <f>KMS!C144</f>
        <v>0.96530000000000005</v>
      </c>
      <c r="AE149" s="32">
        <f>KMS!G144</f>
        <v>1353</v>
      </c>
      <c r="AF149" s="33">
        <f>NMS!C144</f>
        <v>0.94330000000000003</v>
      </c>
      <c r="AG149" s="32">
        <f>NMS!G144</f>
        <v>1040</v>
      </c>
      <c r="AH149" s="36">
        <f>Highpoint!C144</f>
        <v>0</v>
      </c>
      <c r="AI149" s="37">
        <f>KASE!D141</f>
        <v>87</v>
      </c>
      <c r="AJ149" s="38"/>
      <c r="AK149" s="39">
        <f t="shared" si="13"/>
        <v>0.95077692307692296</v>
      </c>
      <c r="AL149" s="40"/>
    </row>
    <row r="150" spans="1:38" ht="12.75" x14ac:dyDescent="0.2">
      <c r="A150" s="25"/>
      <c r="B150" s="41">
        <f t="shared" si="33"/>
        <v>49050</v>
      </c>
      <c r="C150" s="49" t="s">
        <v>148</v>
      </c>
      <c r="D150" s="28">
        <v>45708</v>
      </c>
      <c r="E150" s="27" t="s">
        <v>39</v>
      </c>
      <c r="F150" s="29"/>
      <c r="G150" s="30">
        <f t="shared" si="32"/>
        <v>10881</v>
      </c>
      <c r="H150" s="31">
        <f>CE!C145</f>
        <v>0.88619999999999999</v>
      </c>
      <c r="I150" s="32">
        <f>CE!G145</f>
        <v>536</v>
      </c>
      <c r="J150" s="33">
        <f>GE!C145</f>
        <v>0.89490000000000003</v>
      </c>
      <c r="K150" s="32">
        <f>GE!G145</f>
        <v>609</v>
      </c>
      <c r="L150" s="33">
        <f>ME!C145</f>
        <v>0.87460000000000004</v>
      </c>
      <c r="M150" s="32">
        <f>ME!G145</f>
        <v>630</v>
      </c>
      <c r="N150" s="33">
        <f>SAMPLE!C145</f>
        <v>0.86739999999999995</v>
      </c>
      <c r="O150" s="32">
        <f>SAMPLE!G145</f>
        <v>611</v>
      </c>
      <c r="P150" s="33">
        <f>'Sheldon Elementary'!C145</f>
        <v>0.92030000000000001</v>
      </c>
      <c r="Q150" s="32">
        <f>'Sheldon Elementary'!D145</f>
        <v>590</v>
      </c>
      <c r="R150" s="33">
        <f>SLE!C145</f>
        <v>0.94350000000000001</v>
      </c>
      <c r="S150" s="32">
        <f>SLE!G145</f>
        <v>619</v>
      </c>
      <c r="T150" s="33">
        <f>CECA!C145</f>
        <v>0.8538</v>
      </c>
      <c r="U150" s="32">
        <f>CECA!G145</f>
        <v>571</v>
      </c>
      <c r="V150" s="33">
        <f>SECA!C145</f>
        <v>0.81220000000000003</v>
      </c>
      <c r="W150" s="32">
        <f>SECA!G145</f>
        <v>563</v>
      </c>
      <c r="X150" s="33">
        <f>KHS!C145</f>
        <v>0.91900000000000004</v>
      </c>
      <c r="Y150" s="34">
        <f>KHS!G145</f>
        <v>2594</v>
      </c>
      <c r="Z150" s="33">
        <f>'9TH CAMP'!C144</f>
        <v>0.95709999999999995</v>
      </c>
      <c r="AA150" s="34">
        <f>'9TH CAMP'!G145</f>
        <v>631</v>
      </c>
      <c r="AB150" s="33">
        <f>ECHS!C145</f>
        <v>0.96660000000000001</v>
      </c>
      <c r="AC150" s="32">
        <f>ECHS!G145</f>
        <v>449</v>
      </c>
      <c r="AD150" s="33">
        <f>KMS!C145</f>
        <v>0.92010000000000003</v>
      </c>
      <c r="AE150" s="32">
        <f>KMS!G145</f>
        <v>1352</v>
      </c>
      <c r="AF150" s="33">
        <f>NMS!C145</f>
        <v>0.88160000000000005</v>
      </c>
      <c r="AG150" s="32">
        <f>NMS!G145</f>
        <v>1040</v>
      </c>
      <c r="AH150" s="36">
        <f>Highpoint!C145</f>
        <v>0</v>
      </c>
      <c r="AI150" s="37">
        <f>KASE!D142</f>
        <v>86</v>
      </c>
      <c r="AJ150" s="38"/>
      <c r="AK150" s="39">
        <f t="shared" si="13"/>
        <v>0.89979230769230767</v>
      </c>
      <c r="AL150" s="40"/>
    </row>
    <row r="151" spans="1:38" ht="12.75" x14ac:dyDescent="0.2">
      <c r="A151" s="25"/>
      <c r="B151" s="41">
        <f t="shared" si="33"/>
        <v>49500</v>
      </c>
      <c r="C151" s="49" t="s">
        <v>149</v>
      </c>
      <c r="D151" s="28">
        <v>45709</v>
      </c>
      <c r="E151" s="27" t="s">
        <v>41</v>
      </c>
      <c r="F151" s="29"/>
      <c r="G151" s="30">
        <f t="shared" si="32"/>
        <v>10873</v>
      </c>
      <c r="H151" s="31">
        <f>CE!C146</f>
        <v>0.93100000000000005</v>
      </c>
      <c r="I151" s="32">
        <f>CE!G146</f>
        <v>536</v>
      </c>
      <c r="J151" s="33">
        <f>GE!C146</f>
        <v>0.91949999999999998</v>
      </c>
      <c r="K151" s="32">
        <f>GE!G146</f>
        <v>609</v>
      </c>
      <c r="L151" s="33">
        <f>ME!C146</f>
        <v>0.92679999999999996</v>
      </c>
      <c r="M151" s="32">
        <f>ME!G146</f>
        <v>630</v>
      </c>
      <c r="N151" s="33">
        <f>SAMPLE!C146</f>
        <v>0.93759999999999999</v>
      </c>
      <c r="O151" s="32">
        <f>SAMPLE!G146</f>
        <v>609</v>
      </c>
      <c r="P151" s="33">
        <f>'Sheldon Elementary'!C146</f>
        <v>0.95420000000000005</v>
      </c>
      <c r="Q151" s="32">
        <f>'Sheldon Elementary'!D146</f>
        <v>590</v>
      </c>
      <c r="R151" s="33">
        <f>SLE!C146</f>
        <v>0.92049999999999998</v>
      </c>
      <c r="S151" s="32">
        <f>SLE!G146</f>
        <v>616</v>
      </c>
      <c r="T151" s="33">
        <f>CECA!C146</f>
        <v>0.90400000000000003</v>
      </c>
      <c r="U151" s="32">
        <f>CECA!G146</f>
        <v>571</v>
      </c>
      <c r="V151" s="33">
        <f>SECA!C146</f>
        <v>0.85589999999999999</v>
      </c>
      <c r="W151" s="32">
        <f>SECA!G146</f>
        <v>563</v>
      </c>
      <c r="X151" s="33">
        <f>KHS!C146</f>
        <v>0.94679999999999997</v>
      </c>
      <c r="Y151" s="34">
        <f>KHS!G146</f>
        <v>2593</v>
      </c>
      <c r="Z151" s="33">
        <f>'9TH CAMP'!C146</f>
        <v>0.90810000000000002</v>
      </c>
      <c r="AA151" s="34">
        <f>'9TH CAMP'!G146</f>
        <v>631</v>
      </c>
      <c r="AB151" s="33">
        <f>ECHS!C146</f>
        <v>0.94869999999999999</v>
      </c>
      <c r="AC151" s="32">
        <f>ECHS!G146</f>
        <v>448</v>
      </c>
      <c r="AD151" s="33">
        <f>KMS!C146</f>
        <v>0.94079999999999997</v>
      </c>
      <c r="AE151" s="32">
        <f>KMS!G146</f>
        <v>1352</v>
      </c>
      <c r="AF151" s="33">
        <f>NMS!C146</f>
        <v>0.94320000000000004</v>
      </c>
      <c r="AG151" s="32">
        <f>NMS!G146</f>
        <v>1040</v>
      </c>
      <c r="AH151" s="36">
        <f>Highpoint!C146</f>
        <v>0</v>
      </c>
      <c r="AI151" s="37">
        <f>KASE!D143</f>
        <v>85</v>
      </c>
      <c r="AJ151" s="38"/>
      <c r="AK151" s="39">
        <f t="shared" si="13"/>
        <v>0.92593076923076911</v>
      </c>
      <c r="AL151" s="40"/>
    </row>
    <row r="152" spans="1:38" ht="12.75" x14ac:dyDescent="0.2">
      <c r="A152" s="25"/>
      <c r="B152" s="41">
        <f t="shared" si="33"/>
        <v>49950</v>
      </c>
      <c r="C152" s="49" t="s">
        <v>150</v>
      </c>
      <c r="D152" s="28">
        <v>45712</v>
      </c>
      <c r="E152" s="27" t="s">
        <v>33</v>
      </c>
      <c r="F152" s="29"/>
      <c r="G152" s="30">
        <f t="shared" si="32"/>
        <v>10870</v>
      </c>
      <c r="H152" s="31">
        <f>CE!C147</f>
        <v>0.93459999999999999</v>
      </c>
      <c r="I152" s="32">
        <f>CE!G147</f>
        <v>535</v>
      </c>
      <c r="J152" s="33">
        <f>GE!C147</f>
        <v>0.94740000000000002</v>
      </c>
      <c r="K152" s="32">
        <f>GE!G147</f>
        <v>608</v>
      </c>
      <c r="L152" s="33">
        <f>ME!C147</f>
        <v>0.9153</v>
      </c>
      <c r="M152" s="32">
        <f>ME!G147</f>
        <v>626</v>
      </c>
      <c r="N152" s="33">
        <f>SAMPLE!C147</f>
        <v>0.95569999999999999</v>
      </c>
      <c r="O152" s="32">
        <f>SAMPLE!G147</f>
        <v>609</v>
      </c>
      <c r="P152" s="33">
        <f>'Sheldon Elementary'!C147</f>
        <v>0.9254</v>
      </c>
      <c r="Q152" s="32">
        <f>'Sheldon Elementary'!D147</f>
        <v>590</v>
      </c>
      <c r="R152" s="33">
        <f>SLE!C147</f>
        <v>0.94330000000000003</v>
      </c>
      <c r="S152" s="32">
        <f>SLE!G147</f>
        <v>617</v>
      </c>
      <c r="T152" s="33">
        <f>CECA!C147</f>
        <v>0.94730000000000003</v>
      </c>
      <c r="U152" s="32">
        <f>CECA!G147</f>
        <v>568</v>
      </c>
      <c r="V152" s="33">
        <f>SECA!C147</f>
        <v>0.86850000000000005</v>
      </c>
      <c r="W152" s="32">
        <f>SECA!G147</f>
        <v>565</v>
      </c>
      <c r="X152" s="33">
        <f>KHS!C147</f>
        <v>0.93269999999999997</v>
      </c>
      <c r="Y152" s="34">
        <f>KHS!G147</f>
        <v>2599</v>
      </c>
      <c r="Z152" s="33">
        <f>'9TH CAMP'!C147</f>
        <v>0.9304</v>
      </c>
      <c r="AA152" s="34">
        <f>'9TH CAMP'!G147</f>
        <v>632</v>
      </c>
      <c r="AB152" s="33">
        <f>ECHS!C147</f>
        <v>0.95760000000000001</v>
      </c>
      <c r="AC152" s="32">
        <f>ECHS!G147</f>
        <v>448</v>
      </c>
      <c r="AD152" s="33">
        <f>KMS!C147</f>
        <v>0.9526</v>
      </c>
      <c r="AE152" s="32">
        <f>KMS!G147</f>
        <v>1350</v>
      </c>
      <c r="AF152" s="33">
        <f>NMS!C147</f>
        <v>0.94320000000000004</v>
      </c>
      <c r="AG152" s="32">
        <f>NMS!G147</f>
        <v>1039</v>
      </c>
      <c r="AH152" s="36">
        <f>Highpoint!C147</f>
        <v>0</v>
      </c>
      <c r="AI152" s="37">
        <f>KASE!D144</f>
        <v>84</v>
      </c>
      <c r="AJ152" s="38"/>
      <c r="AK152" s="39">
        <f t="shared" si="13"/>
        <v>0.93492307692307697</v>
      </c>
      <c r="AL152" s="40"/>
    </row>
    <row r="153" spans="1:38" ht="12.75" x14ac:dyDescent="0.2">
      <c r="A153" s="25"/>
      <c r="B153" s="41">
        <f t="shared" si="33"/>
        <v>50400</v>
      </c>
      <c r="C153" s="49" t="s">
        <v>151</v>
      </c>
      <c r="D153" s="28">
        <v>45713</v>
      </c>
      <c r="E153" s="27" t="s">
        <v>35</v>
      </c>
      <c r="F153" s="29"/>
      <c r="G153" s="30">
        <f t="shared" si="32"/>
        <v>10857</v>
      </c>
      <c r="H153" s="31">
        <f>CE!C148</f>
        <v>0.93679999999999997</v>
      </c>
      <c r="I153" s="32">
        <f>CE!G148</f>
        <v>538</v>
      </c>
      <c r="J153" s="33">
        <f>GE!C148</f>
        <v>0.9556</v>
      </c>
      <c r="K153" s="32">
        <f>GE!G148</f>
        <v>608</v>
      </c>
      <c r="L153" s="33">
        <f>ME!C148</f>
        <v>0.94730000000000003</v>
      </c>
      <c r="M153" s="32">
        <f>ME!G148</f>
        <v>626</v>
      </c>
      <c r="N153" s="33">
        <f>SAMPLE!C148</f>
        <v>0.97199999999999998</v>
      </c>
      <c r="O153" s="32">
        <f>SAMPLE!G148</f>
        <v>607</v>
      </c>
      <c r="P153" s="33">
        <f>'Sheldon Elementary'!C148</f>
        <v>0.96609999999999996</v>
      </c>
      <c r="Q153" s="32">
        <f>'Sheldon Elementary'!D148</f>
        <v>590</v>
      </c>
      <c r="R153" s="33">
        <f>SLE!C148</f>
        <v>0.94130000000000003</v>
      </c>
      <c r="S153" s="32">
        <f>SLE!G148</f>
        <v>613</v>
      </c>
      <c r="T153" s="33">
        <f>CECA!C148</f>
        <v>0.93600000000000005</v>
      </c>
      <c r="U153" s="32">
        <f>CECA!G148</f>
        <v>567</v>
      </c>
      <c r="V153" s="33">
        <f>SECA!C148</f>
        <v>0.877</v>
      </c>
      <c r="W153" s="32">
        <f>SECA!G148</f>
        <v>565</v>
      </c>
      <c r="X153" s="33">
        <f>KHS!C148</f>
        <v>0.95879999999999999</v>
      </c>
      <c r="Y153" s="34">
        <f>KHS!G148</f>
        <v>2600</v>
      </c>
      <c r="Z153" s="33">
        <f>'9TH CAMP'!C148</f>
        <v>0.95730000000000004</v>
      </c>
      <c r="AA153" s="34">
        <f>'9TH CAMP'!G148</f>
        <v>632</v>
      </c>
      <c r="AB153" s="33">
        <f>ECHS!C148</f>
        <v>0.97319999999999995</v>
      </c>
      <c r="AC153" s="32">
        <f>ECHS!G148</f>
        <v>448</v>
      </c>
      <c r="AD153" s="33">
        <f>KMS!C148</f>
        <v>0.95850000000000002</v>
      </c>
      <c r="AE153" s="32">
        <f>KMS!G148</f>
        <v>1350</v>
      </c>
      <c r="AF153" s="33">
        <f>NMS!C148</f>
        <v>0.95530000000000004</v>
      </c>
      <c r="AG153" s="32">
        <f>NMS!G148</f>
        <v>1029</v>
      </c>
      <c r="AH153" s="36">
        <f>Highpoint!C148</f>
        <v>0</v>
      </c>
      <c r="AI153" s="37">
        <f>KASE!D145</f>
        <v>84</v>
      </c>
      <c r="AJ153" s="38"/>
      <c r="AK153" s="39">
        <f t="shared" si="13"/>
        <v>0.94886153846153831</v>
      </c>
      <c r="AL153" s="40"/>
    </row>
    <row r="154" spans="1:38" ht="12.75" x14ac:dyDescent="0.2">
      <c r="A154" s="25"/>
      <c r="B154" s="41">
        <f t="shared" si="33"/>
        <v>50850</v>
      </c>
      <c r="C154" s="49" t="s">
        <v>152</v>
      </c>
      <c r="D154" s="28">
        <v>45714</v>
      </c>
      <c r="E154" s="27" t="s">
        <v>37</v>
      </c>
      <c r="F154" s="29"/>
      <c r="G154" s="30">
        <f t="shared" si="32"/>
        <v>10858</v>
      </c>
      <c r="H154" s="31">
        <f>CE!C149</f>
        <v>0.95889999999999997</v>
      </c>
      <c r="I154" s="32">
        <f>CE!G149</f>
        <v>535</v>
      </c>
      <c r="J154" s="33">
        <f>GE!C149</f>
        <v>0.95720000000000005</v>
      </c>
      <c r="K154" s="32">
        <f>GE!G149</f>
        <v>608</v>
      </c>
      <c r="L154" s="33">
        <f>ME!C149</f>
        <v>0.94089999999999996</v>
      </c>
      <c r="M154" s="32">
        <f>ME!G149</f>
        <v>626</v>
      </c>
      <c r="N154" s="33">
        <f>SAMPLE!C149</f>
        <v>0.96379999999999999</v>
      </c>
      <c r="O154" s="32">
        <f>SAMPLE!G149</f>
        <v>608</v>
      </c>
      <c r="P154" s="33">
        <f>'Sheldon Elementary'!C149</f>
        <v>0.95750000000000002</v>
      </c>
      <c r="Q154" s="32">
        <f>'Sheldon Elementary'!D149</f>
        <v>588</v>
      </c>
      <c r="R154" s="33">
        <f>SLE!C149</f>
        <v>0.96740000000000004</v>
      </c>
      <c r="S154" s="32">
        <f>SLE!G149</f>
        <v>613</v>
      </c>
      <c r="T154" s="33">
        <f>CECA!C149</f>
        <v>0.91979999999999995</v>
      </c>
      <c r="U154" s="32">
        <f>CECA!G149</f>
        <v>571</v>
      </c>
      <c r="V154" s="33">
        <f>SECA!C149</f>
        <v>0.8931</v>
      </c>
      <c r="W154" s="32">
        <f>SECA!G149</f>
        <v>565</v>
      </c>
      <c r="X154" s="33">
        <f>KHS!C149</f>
        <v>0.9546</v>
      </c>
      <c r="Y154" s="34">
        <f>KHS!G149</f>
        <v>2597</v>
      </c>
      <c r="Z154" s="33">
        <f>'9TH CAMP'!C149</f>
        <v>0.92869999999999997</v>
      </c>
      <c r="AA154" s="34">
        <f>'9TH CAMP'!G149</f>
        <v>631</v>
      </c>
      <c r="AB154" s="33">
        <f>ECHS!C149</f>
        <v>0.94869999999999999</v>
      </c>
      <c r="AC154" s="32">
        <f>ECHS!G149</f>
        <v>448</v>
      </c>
      <c r="AD154" s="33">
        <f>KMS!C149</f>
        <v>0.94599999999999995</v>
      </c>
      <c r="AE154" s="32">
        <f>KMS!G149</f>
        <v>1358</v>
      </c>
      <c r="AF154" s="33">
        <f>NMS!C149</f>
        <v>0.94359999999999999</v>
      </c>
      <c r="AG154" s="32">
        <f>NMS!G149</f>
        <v>1028</v>
      </c>
      <c r="AH154" s="36">
        <f>Highpoint!C149</f>
        <v>0</v>
      </c>
      <c r="AI154" s="37">
        <f>KASE!D146</f>
        <v>82</v>
      </c>
      <c r="AJ154" s="38"/>
      <c r="AK154" s="39">
        <f t="shared" si="13"/>
        <v>0.94463076923076916</v>
      </c>
      <c r="AL154" s="40"/>
    </row>
    <row r="155" spans="1:38" ht="12.75" x14ac:dyDescent="0.2">
      <c r="A155" s="25"/>
      <c r="B155" s="41">
        <f t="shared" si="33"/>
        <v>51300</v>
      </c>
      <c r="C155" s="49" t="s">
        <v>153</v>
      </c>
      <c r="D155" s="28">
        <v>45715</v>
      </c>
      <c r="E155" s="27" t="s">
        <v>39</v>
      </c>
      <c r="F155" s="29"/>
      <c r="G155" s="30">
        <f t="shared" si="32"/>
        <v>10859</v>
      </c>
      <c r="H155" s="31">
        <f>CE!C150</f>
        <v>0.95889999999999997</v>
      </c>
      <c r="I155" s="32">
        <f>CE!G150</f>
        <v>535</v>
      </c>
      <c r="J155" s="33">
        <f>GE!C150</f>
        <v>0.9506</v>
      </c>
      <c r="K155" s="32">
        <f>GE!G150</f>
        <v>607</v>
      </c>
      <c r="L155" s="33">
        <f>ME!C150</f>
        <v>0.95530000000000004</v>
      </c>
      <c r="M155" s="32">
        <f>ME!G150</f>
        <v>626</v>
      </c>
      <c r="N155" s="33">
        <f>SAMPLE!C150</f>
        <v>0.94740000000000002</v>
      </c>
      <c r="O155" s="32">
        <f>SAMPLE!G150</f>
        <v>608</v>
      </c>
      <c r="P155" s="33">
        <f>'Sheldon Elementary'!C150</f>
        <v>0.95079999999999998</v>
      </c>
      <c r="Q155" s="32">
        <f>'Sheldon Elementary'!D150</f>
        <v>590</v>
      </c>
      <c r="R155" s="33">
        <f>SLE!C150</f>
        <v>0.95430000000000004</v>
      </c>
      <c r="S155" s="32">
        <f>SLE!G150</f>
        <v>613</v>
      </c>
      <c r="T155" s="33">
        <f>CECA!C150</f>
        <v>0.91759999999999997</v>
      </c>
      <c r="U155" s="32">
        <f>CECA!G150</f>
        <v>571</v>
      </c>
      <c r="V155" s="33">
        <f>SECA!C150</f>
        <v>0.89949999999999997</v>
      </c>
      <c r="W155" s="32">
        <f>SECA!G150</f>
        <v>563</v>
      </c>
      <c r="X155" s="33">
        <f>KHS!C150</f>
        <v>0.94650000000000001</v>
      </c>
      <c r="Y155" s="34">
        <f>KHS!G150</f>
        <v>2597</v>
      </c>
      <c r="Z155" s="33">
        <f>'9TH CAMP'!C150</f>
        <v>0.93130000000000002</v>
      </c>
      <c r="AA155" s="34">
        <f>'9TH CAMP'!G150</f>
        <v>631</v>
      </c>
      <c r="AB155" s="33">
        <f>ECHS!C150</f>
        <v>0.94869999999999999</v>
      </c>
      <c r="AC155" s="32">
        <f>ECHS!G150</f>
        <v>448</v>
      </c>
      <c r="AD155" s="33">
        <f>KMS!C150</f>
        <v>0.94850000000000001</v>
      </c>
      <c r="AE155" s="32">
        <f>KMS!G150</f>
        <v>1358</v>
      </c>
      <c r="AF155" s="33">
        <f>NMS!C150</f>
        <v>0.9466</v>
      </c>
      <c r="AG155" s="32">
        <f>NMS!G150</f>
        <v>1029</v>
      </c>
      <c r="AH155" s="36">
        <f>Highpoint!C150</f>
        <v>0</v>
      </c>
      <c r="AI155" s="37">
        <f>KASE!D147</f>
        <v>83</v>
      </c>
      <c r="AJ155" s="38"/>
      <c r="AK155" s="39">
        <f t="shared" si="13"/>
        <v>0.9427692307692308</v>
      </c>
      <c r="AL155" s="40"/>
    </row>
    <row r="156" spans="1:38" ht="12.75" x14ac:dyDescent="0.2">
      <c r="A156" s="25"/>
      <c r="B156" s="41">
        <f t="shared" si="33"/>
        <v>51750</v>
      </c>
      <c r="C156" s="49" t="s">
        <v>154</v>
      </c>
      <c r="D156" s="28">
        <v>45716</v>
      </c>
      <c r="E156" s="27" t="s">
        <v>41</v>
      </c>
      <c r="F156" s="29"/>
      <c r="G156" s="30">
        <f t="shared" si="32"/>
        <v>10858</v>
      </c>
      <c r="H156" s="31">
        <f>CE!C151</f>
        <v>0.95140000000000002</v>
      </c>
      <c r="I156" s="32">
        <f>CE!G151</f>
        <v>535</v>
      </c>
      <c r="J156" s="33">
        <f>GE!C151</f>
        <v>0.93569999999999998</v>
      </c>
      <c r="K156" s="32">
        <f>GE!G151</f>
        <v>607</v>
      </c>
      <c r="L156" s="33">
        <f>ME!C151</f>
        <v>0.92490000000000006</v>
      </c>
      <c r="M156" s="32">
        <f>ME!G151</f>
        <v>626</v>
      </c>
      <c r="N156" s="33">
        <f>SAMPLE!C151</f>
        <v>0.93569999999999998</v>
      </c>
      <c r="O156" s="32">
        <f>SAMPLE!G151</f>
        <v>607</v>
      </c>
      <c r="P156" s="33">
        <f>'Sheldon Elementary'!C151</f>
        <v>0.94069999999999998</v>
      </c>
      <c r="Q156" s="32">
        <f>'Sheldon Elementary'!D151</f>
        <v>590</v>
      </c>
      <c r="R156" s="33">
        <f>SLE!C151</f>
        <v>0.9103</v>
      </c>
      <c r="S156" s="32">
        <f>SLE!G151</f>
        <v>613</v>
      </c>
      <c r="T156" s="33">
        <f>CECA!C151</f>
        <v>0.92869999999999997</v>
      </c>
      <c r="U156" s="32">
        <f>CECA!G151</f>
        <v>571</v>
      </c>
      <c r="V156" s="33">
        <f>SECA!C151</f>
        <v>0.87319999999999998</v>
      </c>
      <c r="W156" s="32">
        <f>SECA!G151</f>
        <v>563</v>
      </c>
      <c r="X156" s="33">
        <f>KHS!C151</f>
        <v>0.93530000000000002</v>
      </c>
      <c r="Y156" s="34">
        <f>KHS!G151</f>
        <v>2597</v>
      </c>
      <c r="Z156" s="33">
        <f>'9TH CAMP'!C151</f>
        <v>0.8921</v>
      </c>
      <c r="AA156" s="34">
        <f>'9TH CAMP'!G151</f>
        <v>630</v>
      </c>
      <c r="AB156" s="33">
        <f>ECHS!C151</f>
        <v>0.94420000000000004</v>
      </c>
      <c r="AC156" s="32">
        <f>ECHS!G151</f>
        <v>448</v>
      </c>
      <c r="AD156" s="33">
        <f>KMS!C151</f>
        <v>0.9415</v>
      </c>
      <c r="AE156" s="32">
        <f>KMS!G151</f>
        <v>1358</v>
      </c>
      <c r="AF156" s="33">
        <f>NMS!C151</f>
        <v>0.93589999999999995</v>
      </c>
      <c r="AG156" s="32">
        <f>NMS!G151</f>
        <v>1030</v>
      </c>
      <c r="AH156" s="36">
        <f>Highpoint!C151</f>
        <v>0</v>
      </c>
      <c r="AI156" s="37">
        <f>KASE!D148</f>
        <v>83</v>
      </c>
      <c r="AJ156" s="38"/>
      <c r="AK156" s="39">
        <f t="shared" si="13"/>
        <v>0.92689230769230768</v>
      </c>
      <c r="AL156" s="40"/>
    </row>
    <row r="157" spans="1:38" ht="12.75" x14ac:dyDescent="0.2">
      <c r="A157" s="25"/>
      <c r="B157" s="41">
        <f t="shared" si="33"/>
        <v>52200</v>
      </c>
      <c r="C157" s="49" t="s">
        <v>155</v>
      </c>
      <c r="D157" s="28">
        <v>45719</v>
      </c>
      <c r="E157" s="27" t="s">
        <v>33</v>
      </c>
      <c r="F157" s="29"/>
      <c r="G157" s="30">
        <f t="shared" si="32"/>
        <v>10863</v>
      </c>
      <c r="H157" s="31">
        <f>CE!C152</f>
        <v>0.93659999999999999</v>
      </c>
      <c r="I157" s="32">
        <f>CE!G152</f>
        <v>536</v>
      </c>
      <c r="J157" s="33">
        <f>GE!C152</f>
        <v>0.95369999999999999</v>
      </c>
      <c r="K157" s="32">
        <f>GE!G152</f>
        <v>605</v>
      </c>
      <c r="L157" s="33">
        <f>ME!C152</f>
        <v>0.94089999999999996</v>
      </c>
      <c r="M157" s="32">
        <f>ME!G152</f>
        <v>625</v>
      </c>
      <c r="N157" s="33">
        <f>SAMPLE!C152</f>
        <v>0.94399999999999995</v>
      </c>
      <c r="O157" s="32">
        <f>SAMPLE!G152</f>
        <v>607</v>
      </c>
      <c r="P157" s="33">
        <f>'Sheldon Elementary'!C152</f>
        <v>0.93369999999999997</v>
      </c>
      <c r="Q157" s="32">
        <f>'Sheldon Elementary'!D152</f>
        <v>588</v>
      </c>
      <c r="R157" s="33">
        <f>SLE!C152</f>
        <v>0.93030000000000002</v>
      </c>
      <c r="S157" s="32">
        <f>SLE!G152</f>
        <v>617</v>
      </c>
      <c r="T157" s="33">
        <f>CECA!C152</f>
        <v>0.91110000000000002</v>
      </c>
      <c r="U157" s="32">
        <f>CECA!G152</f>
        <v>572</v>
      </c>
      <c r="V157" s="33">
        <f>SECA!C152</f>
        <v>0.9294</v>
      </c>
      <c r="W157" s="32">
        <f>SECA!G152</f>
        <v>566</v>
      </c>
      <c r="X157" s="33">
        <f>KHS!C152</f>
        <v>0.9214</v>
      </c>
      <c r="Y157" s="34">
        <f>KHS!G152</f>
        <v>2596</v>
      </c>
      <c r="Z157" s="33">
        <f>'9TH CAMP'!C152</f>
        <v>0.90049999999999997</v>
      </c>
      <c r="AA157" s="34">
        <f>'9TH CAMP'!G152</f>
        <v>633</v>
      </c>
      <c r="AB157" s="33">
        <f>ECHS!C152</f>
        <v>0.93740000000000001</v>
      </c>
      <c r="AC157" s="32">
        <f>ECHS!G152</f>
        <v>447</v>
      </c>
      <c r="AD157" s="33">
        <f>KMS!C152</f>
        <v>0.94230000000000003</v>
      </c>
      <c r="AE157" s="32">
        <f>KMS!G152</f>
        <v>1358</v>
      </c>
      <c r="AF157" s="33">
        <f>NMS!C152</f>
        <v>0.94169999999999998</v>
      </c>
      <c r="AG157" s="32">
        <f>NMS!G152</f>
        <v>1030</v>
      </c>
      <c r="AH157" s="36">
        <f>Highpoint!C152</f>
        <v>0</v>
      </c>
      <c r="AI157" s="37">
        <f>KASE!D149</f>
        <v>83</v>
      </c>
      <c r="AJ157" s="38"/>
      <c r="AK157" s="39">
        <f t="shared" si="13"/>
        <v>0.93253846153846132</v>
      </c>
      <c r="AL157" s="40"/>
    </row>
    <row r="158" spans="1:38" ht="12.75" x14ac:dyDescent="0.2">
      <c r="A158" s="25"/>
      <c r="B158" s="41">
        <f t="shared" si="33"/>
        <v>52650</v>
      </c>
      <c r="C158" s="49" t="s">
        <v>156</v>
      </c>
      <c r="D158" s="28">
        <v>45720</v>
      </c>
      <c r="E158" s="27" t="s">
        <v>35</v>
      </c>
      <c r="F158" s="29"/>
      <c r="G158" s="30">
        <f t="shared" si="32"/>
        <v>10850</v>
      </c>
      <c r="H158" s="31">
        <f>CE!C153</f>
        <v>0.91790000000000005</v>
      </c>
      <c r="I158" s="32">
        <f>CE!G153</f>
        <v>536</v>
      </c>
      <c r="J158" s="33">
        <f>GE!C153</f>
        <v>0.94550000000000001</v>
      </c>
      <c r="K158" s="32">
        <f>GE!G153</f>
        <v>605</v>
      </c>
      <c r="L158" s="33">
        <f>ME!C153</f>
        <v>0.8448</v>
      </c>
      <c r="M158" s="32">
        <f>ME!G153</f>
        <v>625</v>
      </c>
      <c r="N158" s="33">
        <f>SAMPLE!C153</f>
        <v>0.95069999999999999</v>
      </c>
      <c r="O158" s="32">
        <f>SAMPLE!G153</f>
        <v>608</v>
      </c>
      <c r="P158" s="33">
        <f>'Sheldon Elementary'!C153</f>
        <v>0.96430000000000005</v>
      </c>
      <c r="Q158" s="32">
        <f>'Sheldon Elementary'!D153</f>
        <v>588</v>
      </c>
      <c r="R158" s="33">
        <f>SLE!C153</f>
        <v>0.91569999999999996</v>
      </c>
      <c r="S158" s="32">
        <f>SLE!G153</f>
        <v>617</v>
      </c>
      <c r="T158" s="33">
        <f>CECA!C153</f>
        <v>0.79139999999999999</v>
      </c>
      <c r="U158" s="32">
        <f>CECA!G153</f>
        <v>572</v>
      </c>
      <c r="V158" s="33">
        <f>SECA!C153</f>
        <v>0.90880000000000005</v>
      </c>
      <c r="W158" s="32">
        <f>SECA!G153</f>
        <v>566</v>
      </c>
      <c r="X158" s="33">
        <f>KHS!C153</f>
        <v>0.93479999999999996</v>
      </c>
      <c r="Y158" s="34">
        <f>KHS!G153</f>
        <v>2594</v>
      </c>
      <c r="Z158" s="33">
        <f>'9TH CAMP'!C153</f>
        <v>0.86929999999999996</v>
      </c>
      <c r="AA158" s="34">
        <f>'9TH CAMP'!G153</f>
        <v>635</v>
      </c>
      <c r="AB158" s="33">
        <f>ECHS!C153</f>
        <v>0.93530000000000002</v>
      </c>
      <c r="AC158" s="32">
        <f>ECHS!G153</f>
        <v>448</v>
      </c>
      <c r="AD158" s="33">
        <f>KMS!C153</f>
        <v>0.89390000000000003</v>
      </c>
      <c r="AE158" s="32">
        <f>KMS!G153</f>
        <v>1348</v>
      </c>
      <c r="AF158" s="33">
        <f>NMS!C153</f>
        <v>0.96009999999999995</v>
      </c>
      <c r="AG158" s="32">
        <f>NMS!G153</f>
        <v>1028</v>
      </c>
      <c r="AH158" s="36">
        <f>Highpoint!C153</f>
        <v>0</v>
      </c>
      <c r="AI158" s="37">
        <f>KASE!D150</f>
        <v>80</v>
      </c>
      <c r="AJ158" s="38"/>
      <c r="AK158" s="39">
        <f t="shared" si="13"/>
        <v>0.91019230769230763</v>
      </c>
      <c r="AL158" s="40"/>
    </row>
    <row r="159" spans="1:38" ht="12.75" x14ac:dyDescent="0.2">
      <c r="A159" s="25"/>
      <c r="B159" s="41">
        <f t="shared" si="33"/>
        <v>53100</v>
      </c>
      <c r="C159" s="49" t="s">
        <v>157</v>
      </c>
      <c r="D159" s="28">
        <v>45721</v>
      </c>
      <c r="E159" s="27" t="s">
        <v>37</v>
      </c>
      <c r="F159" s="29"/>
      <c r="G159" s="30">
        <f t="shared" si="32"/>
        <v>10843</v>
      </c>
      <c r="H159" s="31">
        <f>CE!C154</f>
        <v>0.9627</v>
      </c>
      <c r="I159" s="32">
        <f>CE!G154</f>
        <v>536</v>
      </c>
      <c r="J159" s="33">
        <f>GE!C154</f>
        <v>0.95860000000000001</v>
      </c>
      <c r="K159" s="32">
        <f>GE!G154</f>
        <v>604</v>
      </c>
      <c r="L159" s="33">
        <f>ME!C154</f>
        <v>0.97109999999999996</v>
      </c>
      <c r="M159" s="32">
        <f>ME!G154</f>
        <v>622</v>
      </c>
      <c r="N159" s="33">
        <f>SAMPLE!C154</f>
        <v>0.95069999999999999</v>
      </c>
      <c r="O159" s="32">
        <f>SAMPLE!G154</f>
        <v>608</v>
      </c>
      <c r="P159" s="33">
        <f>'Sheldon Elementary'!C154</f>
        <v>0.96599999999999997</v>
      </c>
      <c r="Q159" s="32">
        <f>'Sheldon Elementary'!D154</f>
        <v>588</v>
      </c>
      <c r="R159" s="33">
        <f>SLE!C154</f>
        <v>0.95320000000000005</v>
      </c>
      <c r="S159" s="32">
        <f>SLE!G154</f>
        <v>619</v>
      </c>
      <c r="T159" s="33">
        <f>CECA!C154</f>
        <v>0.91090000000000004</v>
      </c>
      <c r="U159" s="32">
        <f>CECA!G154</f>
        <v>571</v>
      </c>
      <c r="V159" s="33">
        <f>SECA!C154</f>
        <v>0.92630000000000001</v>
      </c>
      <c r="W159" s="32">
        <f>SECA!G154</f>
        <v>567</v>
      </c>
      <c r="X159" s="33">
        <f>KHS!C154</f>
        <v>0.94640000000000002</v>
      </c>
      <c r="Y159" s="34">
        <f>KHS!G154</f>
        <v>2592</v>
      </c>
      <c r="Z159" s="33">
        <f>'9TH CAMP'!C154</f>
        <v>0.93859999999999999</v>
      </c>
      <c r="AA159" s="34">
        <f>'9TH CAMP'!G154</f>
        <v>635</v>
      </c>
      <c r="AB159" s="33">
        <f>ECHS!C154</f>
        <v>0.98209999999999997</v>
      </c>
      <c r="AC159" s="32">
        <f>ECHS!G154</f>
        <v>448</v>
      </c>
      <c r="AD159" s="33">
        <f>KMS!C154</f>
        <v>0.94850000000000001</v>
      </c>
      <c r="AE159" s="32">
        <f>KMS!G154</f>
        <v>1346</v>
      </c>
      <c r="AF159" s="33">
        <f>NMS!C154</f>
        <v>0.95430000000000004</v>
      </c>
      <c r="AG159" s="32">
        <f>NMS!G154</f>
        <v>1028</v>
      </c>
      <c r="AH159" s="36">
        <f>Highpoint!C154</f>
        <v>0</v>
      </c>
      <c r="AI159" s="37">
        <f>KASE!D151</f>
        <v>79</v>
      </c>
      <c r="AJ159" s="38"/>
      <c r="AK159" s="39">
        <f t="shared" si="13"/>
        <v>0.95149230769230764</v>
      </c>
      <c r="AL159" s="40"/>
    </row>
    <row r="160" spans="1:38" ht="12.75" x14ac:dyDescent="0.2">
      <c r="A160" s="25"/>
      <c r="B160" s="41">
        <f t="shared" si="33"/>
        <v>53550</v>
      </c>
      <c r="C160" s="49" t="s">
        <v>158</v>
      </c>
      <c r="D160" s="28">
        <v>45722</v>
      </c>
      <c r="E160" s="27" t="s">
        <v>39</v>
      </c>
      <c r="F160" s="29"/>
      <c r="G160" s="30">
        <f t="shared" si="32"/>
        <v>10848</v>
      </c>
      <c r="H160" s="31">
        <f>CE!C155</f>
        <v>0.97589999999999999</v>
      </c>
      <c r="I160" s="32">
        <f>CE!G155</f>
        <v>539</v>
      </c>
      <c r="J160" s="33">
        <f>GE!C155</f>
        <v>0.96189999999999998</v>
      </c>
      <c r="K160" s="32">
        <f>GE!G155</f>
        <v>604</v>
      </c>
      <c r="L160" s="33">
        <f>ME!C155</f>
        <v>0.95509999999999995</v>
      </c>
      <c r="M160" s="32">
        <f>ME!G155</f>
        <v>623</v>
      </c>
      <c r="N160" s="33">
        <f>SAMPLE!C155</f>
        <v>0.97699999999999998</v>
      </c>
      <c r="O160" s="32">
        <f>SAMPLE!G155</f>
        <v>608</v>
      </c>
      <c r="P160" s="33">
        <f>'Sheldon Elementary'!C155</f>
        <v>0.95760000000000001</v>
      </c>
      <c r="Q160" s="32">
        <f>'Sheldon Elementary'!D155</f>
        <v>590</v>
      </c>
      <c r="R160" s="33">
        <f>SLE!C155</f>
        <v>0.98060000000000003</v>
      </c>
      <c r="S160" s="32">
        <f>SLE!G155</f>
        <v>619</v>
      </c>
      <c r="T160" s="33">
        <f>CECA!C155</f>
        <v>0.92320000000000002</v>
      </c>
      <c r="U160" s="32">
        <f>CECA!G155</f>
        <v>571</v>
      </c>
      <c r="V160" s="33">
        <f>SECA!C155</f>
        <v>0.9284</v>
      </c>
      <c r="W160" s="32">
        <f>SECA!G155</f>
        <v>567</v>
      </c>
      <c r="X160" s="33">
        <f>KHS!C155</f>
        <v>0.96760000000000002</v>
      </c>
      <c r="Y160" s="34">
        <f>KHS!G155</f>
        <v>2589</v>
      </c>
      <c r="Z160" s="33">
        <f>'9TH CAMP'!C155</f>
        <v>0.94169999999999998</v>
      </c>
      <c r="AA160" s="34">
        <f>'9TH CAMP'!G155</f>
        <v>635</v>
      </c>
      <c r="AB160" s="33">
        <f>ECHS!C155</f>
        <v>0.96209999999999996</v>
      </c>
      <c r="AC160" s="32">
        <f>ECHS!G155</f>
        <v>448</v>
      </c>
      <c r="AD160" s="33">
        <f>KMS!C155</f>
        <v>0.94710000000000005</v>
      </c>
      <c r="AE160" s="32">
        <f>KMS!G155</f>
        <v>1346</v>
      </c>
      <c r="AF160" s="33">
        <f>NMS!C155</f>
        <v>0.96399999999999997</v>
      </c>
      <c r="AG160" s="32">
        <f>NMS!G155</f>
        <v>1028</v>
      </c>
      <c r="AH160" s="36">
        <f>Highpoint!C155</f>
        <v>0</v>
      </c>
      <c r="AI160" s="37">
        <f>KASE!D152</f>
        <v>81</v>
      </c>
      <c r="AJ160" s="38"/>
      <c r="AK160" s="39">
        <f t="shared" si="13"/>
        <v>0.95709230769230769</v>
      </c>
      <c r="AL160" s="40"/>
    </row>
    <row r="161" spans="1:38" ht="12.75" x14ac:dyDescent="0.2">
      <c r="A161" s="25"/>
      <c r="B161" s="41">
        <f t="shared" si="33"/>
        <v>54000</v>
      </c>
      <c r="C161" s="49" t="s">
        <v>159</v>
      </c>
      <c r="D161" s="28">
        <v>45723</v>
      </c>
      <c r="E161" s="27" t="s">
        <v>41</v>
      </c>
      <c r="F161" s="29"/>
      <c r="G161" s="30">
        <f t="shared" si="32"/>
        <v>10767</v>
      </c>
      <c r="H161" s="31">
        <f>CE!C156</f>
        <v>0.9425</v>
      </c>
      <c r="I161" s="32">
        <f>CE!G156</f>
        <v>539</v>
      </c>
      <c r="J161" s="33">
        <f>GE!C156</f>
        <v>0.94210000000000005</v>
      </c>
      <c r="K161" s="32">
        <f>GE!G156</f>
        <v>604</v>
      </c>
      <c r="L161" s="33">
        <f>ME!C156</f>
        <v>0.94389999999999996</v>
      </c>
      <c r="M161" s="32">
        <f>ME!G156</f>
        <v>624</v>
      </c>
      <c r="N161" s="33">
        <f>SAMPLE!C156</f>
        <v>0.94740000000000002</v>
      </c>
      <c r="O161" s="32">
        <f>SAMPLE!G156</f>
        <v>608</v>
      </c>
      <c r="P161" s="33">
        <f>'Sheldon Elementary'!C156</f>
        <v>0.93730000000000002</v>
      </c>
      <c r="Q161" s="32">
        <f>'Sheldon Elementary'!D156</f>
        <v>590</v>
      </c>
      <c r="R161" s="33">
        <f>SLE!C156</f>
        <v>0.96279999999999999</v>
      </c>
      <c r="S161" s="32">
        <f>SLE!G156</f>
        <v>619</v>
      </c>
      <c r="T161" s="33">
        <f>CECA!C156</f>
        <v>0.88639999999999997</v>
      </c>
      <c r="U161" s="32">
        <f>CECA!G156</f>
        <v>571</v>
      </c>
      <c r="V161" s="33">
        <f>SECA!C156</f>
        <v>0.90239999999999998</v>
      </c>
      <c r="W161" s="32">
        <f>SECA!G156</f>
        <v>567</v>
      </c>
      <c r="X161" s="33">
        <f>KHS!C156</f>
        <v>0.82720000000000005</v>
      </c>
      <c r="Y161" s="34">
        <f>KHS!G156</f>
        <v>2587</v>
      </c>
      <c r="Z161" s="33">
        <f>'9TH CAMP'!C156</f>
        <v>0.87239999999999995</v>
      </c>
      <c r="AA161" s="34">
        <f>'9TH CAMP'!G156</f>
        <v>635</v>
      </c>
      <c r="AB161" s="33">
        <f>ECHS!C156</f>
        <v>0.91069999999999995</v>
      </c>
      <c r="AC161" s="32">
        <f>ECHS!G156</f>
        <v>448</v>
      </c>
      <c r="AD161" s="33">
        <f>KMS!C156</f>
        <v>0.94579999999999997</v>
      </c>
      <c r="AE161" s="32">
        <f>KMS!G156</f>
        <v>1347</v>
      </c>
      <c r="AF161" s="33">
        <f>NMS!C156</f>
        <v>0.92800000000000005</v>
      </c>
      <c r="AG161" s="32">
        <f>NMS!G156</f>
        <v>1028</v>
      </c>
      <c r="AH161" s="36">
        <f>Highpoint!C156</f>
        <v>0</v>
      </c>
      <c r="AI161" s="37">
        <f>KASE!D153</f>
        <v>0</v>
      </c>
      <c r="AJ161" s="38"/>
      <c r="AK161" s="39">
        <f t="shared" si="13"/>
        <v>0.91914615384615395</v>
      </c>
      <c r="AL161" s="40"/>
    </row>
    <row r="162" spans="1:38" ht="12.75" x14ac:dyDescent="0.2">
      <c r="A162" s="68"/>
      <c r="B162" s="26">
        <f t="shared" si="33"/>
        <v>54450</v>
      </c>
      <c r="C162" s="49" t="s">
        <v>160</v>
      </c>
      <c r="D162" s="69">
        <v>45726</v>
      </c>
      <c r="E162" s="49" t="s">
        <v>33</v>
      </c>
      <c r="F162" s="70"/>
      <c r="G162" s="71">
        <f t="shared" si="32"/>
        <v>8196</v>
      </c>
      <c r="H162" s="31">
        <f>CE!C157</f>
        <v>0.91469999999999996</v>
      </c>
      <c r="I162" s="32">
        <f>CE!G157</f>
        <v>539</v>
      </c>
      <c r="J162" s="33">
        <f>GE!C157</f>
        <v>0.89400000000000002</v>
      </c>
      <c r="K162" s="32">
        <f>GE!G157</f>
        <v>604</v>
      </c>
      <c r="L162" s="33">
        <f>ME!C157</f>
        <v>0.92630000000000001</v>
      </c>
      <c r="M162" s="32">
        <f>ME!G157</f>
        <v>624</v>
      </c>
      <c r="N162" s="33">
        <f>SAMPLE!C157</f>
        <v>0.92449999999999999</v>
      </c>
      <c r="O162" s="32">
        <f>SAMPLE!G157</f>
        <v>609</v>
      </c>
      <c r="P162" s="33">
        <f>'Sheldon Elementary'!C157</f>
        <v>0.91859999999999997</v>
      </c>
      <c r="Q162" s="32">
        <f>'Sheldon Elementary'!D157</f>
        <v>590</v>
      </c>
      <c r="R162" s="33">
        <f>SLE!C157</f>
        <v>0.93389999999999995</v>
      </c>
      <c r="S162" s="32">
        <f>SLE!G157</f>
        <v>620</v>
      </c>
      <c r="T162" s="33">
        <f>CECA!C157</f>
        <v>0.87009999999999998</v>
      </c>
      <c r="U162" s="32">
        <f>CECA!G157</f>
        <v>573</v>
      </c>
      <c r="V162" s="33">
        <f>SECA!C157</f>
        <v>0.86519999999999997</v>
      </c>
      <c r="W162" s="32">
        <f>SECA!G157</f>
        <v>566</v>
      </c>
      <c r="X162" s="33">
        <f>KHS!C157</f>
        <v>0</v>
      </c>
      <c r="Y162" s="34">
        <f>KHS!G157</f>
        <v>0</v>
      </c>
      <c r="Z162" s="33">
        <f>'9TH CAMP'!C157</f>
        <v>0.90380000000000005</v>
      </c>
      <c r="AA162" s="34">
        <f>'9TH CAMP'!G157</f>
        <v>635</v>
      </c>
      <c r="AB162" s="33">
        <f>ECHS!C157</f>
        <v>0.95979999999999999</v>
      </c>
      <c r="AC162" s="32">
        <f>ECHS!G157</f>
        <v>448</v>
      </c>
      <c r="AD162" s="33">
        <f>KMS!C157</f>
        <v>0.94599999999999995</v>
      </c>
      <c r="AE162" s="32">
        <f>KMS!G157</f>
        <v>1358</v>
      </c>
      <c r="AF162" s="33">
        <f>NMS!C157</f>
        <v>0.94169999999999998</v>
      </c>
      <c r="AG162" s="32">
        <f>NMS!G157</f>
        <v>1030</v>
      </c>
      <c r="AH162" s="36">
        <f>Highpoint!C157</f>
        <v>0</v>
      </c>
      <c r="AI162" s="37">
        <f>KASE!D154</f>
        <v>0</v>
      </c>
      <c r="AJ162" s="72"/>
      <c r="AK162" s="39">
        <f t="shared" si="13"/>
        <v>0.84604615384615378</v>
      </c>
      <c r="AL162" s="73"/>
    </row>
    <row r="163" spans="1:38" ht="12.75" x14ac:dyDescent="0.2">
      <c r="A163" s="68"/>
      <c r="B163" s="26">
        <f t="shared" si="33"/>
        <v>54900</v>
      </c>
      <c r="C163" s="49" t="s">
        <v>161</v>
      </c>
      <c r="D163" s="69">
        <v>45727</v>
      </c>
      <c r="E163" s="49" t="s">
        <v>35</v>
      </c>
      <c r="F163" s="70"/>
      <c r="G163" s="71">
        <f t="shared" si="32"/>
        <v>6551</v>
      </c>
      <c r="H163" s="31">
        <f>CE!C158</f>
        <v>0.94620000000000004</v>
      </c>
      <c r="I163" s="32">
        <f>CE!G158</f>
        <v>539</v>
      </c>
      <c r="J163" s="33">
        <f>GE!C158</f>
        <v>0</v>
      </c>
      <c r="K163" s="32">
        <f>GE!G158</f>
        <v>0</v>
      </c>
      <c r="L163" s="33">
        <f>ME!C158</f>
        <v>0.96950000000000003</v>
      </c>
      <c r="M163" s="32">
        <f>ME!G158</f>
        <v>623</v>
      </c>
      <c r="N163" s="33">
        <f>SAMPLE!C158</f>
        <v>0.96389999999999998</v>
      </c>
      <c r="O163" s="32">
        <f>SAMPLE!G158</f>
        <v>609</v>
      </c>
      <c r="P163" s="33">
        <f>'Sheldon Elementary'!C158</f>
        <v>0.96099999999999997</v>
      </c>
      <c r="Q163" s="32">
        <f>'Sheldon Elementary'!D158</f>
        <v>590</v>
      </c>
      <c r="R163" s="33">
        <f>SLE!C158</f>
        <v>0.98870000000000002</v>
      </c>
      <c r="S163" s="32">
        <f>SLE!G158</f>
        <v>622</v>
      </c>
      <c r="T163" s="33">
        <f>CECA!C158</f>
        <v>0.91120000000000001</v>
      </c>
      <c r="U163" s="32">
        <f>CECA!G158</f>
        <v>573</v>
      </c>
      <c r="V163" s="33">
        <f>SECA!C158</f>
        <v>0.90780000000000005</v>
      </c>
      <c r="W163" s="32">
        <f>SECA!G158</f>
        <v>567</v>
      </c>
      <c r="X163" s="33">
        <f>KHS!C158</f>
        <v>0</v>
      </c>
      <c r="Y163" s="34">
        <f>KHS!G158</f>
        <v>0</v>
      </c>
      <c r="Z163" s="33">
        <f>'9TH CAMP'!C158</f>
        <v>0.91959999999999997</v>
      </c>
      <c r="AA163" s="34">
        <f>'9TH CAMP'!G158</f>
        <v>634</v>
      </c>
      <c r="AB163" s="33">
        <f>ECHS!C158</f>
        <v>0.96879999999999999</v>
      </c>
      <c r="AC163" s="32">
        <f>ECHS!G158</f>
        <v>448</v>
      </c>
      <c r="AD163" s="33">
        <f>KMS!C158</f>
        <v>0.9476</v>
      </c>
      <c r="AE163" s="32">
        <f>KMS!G158</f>
        <v>1346</v>
      </c>
      <c r="AF163" s="33">
        <f>NMS!C158</f>
        <v>0</v>
      </c>
      <c r="AG163" s="32">
        <f>NMS!G158</f>
        <v>0</v>
      </c>
      <c r="AH163" s="36">
        <f>Highpoint!C158</f>
        <v>0</v>
      </c>
      <c r="AI163" s="37">
        <f>KASE!D155</f>
        <v>0</v>
      </c>
      <c r="AJ163" s="72"/>
      <c r="AK163" s="39">
        <f t="shared" si="13"/>
        <v>0.72956153846153837</v>
      </c>
      <c r="AL163" s="73"/>
    </row>
    <row r="164" spans="1:38" ht="12.75" x14ac:dyDescent="0.2">
      <c r="A164" s="68"/>
      <c r="B164" s="26">
        <f t="shared" si="33"/>
        <v>55350</v>
      </c>
      <c r="C164" s="49" t="s">
        <v>162</v>
      </c>
      <c r="D164" s="69">
        <v>45728</v>
      </c>
      <c r="E164" s="49" t="s">
        <v>37</v>
      </c>
      <c r="F164" s="70"/>
      <c r="G164" s="71">
        <f t="shared" si="32"/>
        <v>0</v>
      </c>
      <c r="H164" s="31">
        <f>CE!C159</f>
        <v>0</v>
      </c>
      <c r="I164" s="32">
        <f>CE!G159</f>
        <v>0</v>
      </c>
      <c r="J164" s="33">
        <f>GE!C159</f>
        <v>0</v>
      </c>
      <c r="K164" s="32">
        <f>GE!G159</f>
        <v>0</v>
      </c>
      <c r="L164" s="33">
        <f>ME!C159</f>
        <v>0</v>
      </c>
      <c r="M164" s="32">
        <f>ME!G159</f>
        <v>0</v>
      </c>
      <c r="N164" s="33">
        <f>SAMPLE!C159</f>
        <v>0</v>
      </c>
      <c r="O164" s="32">
        <f>SAMPLE!G159</f>
        <v>0</v>
      </c>
      <c r="P164" s="33">
        <f>'Sheldon Elementary'!C159</f>
        <v>0</v>
      </c>
      <c r="Q164" s="32">
        <f>'Sheldon Elementary'!D159</f>
        <v>0</v>
      </c>
      <c r="R164" s="33">
        <f>SLE!C159</f>
        <v>0</v>
      </c>
      <c r="S164" s="32">
        <f>SLE!G159</f>
        <v>0</v>
      </c>
      <c r="T164" s="33">
        <f>CECA!C159</f>
        <v>0</v>
      </c>
      <c r="U164" s="32">
        <f>CECA!G159</f>
        <v>0</v>
      </c>
      <c r="V164" s="33">
        <f>SECA!C159</f>
        <v>0</v>
      </c>
      <c r="W164" s="32">
        <f>SECA!G159</f>
        <v>0</v>
      </c>
      <c r="X164" s="33">
        <f>KHS!C159</f>
        <v>0</v>
      </c>
      <c r="Y164" s="34">
        <f>KHS!G159</f>
        <v>0</v>
      </c>
      <c r="Z164" s="33">
        <f>'9TH CAMP'!C159</f>
        <v>0</v>
      </c>
      <c r="AA164" s="34">
        <f>'9TH CAMP'!G159</f>
        <v>0</v>
      </c>
      <c r="AB164" s="33">
        <f>ECHS!C159</f>
        <v>0</v>
      </c>
      <c r="AC164" s="32">
        <f>ECHS!G159</f>
        <v>0</v>
      </c>
      <c r="AD164" s="33">
        <f>KMS!C159</f>
        <v>0</v>
      </c>
      <c r="AE164" s="32">
        <f>KMS!G159</f>
        <v>0</v>
      </c>
      <c r="AF164" s="33">
        <f>NMS!C159</f>
        <v>0</v>
      </c>
      <c r="AG164" s="32">
        <f>NMS!G159</f>
        <v>0</v>
      </c>
      <c r="AH164" s="36">
        <f>Highpoint!C159</f>
        <v>0</v>
      </c>
      <c r="AI164" s="37">
        <f>KASE!D156</f>
        <v>0</v>
      </c>
      <c r="AJ164" s="72"/>
      <c r="AK164" s="39">
        <f t="shared" si="13"/>
        <v>0</v>
      </c>
      <c r="AL164" s="73"/>
    </row>
    <row r="165" spans="1:38" ht="12.75" x14ac:dyDescent="0.2">
      <c r="A165" s="68"/>
      <c r="B165" s="26">
        <f t="shared" si="33"/>
        <v>55800</v>
      </c>
      <c r="C165" s="49" t="s">
        <v>163</v>
      </c>
      <c r="D165" s="69">
        <v>45729</v>
      </c>
      <c r="E165" s="49" t="s">
        <v>39</v>
      </c>
      <c r="F165" s="70"/>
      <c r="G165" s="71">
        <f t="shared" si="32"/>
        <v>0</v>
      </c>
      <c r="H165" s="31">
        <f>CE!C160</f>
        <v>0</v>
      </c>
      <c r="I165" s="32">
        <f>CE!G160</f>
        <v>0</v>
      </c>
      <c r="J165" s="33">
        <f>GE!C160</f>
        <v>0</v>
      </c>
      <c r="K165" s="32">
        <f>GE!G160</f>
        <v>0</v>
      </c>
      <c r="L165" s="33">
        <f>ME!C160</f>
        <v>0</v>
      </c>
      <c r="M165" s="32">
        <f>ME!G160</f>
        <v>0</v>
      </c>
      <c r="N165" s="33">
        <f>SAMPLE!C160</f>
        <v>0</v>
      </c>
      <c r="O165" s="32">
        <f>SAMPLE!G160</f>
        <v>0</v>
      </c>
      <c r="P165" s="33">
        <f>'Sheldon Elementary'!C160</f>
        <v>0</v>
      </c>
      <c r="Q165" s="32">
        <f>'Sheldon Elementary'!D160</f>
        <v>0</v>
      </c>
      <c r="R165" s="33">
        <f>SLE!C160</f>
        <v>0</v>
      </c>
      <c r="S165" s="32">
        <f>SLE!G160</f>
        <v>0</v>
      </c>
      <c r="T165" s="33">
        <f>CECA!C160</f>
        <v>0</v>
      </c>
      <c r="U165" s="32">
        <f>CECA!G160</f>
        <v>0</v>
      </c>
      <c r="V165" s="33">
        <f>SECA!C160</f>
        <v>0</v>
      </c>
      <c r="W165" s="32">
        <f>SECA!G160</f>
        <v>0</v>
      </c>
      <c r="X165" s="33">
        <f>KHS!C160</f>
        <v>0</v>
      </c>
      <c r="Y165" s="34">
        <f>KHS!G160</f>
        <v>0</v>
      </c>
      <c r="Z165" s="33">
        <f>'9TH CAMP'!C160</f>
        <v>0</v>
      </c>
      <c r="AA165" s="34">
        <f>'9TH CAMP'!G160</f>
        <v>0</v>
      </c>
      <c r="AB165" s="33">
        <f>ECHS!C160</f>
        <v>0</v>
      </c>
      <c r="AC165" s="32">
        <f>ECHS!G160</f>
        <v>0</v>
      </c>
      <c r="AD165" s="33">
        <f>KMS!C160</f>
        <v>0</v>
      </c>
      <c r="AE165" s="32">
        <f>KMS!G160</f>
        <v>0</v>
      </c>
      <c r="AF165" s="33">
        <f>NMS!C160</f>
        <v>0</v>
      </c>
      <c r="AG165" s="32">
        <f>NMS!G160</f>
        <v>0</v>
      </c>
      <c r="AH165" s="36">
        <f>Highpoint!C160</f>
        <v>0</v>
      </c>
      <c r="AI165" s="37">
        <f>KASE!D157</f>
        <v>0</v>
      </c>
      <c r="AJ165" s="72"/>
      <c r="AK165" s="39">
        <f t="shared" si="13"/>
        <v>0</v>
      </c>
      <c r="AL165" s="73"/>
    </row>
    <row r="166" spans="1:38" ht="12.75" x14ac:dyDescent="0.2">
      <c r="A166" s="68"/>
      <c r="B166" s="26">
        <f t="shared" si="33"/>
        <v>56250</v>
      </c>
      <c r="C166" s="49" t="s">
        <v>164</v>
      </c>
      <c r="D166" s="69">
        <v>45730</v>
      </c>
      <c r="E166" s="49" t="s">
        <v>41</v>
      </c>
      <c r="F166" s="70"/>
      <c r="G166" s="71">
        <f t="shared" si="32"/>
        <v>0</v>
      </c>
      <c r="H166" s="31">
        <f>CE!C161</f>
        <v>0</v>
      </c>
      <c r="I166" s="32">
        <f>CE!G161</f>
        <v>0</v>
      </c>
      <c r="J166" s="33">
        <f>GE!C161</f>
        <v>0</v>
      </c>
      <c r="K166" s="32">
        <f>GE!G161</f>
        <v>0</v>
      </c>
      <c r="L166" s="33">
        <f>ME!C161</f>
        <v>0</v>
      </c>
      <c r="M166" s="32">
        <f>ME!G161</f>
        <v>0</v>
      </c>
      <c r="N166" s="33">
        <f>SAMPLE!C161</f>
        <v>0</v>
      </c>
      <c r="O166" s="32">
        <f>SAMPLE!G161</f>
        <v>0</v>
      </c>
      <c r="P166" s="33">
        <f>'Sheldon Elementary'!C161</f>
        <v>0</v>
      </c>
      <c r="Q166" s="32">
        <f>'Sheldon Elementary'!D161</f>
        <v>0</v>
      </c>
      <c r="R166" s="33">
        <f>SLE!C161</f>
        <v>0</v>
      </c>
      <c r="S166" s="32">
        <f>SLE!G161</f>
        <v>0</v>
      </c>
      <c r="T166" s="33">
        <f>CECA!C161</f>
        <v>0</v>
      </c>
      <c r="U166" s="32">
        <f>CECA!G161</f>
        <v>0</v>
      </c>
      <c r="V166" s="33">
        <f>SECA!C161</f>
        <v>0</v>
      </c>
      <c r="W166" s="32">
        <f>SECA!G161</f>
        <v>0</v>
      </c>
      <c r="X166" s="33">
        <f>KHS!C161</f>
        <v>0</v>
      </c>
      <c r="Y166" s="34">
        <f>KHS!G161</f>
        <v>0</v>
      </c>
      <c r="Z166" s="33">
        <f>'9TH CAMP'!C161</f>
        <v>0</v>
      </c>
      <c r="AA166" s="34">
        <f>'9TH CAMP'!G161</f>
        <v>0</v>
      </c>
      <c r="AB166" s="33">
        <f>ECHS!C161</f>
        <v>0</v>
      </c>
      <c r="AC166" s="32">
        <f>ECHS!G161</f>
        <v>0</v>
      </c>
      <c r="AD166" s="33">
        <f>KMS!C161</f>
        <v>0</v>
      </c>
      <c r="AE166" s="32">
        <f>KMS!G161</f>
        <v>0</v>
      </c>
      <c r="AF166" s="33">
        <f>NMS!C161</f>
        <v>0</v>
      </c>
      <c r="AG166" s="32">
        <f>NMS!G161</f>
        <v>0</v>
      </c>
      <c r="AH166" s="36">
        <f>Highpoint!C161</f>
        <v>0</v>
      </c>
      <c r="AI166" s="37">
        <f>KASE!D158</f>
        <v>0</v>
      </c>
      <c r="AJ166" s="72"/>
      <c r="AK166" s="39">
        <f t="shared" si="13"/>
        <v>0</v>
      </c>
      <c r="AL166" s="73"/>
    </row>
    <row r="167" spans="1:38" ht="12.75" x14ac:dyDescent="0.2">
      <c r="A167" s="205" t="s">
        <v>77</v>
      </c>
      <c r="B167" s="206"/>
      <c r="C167" s="206"/>
      <c r="D167" s="43">
        <v>45733</v>
      </c>
      <c r="E167" s="42" t="s">
        <v>33</v>
      </c>
      <c r="F167" s="44"/>
      <c r="G167" s="44"/>
      <c r="H167" s="55"/>
      <c r="I167" s="56"/>
      <c r="J167" s="57"/>
      <c r="K167" s="56"/>
      <c r="L167" s="57"/>
      <c r="M167" s="56"/>
      <c r="N167" s="57"/>
      <c r="O167" s="56"/>
      <c r="P167" s="57"/>
      <c r="Q167" s="56"/>
      <c r="R167" s="57"/>
      <c r="S167" s="56"/>
      <c r="T167" s="57"/>
      <c r="U167" s="56"/>
      <c r="V167" s="58"/>
      <c r="W167" s="56"/>
      <c r="X167" s="58"/>
      <c r="Y167" s="59"/>
      <c r="Z167" s="58"/>
      <c r="AA167" s="59"/>
      <c r="AB167" s="57"/>
      <c r="AC167" s="56"/>
      <c r="AD167" s="57"/>
      <c r="AE167" s="56"/>
      <c r="AF167" s="57"/>
      <c r="AG167" s="56"/>
      <c r="AH167" s="51"/>
      <c r="AI167" s="60"/>
      <c r="AJ167" s="45"/>
      <c r="AK167" s="40" t="e">
        <f t="shared" si="13"/>
        <v>#DIV/0!</v>
      </c>
      <c r="AL167" s="45"/>
    </row>
    <row r="168" spans="1:38" ht="12.75" x14ac:dyDescent="0.2">
      <c r="A168" s="205" t="s">
        <v>77</v>
      </c>
      <c r="B168" s="206"/>
      <c r="C168" s="206"/>
      <c r="D168" s="43">
        <v>45734</v>
      </c>
      <c r="E168" s="42" t="s">
        <v>35</v>
      </c>
      <c r="F168" s="44"/>
      <c r="G168" s="44"/>
      <c r="H168" s="55"/>
      <c r="I168" s="56"/>
      <c r="J168" s="57"/>
      <c r="K168" s="56"/>
      <c r="L168" s="57"/>
      <c r="M168" s="56"/>
      <c r="N168" s="57"/>
      <c r="O168" s="56"/>
      <c r="P168" s="57"/>
      <c r="Q168" s="56"/>
      <c r="R168" s="57"/>
      <c r="S168" s="56"/>
      <c r="T168" s="57"/>
      <c r="U168" s="56"/>
      <c r="V168" s="58"/>
      <c r="W168" s="56"/>
      <c r="X168" s="58"/>
      <c r="Y168" s="59"/>
      <c r="Z168" s="58"/>
      <c r="AA168" s="59"/>
      <c r="AB168" s="57"/>
      <c r="AC168" s="56"/>
      <c r="AD168" s="57"/>
      <c r="AE168" s="56"/>
      <c r="AF168" s="57"/>
      <c r="AG168" s="56"/>
      <c r="AH168" s="51"/>
      <c r="AI168" s="60"/>
      <c r="AJ168" s="45"/>
      <c r="AK168" s="40" t="e">
        <f t="shared" si="13"/>
        <v>#DIV/0!</v>
      </c>
      <c r="AL168" s="45"/>
    </row>
    <row r="169" spans="1:38" ht="12.75" x14ac:dyDescent="0.2">
      <c r="A169" s="205" t="s">
        <v>77</v>
      </c>
      <c r="B169" s="206"/>
      <c r="C169" s="206"/>
      <c r="D169" s="43">
        <v>45735</v>
      </c>
      <c r="E169" s="42" t="s">
        <v>37</v>
      </c>
      <c r="F169" s="44"/>
      <c r="G169" s="44"/>
      <c r="H169" s="55"/>
      <c r="I169" s="56"/>
      <c r="J169" s="57"/>
      <c r="K169" s="56"/>
      <c r="L169" s="57"/>
      <c r="M169" s="56"/>
      <c r="N169" s="57"/>
      <c r="O169" s="56"/>
      <c r="P169" s="57"/>
      <c r="Q169" s="56"/>
      <c r="R169" s="57"/>
      <c r="S169" s="56"/>
      <c r="T169" s="57"/>
      <c r="U169" s="56"/>
      <c r="V169" s="58"/>
      <c r="W169" s="56"/>
      <c r="X169" s="58"/>
      <c r="Y169" s="59"/>
      <c r="Z169" s="58"/>
      <c r="AA169" s="59"/>
      <c r="AB169" s="57"/>
      <c r="AC169" s="56"/>
      <c r="AD169" s="57"/>
      <c r="AE169" s="56"/>
      <c r="AF169" s="57"/>
      <c r="AG169" s="56"/>
      <c r="AH169" s="51"/>
      <c r="AI169" s="60"/>
      <c r="AJ169" s="45"/>
      <c r="AK169" s="40" t="e">
        <f t="shared" si="13"/>
        <v>#DIV/0!</v>
      </c>
      <c r="AL169" s="45"/>
    </row>
    <row r="170" spans="1:38" ht="12.75" x14ac:dyDescent="0.2">
      <c r="A170" s="205" t="s">
        <v>77</v>
      </c>
      <c r="B170" s="206"/>
      <c r="C170" s="206"/>
      <c r="D170" s="43">
        <v>45736</v>
      </c>
      <c r="E170" s="42" t="s">
        <v>39</v>
      </c>
      <c r="F170" s="44"/>
      <c r="G170" s="44"/>
      <c r="H170" s="55"/>
      <c r="I170" s="56"/>
      <c r="J170" s="57"/>
      <c r="K170" s="56"/>
      <c r="L170" s="57"/>
      <c r="M170" s="56"/>
      <c r="N170" s="57"/>
      <c r="O170" s="56"/>
      <c r="P170" s="57"/>
      <c r="Q170" s="56"/>
      <c r="R170" s="57"/>
      <c r="S170" s="56"/>
      <c r="T170" s="57"/>
      <c r="U170" s="56"/>
      <c r="V170" s="58"/>
      <c r="W170" s="56"/>
      <c r="X170" s="58"/>
      <c r="Y170" s="59"/>
      <c r="Z170" s="58"/>
      <c r="AA170" s="59"/>
      <c r="AB170" s="57"/>
      <c r="AC170" s="56"/>
      <c r="AD170" s="57"/>
      <c r="AE170" s="56"/>
      <c r="AF170" s="57"/>
      <c r="AG170" s="56"/>
      <c r="AH170" s="51"/>
      <c r="AI170" s="60"/>
      <c r="AJ170" s="45"/>
      <c r="AK170" s="40" t="e">
        <f t="shared" si="13"/>
        <v>#DIV/0!</v>
      </c>
      <c r="AL170" s="45"/>
    </row>
    <row r="171" spans="1:38" ht="12.75" x14ac:dyDescent="0.2">
      <c r="A171" s="205" t="s">
        <v>77</v>
      </c>
      <c r="B171" s="206"/>
      <c r="C171" s="206"/>
      <c r="D171" s="43">
        <v>45737</v>
      </c>
      <c r="E171" s="42" t="s">
        <v>41</v>
      </c>
      <c r="F171" s="44"/>
      <c r="G171" s="44"/>
      <c r="H171" s="55"/>
      <c r="I171" s="56"/>
      <c r="J171" s="57"/>
      <c r="K171" s="56"/>
      <c r="L171" s="57"/>
      <c r="M171" s="56"/>
      <c r="N171" s="57"/>
      <c r="O171" s="56"/>
      <c r="P171" s="57"/>
      <c r="Q171" s="56"/>
      <c r="R171" s="57"/>
      <c r="S171" s="56"/>
      <c r="T171" s="57"/>
      <c r="U171" s="56"/>
      <c r="V171" s="58"/>
      <c r="W171" s="56"/>
      <c r="X171" s="58"/>
      <c r="Y171" s="59"/>
      <c r="Z171" s="58"/>
      <c r="AA171" s="59"/>
      <c r="AB171" s="57"/>
      <c r="AC171" s="56"/>
      <c r="AD171" s="57"/>
      <c r="AE171" s="56"/>
      <c r="AF171" s="57"/>
      <c r="AG171" s="56"/>
      <c r="AH171" s="51"/>
      <c r="AI171" s="60"/>
      <c r="AJ171" s="45"/>
      <c r="AK171" s="40" t="e">
        <f t="shared" si="13"/>
        <v>#DIV/0!</v>
      </c>
      <c r="AL171" s="45"/>
    </row>
    <row r="172" spans="1:38" ht="12.75" x14ac:dyDescent="0.2">
      <c r="A172" s="25"/>
      <c r="B172" s="41">
        <f>B166+450</f>
        <v>56700</v>
      </c>
      <c r="C172" s="49" t="s">
        <v>165</v>
      </c>
      <c r="D172" s="28">
        <v>45740</v>
      </c>
      <c r="E172" s="27" t="s">
        <v>33</v>
      </c>
      <c r="F172" s="29"/>
      <c r="G172" s="30">
        <f t="shared" ref="G172:G177" si="34">I173+K173+M173+O173+Q173+S173+U173+W173+Y173+AA173+AC173+AE173+AG173+AI173+AH173</f>
        <v>0</v>
      </c>
      <c r="H172" s="31">
        <f>CE!C167</f>
        <v>0</v>
      </c>
      <c r="I172" s="32">
        <f>CE!G167</f>
        <v>0</v>
      </c>
      <c r="J172" s="33">
        <f>GE!C167</f>
        <v>0</v>
      </c>
      <c r="K172" s="32">
        <f>GE!G167</f>
        <v>0</v>
      </c>
      <c r="L172" s="33">
        <f>ME!C167</f>
        <v>0</v>
      </c>
      <c r="M172" s="32">
        <f>ME!G167</f>
        <v>0</v>
      </c>
      <c r="N172" s="33">
        <f>SAMPLE!C167</f>
        <v>0</v>
      </c>
      <c r="O172" s="32">
        <f>SAMPLE!G167</f>
        <v>0</v>
      </c>
      <c r="P172" s="33">
        <f>'Sheldon Elementary'!C167</f>
        <v>0</v>
      </c>
      <c r="Q172" s="32">
        <f>'Sheldon Elementary'!D167</f>
        <v>0</v>
      </c>
      <c r="R172" s="33">
        <f>SLE!C167</f>
        <v>0</v>
      </c>
      <c r="S172" s="32">
        <f>SLE!G167</f>
        <v>0</v>
      </c>
      <c r="T172" s="33">
        <f>CECA!C167</f>
        <v>0</v>
      </c>
      <c r="U172" s="32">
        <f>CECA!G167</f>
        <v>0</v>
      </c>
      <c r="V172" s="33">
        <f>SECA!C167</f>
        <v>0</v>
      </c>
      <c r="W172" s="32">
        <f>SECA!G167</f>
        <v>0</v>
      </c>
      <c r="X172" s="33">
        <f>KHS!C167</f>
        <v>0</v>
      </c>
      <c r="Y172" s="34">
        <f>KHS!G167</f>
        <v>0</v>
      </c>
      <c r="Z172" s="33">
        <f>'9TH CAMP'!C167</f>
        <v>0</v>
      </c>
      <c r="AA172" s="34">
        <f>'9TH CAMP'!G167</f>
        <v>0</v>
      </c>
      <c r="AB172" s="33">
        <f>ECHS!C167</f>
        <v>0</v>
      </c>
      <c r="AC172" s="32">
        <f>ECHS!G167</f>
        <v>0</v>
      </c>
      <c r="AD172" s="33">
        <f>KMS!C167</f>
        <v>0</v>
      </c>
      <c r="AE172" s="32">
        <f>KMS!G167</f>
        <v>0</v>
      </c>
      <c r="AF172" s="33">
        <f>NMS!C167</f>
        <v>0</v>
      </c>
      <c r="AG172" s="32">
        <f>NMS!G167</f>
        <v>0</v>
      </c>
      <c r="AH172" s="36">
        <f>Highpoint!C167</f>
        <v>0</v>
      </c>
      <c r="AI172" s="37">
        <f>KASE!D164</f>
        <v>0</v>
      </c>
      <c r="AJ172" s="38"/>
      <c r="AK172" s="39">
        <f t="shared" si="13"/>
        <v>0</v>
      </c>
      <c r="AL172" s="40"/>
    </row>
    <row r="173" spans="1:38" ht="12.75" x14ac:dyDescent="0.2">
      <c r="A173" s="25"/>
      <c r="B173" s="41">
        <f t="shared" ref="B173:B190" si="35">B172+450</f>
        <v>57150</v>
      </c>
      <c r="C173" s="49" t="s">
        <v>166</v>
      </c>
      <c r="D173" s="28">
        <v>45741</v>
      </c>
      <c r="E173" s="27" t="s">
        <v>35</v>
      </c>
      <c r="F173" s="29"/>
      <c r="G173" s="30">
        <f t="shared" si="34"/>
        <v>0</v>
      </c>
      <c r="H173" s="31">
        <f>CE!C168</f>
        <v>0</v>
      </c>
      <c r="I173" s="32">
        <f>CE!G168</f>
        <v>0</v>
      </c>
      <c r="J173" s="33">
        <f>GE!C168</f>
        <v>0</v>
      </c>
      <c r="K173" s="32">
        <f>GE!G168</f>
        <v>0</v>
      </c>
      <c r="L173" s="33">
        <f>ME!C168</f>
        <v>0</v>
      </c>
      <c r="M173" s="32">
        <f>ME!G168</f>
        <v>0</v>
      </c>
      <c r="N173" s="33">
        <f>SAMPLE!C168</f>
        <v>0</v>
      </c>
      <c r="O173" s="32">
        <f>SAMPLE!G168</f>
        <v>0</v>
      </c>
      <c r="P173" s="33">
        <f>'Sheldon Elementary'!C168</f>
        <v>0</v>
      </c>
      <c r="Q173" s="32">
        <f>'Sheldon Elementary'!D168</f>
        <v>0</v>
      </c>
      <c r="R173" s="33">
        <f>SLE!C168</f>
        <v>0</v>
      </c>
      <c r="S173" s="32">
        <f>SLE!G168</f>
        <v>0</v>
      </c>
      <c r="T173" s="33">
        <f>CECA!C168</f>
        <v>0</v>
      </c>
      <c r="U173" s="32">
        <f>CECA!G168</f>
        <v>0</v>
      </c>
      <c r="V173" s="33">
        <f>SECA!C168</f>
        <v>0</v>
      </c>
      <c r="W173" s="32">
        <f>SECA!G168</f>
        <v>0</v>
      </c>
      <c r="X173" s="33">
        <f>KHS!C168</f>
        <v>0</v>
      </c>
      <c r="Y173" s="34">
        <f>KHS!G168</f>
        <v>0</v>
      </c>
      <c r="Z173" s="33">
        <f>'9TH CAMP'!C168</f>
        <v>0</v>
      </c>
      <c r="AA173" s="34">
        <f>'9TH CAMP'!G168</f>
        <v>0</v>
      </c>
      <c r="AB173" s="33">
        <f>ECHS!C168</f>
        <v>0</v>
      </c>
      <c r="AC173" s="32">
        <f>ECHS!G168</f>
        <v>0</v>
      </c>
      <c r="AD173" s="33">
        <f>KMS!C168</f>
        <v>0</v>
      </c>
      <c r="AE173" s="32">
        <f>KMS!G168</f>
        <v>0</v>
      </c>
      <c r="AF173" s="33">
        <f>NMS!C168</f>
        <v>0</v>
      </c>
      <c r="AG173" s="32">
        <f>NMS!G168</f>
        <v>0</v>
      </c>
      <c r="AH173" s="36">
        <f>Highpoint!C168</f>
        <v>0</v>
      </c>
      <c r="AI173" s="37">
        <f>KASE!D165</f>
        <v>0</v>
      </c>
      <c r="AJ173" s="38"/>
      <c r="AK173" s="39">
        <f t="shared" si="13"/>
        <v>0</v>
      </c>
      <c r="AL173" s="40"/>
    </row>
    <row r="174" spans="1:38" ht="12.75" x14ac:dyDescent="0.2">
      <c r="A174" s="25"/>
      <c r="B174" s="41">
        <f t="shared" si="35"/>
        <v>57600</v>
      </c>
      <c r="C174" s="49" t="s">
        <v>167</v>
      </c>
      <c r="D174" s="28">
        <v>45742</v>
      </c>
      <c r="E174" s="27" t="s">
        <v>37</v>
      </c>
      <c r="F174" s="29"/>
      <c r="G174" s="30">
        <f t="shared" si="34"/>
        <v>0</v>
      </c>
      <c r="H174" s="31">
        <f>CE!C169</f>
        <v>0</v>
      </c>
      <c r="I174" s="32">
        <f>CE!G169</f>
        <v>0</v>
      </c>
      <c r="J174" s="33">
        <f>GE!C169</f>
        <v>0</v>
      </c>
      <c r="K174" s="32">
        <f>GE!G169</f>
        <v>0</v>
      </c>
      <c r="L174" s="33">
        <f>ME!C169</f>
        <v>0</v>
      </c>
      <c r="M174" s="32">
        <f>ME!G169</f>
        <v>0</v>
      </c>
      <c r="N174" s="33">
        <f>SAMPLE!C169</f>
        <v>0</v>
      </c>
      <c r="O174" s="32">
        <f>SAMPLE!G169</f>
        <v>0</v>
      </c>
      <c r="P174" s="33">
        <f>'Sheldon Elementary'!C169</f>
        <v>0</v>
      </c>
      <c r="Q174" s="32">
        <f>'Sheldon Elementary'!D169</f>
        <v>0</v>
      </c>
      <c r="R174" s="33">
        <f>SLE!C169</f>
        <v>0</v>
      </c>
      <c r="S174" s="32">
        <f>SLE!G169</f>
        <v>0</v>
      </c>
      <c r="T174" s="33">
        <f>CECA!C169</f>
        <v>0</v>
      </c>
      <c r="U174" s="32">
        <f>CECA!G169</f>
        <v>0</v>
      </c>
      <c r="V174" s="33">
        <f>SECA!C169</f>
        <v>0</v>
      </c>
      <c r="W174" s="32">
        <f>SECA!G169</f>
        <v>0</v>
      </c>
      <c r="X174" s="33">
        <f>KHS!C169</f>
        <v>0</v>
      </c>
      <c r="Y174" s="34">
        <f>KHS!G169</f>
        <v>0</v>
      </c>
      <c r="Z174" s="33">
        <f>'9TH CAMP'!C169</f>
        <v>0</v>
      </c>
      <c r="AA174" s="34">
        <f>'9TH CAMP'!G169</f>
        <v>0</v>
      </c>
      <c r="AB174" s="33">
        <f>ECHS!C169</f>
        <v>0</v>
      </c>
      <c r="AC174" s="32">
        <f>ECHS!G169</f>
        <v>0</v>
      </c>
      <c r="AD174" s="33">
        <f>KMS!C169</f>
        <v>0</v>
      </c>
      <c r="AE174" s="32">
        <f>KMS!G169</f>
        <v>0</v>
      </c>
      <c r="AF174" s="33">
        <f>NMS!C169</f>
        <v>0</v>
      </c>
      <c r="AG174" s="32">
        <f>NMS!G169</f>
        <v>0</v>
      </c>
      <c r="AH174" s="36">
        <f>Highpoint!C169</f>
        <v>0</v>
      </c>
      <c r="AI174" s="37">
        <f>KASE!D166</f>
        <v>0</v>
      </c>
      <c r="AJ174" s="38"/>
      <c r="AK174" s="39">
        <f t="shared" si="13"/>
        <v>0</v>
      </c>
      <c r="AL174" s="40"/>
    </row>
    <row r="175" spans="1:38" ht="12.75" x14ac:dyDescent="0.2">
      <c r="A175" s="25"/>
      <c r="B175" s="41">
        <f t="shared" si="35"/>
        <v>58050</v>
      </c>
      <c r="C175" s="49" t="s">
        <v>168</v>
      </c>
      <c r="D175" s="28">
        <v>45743</v>
      </c>
      <c r="E175" s="27" t="s">
        <v>39</v>
      </c>
      <c r="F175" s="29"/>
      <c r="G175" s="30">
        <f t="shared" si="34"/>
        <v>0</v>
      </c>
      <c r="H175" s="31">
        <f>CE!C170</f>
        <v>0</v>
      </c>
      <c r="I175" s="32">
        <f>CE!G170</f>
        <v>0</v>
      </c>
      <c r="J175" s="33">
        <f>GE!C170</f>
        <v>0</v>
      </c>
      <c r="K175" s="32">
        <f>GE!G170</f>
        <v>0</v>
      </c>
      <c r="L175" s="33">
        <f>ME!C170</f>
        <v>0</v>
      </c>
      <c r="M175" s="32">
        <f>ME!G170</f>
        <v>0</v>
      </c>
      <c r="N175" s="33">
        <f>SAMPLE!C170</f>
        <v>0</v>
      </c>
      <c r="O175" s="32">
        <f>SAMPLE!G170</f>
        <v>0</v>
      </c>
      <c r="P175" s="33">
        <f>'Sheldon Elementary'!C170</f>
        <v>0</v>
      </c>
      <c r="Q175" s="32">
        <f>'Sheldon Elementary'!D170</f>
        <v>0</v>
      </c>
      <c r="R175" s="33">
        <f>SLE!C170</f>
        <v>0</v>
      </c>
      <c r="S175" s="32">
        <f>SLE!G170</f>
        <v>0</v>
      </c>
      <c r="T175" s="33">
        <f>CECA!C170</f>
        <v>0</v>
      </c>
      <c r="U175" s="32">
        <f>CECA!G170</f>
        <v>0</v>
      </c>
      <c r="V175" s="33">
        <f>SECA!C170</f>
        <v>0</v>
      </c>
      <c r="W175" s="32">
        <f>SECA!G170</f>
        <v>0</v>
      </c>
      <c r="X175" s="33">
        <f>KHS!C170</f>
        <v>0</v>
      </c>
      <c r="Y175" s="34">
        <f>KHS!G170</f>
        <v>0</v>
      </c>
      <c r="Z175" s="33">
        <f>'9TH CAMP'!C170</f>
        <v>0</v>
      </c>
      <c r="AA175" s="34">
        <f>'9TH CAMP'!G170</f>
        <v>0</v>
      </c>
      <c r="AB175" s="33">
        <f>ECHS!C170</f>
        <v>0</v>
      </c>
      <c r="AC175" s="32">
        <f>ECHS!G170</f>
        <v>0</v>
      </c>
      <c r="AD175" s="33">
        <f>KMS!C170</f>
        <v>0</v>
      </c>
      <c r="AE175" s="32">
        <f>KMS!G170</f>
        <v>0</v>
      </c>
      <c r="AF175" s="33">
        <f>NMS!C170</f>
        <v>0</v>
      </c>
      <c r="AG175" s="32">
        <f>NMS!G170</f>
        <v>0</v>
      </c>
      <c r="AH175" s="36">
        <f>Highpoint!C170</f>
        <v>0</v>
      </c>
      <c r="AI175" s="37">
        <f>KASE!D167</f>
        <v>0</v>
      </c>
      <c r="AJ175" s="38"/>
      <c r="AK175" s="39">
        <f t="shared" si="13"/>
        <v>0</v>
      </c>
      <c r="AL175" s="40"/>
    </row>
    <row r="176" spans="1:38" ht="12.75" x14ac:dyDescent="0.2">
      <c r="A176" s="25"/>
      <c r="B176" s="41">
        <f t="shared" si="35"/>
        <v>58500</v>
      </c>
      <c r="C176" s="49" t="s">
        <v>169</v>
      </c>
      <c r="D176" s="28">
        <v>45744</v>
      </c>
      <c r="E176" s="27" t="s">
        <v>41</v>
      </c>
      <c r="F176" s="29"/>
      <c r="G176" s="30">
        <f t="shared" si="34"/>
        <v>0</v>
      </c>
      <c r="H176" s="31">
        <f>CE!C171</f>
        <v>0</v>
      </c>
      <c r="I176" s="32">
        <f>CE!G171</f>
        <v>0</v>
      </c>
      <c r="J176" s="33">
        <f>GE!C171</f>
        <v>0</v>
      </c>
      <c r="K176" s="32">
        <f>GE!G171</f>
        <v>0</v>
      </c>
      <c r="L176" s="33">
        <f>ME!C171</f>
        <v>0</v>
      </c>
      <c r="M176" s="32">
        <f>ME!G171</f>
        <v>0</v>
      </c>
      <c r="N176" s="33">
        <f>SAMPLE!C171</f>
        <v>0</v>
      </c>
      <c r="O176" s="32">
        <f>SAMPLE!G171</f>
        <v>0</v>
      </c>
      <c r="P176" s="33">
        <f>'Sheldon Elementary'!C171</f>
        <v>0</v>
      </c>
      <c r="Q176" s="32">
        <f>'Sheldon Elementary'!D171</f>
        <v>0</v>
      </c>
      <c r="R176" s="33">
        <f>SLE!C171</f>
        <v>0</v>
      </c>
      <c r="S176" s="32">
        <f>SLE!G171</f>
        <v>0</v>
      </c>
      <c r="T176" s="33">
        <f>CECA!C171</f>
        <v>0</v>
      </c>
      <c r="U176" s="32">
        <f>CECA!G171</f>
        <v>0</v>
      </c>
      <c r="V176" s="33">
        <f>SECA!C171</f>
        <v>0</v>
      </c>
      <c r="W176" s="32">
        <f>SECA!G171</f>
        <v>0</v>
      </c>
      <c r="X176" s="33">
        <f>KHS!C171</f>
        <v>0</v>
      </c>
      <c r="Y176" s="34">
        <f>KHS!G171</f>
        <v>0</v>
      </c>
      <c r="Z176" s="33">
        <f>'9TH CAMP'!C171</f>
        <v>0</v>
      </c>
      <c r="AA176" s="34">
        <f>'9TH CAMP'!G171</f>
        <v>0</v>
      </c>
      <c r="AB176" s="33">
        <f>ECHS!C171</f>
        <v>0</v>
      </c>
      <c r="AC176" s="32">
        <f>ECHS!G171</f>
        <v>0</v>
      </c>
      <c r="AD176" s="33">
        <f>KMS!C171</f>
        <v>0</v>
      </c>
      <c r="AE176" s="32">
        <f>KMS!G171</f>
        <v>0</v>
      </c>
      <c r="AF176" s="33">
        <f>NMS!C171</f>
        <v>0</v>
      </c>
      <c r="AG176" s="32">
        <f>NMS!G171</f>
        <v>0</v>
      </c>
      <c r="AH176" s="36">
        <f>Highpoint!C171</f>
        <v>0</v>
      </c>
      <c r="AI176" s="37">
        <f>KASE!D168</f>
        <v>0</v>
      </c>
      <c r="AJ176" s="38"/>
      <c r="AK176" s="39">
        <f t="shared" si="13"/>
        <v>0</v>
      </c>
      <c r="AL176" s="40"/>
    </row>
    <row r="177" spans="1:38" ht="12.75" x14ac:dyDescent="0.2">
      <c r="A177" s="25"/>
      <c r="B177" s="41">
        <f t="shared" si="35"/>
        <v>58950</v>
      </c>
      <c r="C177" s="49" t="s">
        <v>170</v>
      </c>
      <c r="D177" s="28">
        <v>45747</v>
      </c>
      <c r="E177" s="27" t="s">
        <v>33</v>
      </c>
      <c r="F177" s="29"/>
      <c r="G177" s="30">
        <f t="shared" si="34"/>
        <v>0</v>
      </c>
      <c r="H177" s="31">
        <f>CE!C172</f>
        <v>0</v>
      </c>
      <c r="I177" s="32">
        <f>CE!G172</f>
        <v>0</v>
      </c>
      <c r="J177" s="33">
        <f>GE!C172</f>
        <v>0</v>
      </c>
      <c r="K177" s="32">
        <f>GE!G172</f>
        <v>0</v>
      </c>
      <c r="L177" s="33">
        <f>ME!C172</f>
        <v>0</v>
      </c>
      <c r="M177" s="32">
        <f>ME!G172</f>
        <v>0</v>
      </c>
      <c r="N177" s="33">
        <f>SAMPLE!C172</f>
        <v>0</v>
      </c>
      <c r="O177" s="32">
        <f>SAMPLE!G172</f>
        <v>0</v>
      </c>
      <c r="P177" s="33">
        <f>'Sheldon Elementary'!C172</f>
        <v>0</v>
      </c>
      <c r="Q177" s="32">
        <f>'Sheldon Elementary'!D172</f>
        <v>0</v>
      </c>
      <c r="R177" s="33">
        <f>SLE!C172</f>
        <v>0</v>
      </c>
      <c r="S177" s="32">
        <f>SLE!G172</f>
        <v>0</v>
      </c>
      <c r="T177" s="33">
        <f>CECA!C172</f>
        <v>0</v>
      </c>
      <c r="U177" s="32">
        <f>CECA!G172</f>
        <v>0</v>
      </c>
      <c r="V177" s="33">
        <f>SECA!C172</f>
        <v>0</v>
      </c>
      <c r="W177" s="32">
        <f>SECA!G172</f>
        <v>0</v>
      </c>
      <c r="X177" s="33">
        <f>KHS!C172</f>
        <v>0</v>
      </c>
      <c r="Y177" s="34">
        <f>KHS!G172</f>
        <v>0</v>
      </c>
      <c r="Z177" s="33">
        <f>'9TH CAMP'!C172</f>
        <v>0</v>
      </c>
      <c r="AA177" s="34">
        <f>'9TH CAMP'!G172</f>
        <v>0</v>
      </c>
      <c r="AB177" s="33">
        <f>ECHS!C172</f>
        <v>0</v>
      </c>
      <c r="AC177" s="32">
        <f>ECHS!G172</f>
        <v>0</v>
      </c>
      <c r="AD177" s="33">
        <f>KMS!C172</f>
        <v>0</v>
      </c>
      <c r="AE177" s="32">
        <f>KMS!G172</f>
        <v>0</v>
      </c>
      <c r="AF177" s="33">
        <f>NMS!C172</f>
        <v>0</v>
      </c>
      <c r="AG177" s="32">
        <f>NMS!G172</f>
        <v>0</v>
      </c>
      <c r="AH177" s="36">
        <f>Highpoint!C172</f>
        <v>0</v>
      </c>
      <c r="AI177" s="37">
        <f>KASE!D169</f>
        <v>0</v>
      </c>
      <c r="AJ177" s="38"/>
      <c r="AK177" s="39">
        <f t="shared" si="13"/>
        <v>0</v>
      </c>
      <c r="AL177" s="40"/>
    </row>
    <row r="178" spans="1:38" ht="12.75" x14ac:dyDescent="0.2">
      <c r="A178" s="25"/>
      <c r="B178" s="41">
        <f t="shared" si="35"/>
        <v>59400</v>
      </c>
      <c r="C178" s="49" t="s">
        <v>171</v>
      </c>
      <c r="D178" s="28">
        <v>45748</v>
      </c>
      <c r="E178" s="27" t="s">
        <v>35</v>
      </c>
      <c r="F178" s="29"/>
      <c r="G178" s="30">
        <f t="shared" ref="G178:G190" si="36">I178+K178+M178+O178+Q178+S178+U178+W178+Y178+AA178+AC178+AE178+AG178+AI178+AH178</f>
        <v>0</v>
      </c>
      <c r="H178" s="31">
        <f>CE!C173</f>
        <v>0</v>
      </c>
      <c r="I178" s="32">
        <f>CE!G173</f>
        <v>0</v>
      </c>
      <c r="J178" s="33">
        <f>GE!C173</f>
        <v>0</v>
      </c>
      <c r="K178" s="32">
        <f>GE!G173</f>
        <v>0</v>
      </c>
      <c r="L178" s="33">
        <f>ME!C173</f>
        <v>0</v>
      </c>
      <c r="M178" s="32">
        <f>ME!G173</f>
        <v>0</v>
      </c>
      <c r="N178" s="33">
        <f>SAMPLE!C173</f>
        <v>0</v>
      </c>
      <c r="O178" s="32">
        <f>SAMPLE!G173</f>
        <v>0</v>
      </c>
      <c r="P178" s="33">
        <f>'Sheldon Elementary'!C173</f>
        <v>0</v>
      </c>
      <c r="Q178" s="32">
        <f>'Sheldon Elementary'!D173</f>
        <v>0</v>
      </c>
      <c r="R178" s="33">
        <f>SLE!C173</f>
        <v>0</v>
      </c>
      <c r="S178" s="32">
        <f>SLE!G173</f>
        <v>0</v>
      </c>
      <c r="T178" s="33">
        <f>CECA!C173</f>
        <v>0</v>
      </c>
      <c r="U178" s="32">
        <f>CECA!G173</f>
        <v>0</v>
      </c>
      <c r="V178" s="33">
        <f>SECA!C173</f>
        <v>0</v>
      </c>
      <c r="W178" s="32">
        <f>SECA!G173</f>
        <v>0</v>
      </c>
      <c r="X178" s="33">
        <f>KHS!C173</f>
        <v>0</v>
      </c>
      <c r="Y178" s="34">
        <f>KHS!G173</f>
        <v>0</v>
      </c>
      <c r="Z178" s="33">
        <f>'9TH CAMP'!C173</f>
        <v>0</v>
      </c>
      <c r="AA178" s="34">
        <f>'9TH CAMP'!G173</f>
        <v>0</v>
      </c>
      <c r="AB178" s="33">
        <f>ECHS!C173</f>
        <v>0</v>
      </c>
      <c r="AC178" s="32">
        <f>ECHS!G173</f>
        <v>0</v>
      </c>
      <c r="AD178" s="33">
        <f>KMS!C173</f>
        <v>0</v>
      </c>
      <c r="AE178" s="32">
        <f>KMS!G173</f>
        <v>0</v>
      </c>
      <c r="AF178" s="33">
        <f>NMS!C173</f>
        <v>0</v>
      </c>
      <c r="AG178" s="32">
        <f>NMS!G173</f>
        <v>0</v>
      </c>
      <c r="AH178" s="36">
        <f>Highpoint!C173</f>
        <v>0</v>
      </c>
      <c r="AI178" s="37">
        <f>KASE!D170</f>
        <v>0</v>
      </c>
      <c r="AJ178" s="38"/>
      <c r="AK178" s="39">
        <f t="shared" si="13"/>
        <v>0</v>
      </c>
      <c r="AL178" s="40"/>
    </row>
    <row r="179" spans="1:38" ht="12.75" x14ac:dyDescent="0.2">
      <c r="A179" s="25"/>
      <c r="B179" s="41">
        <f t="shared" si="35"/>
        <v>59850</v>
      </c>
      <c r="C179" s="49" t="s">
        <v>172</v>
      </c>
      <c r="D179" s="28">
        <v>45749</v>
      </c>
      <c r="E179" s="27" t="s">
        <v>37</v>
      </c>
      <c r="F179" s="29"/>
      <c r="G179" s="30">
        <f t="shared" si="36"/>
        <v>0</v>
      </c>
      <c r="H179" s="31">
        <f>CE!C174</f>
        <v>0</v>
      </c>
      <c r="I179" s="32">
        <f>CE!G174</f>
        <v>0</v>
      </c>
      <c r="J179" s="33">
        <f>GE!C174</f>
        <v>0</v>
      </c>
      <c r="K179" s="32">
        <f>GE!G174</f>
        <v>0</v>
      </c>
      <c r="L179" s="33">
        <f>ME!C174</f>
        <v>0</v>
      </c>
      <c r="M179" s="32">
        <f>ME!G174</f>
        <v>0</v>
      </c>
      <c r="N179" s="33">
        <f>SAMPLE!C174</f>
        <v>0</v>
      </c>
      <c r="O179" s="32">
        <f>SAMPLE!G174</f>
        <v>0</v>
      </c>
      <c r="P179" s="33">
        <f>'Sheldon Elementary'!C174</f>
        <v>0</v>
      </c>
      <c r="Q179" s="32">
        <f>'Sheldon Elementary'!D174</f>
        <v>0</v>
      </c>
      <c r="R179" s="33">
        <f>SLE!C174</f>
        <v>0</v>
      </c>
      <c r="S179" s="32">
        <f>SLE!G174</f>
        <v>0</v>
      </c>
      <c r="T179" s="33">
        <f>CECA!C174</f>
        <v>0</v>
      </c>
      <c r="U179" s="32">
        <f>CECA!G174</f>
        <v>0</v>
      </c>
      <c r="V179" s="33">
        <f>SECA!C174</f>
        <v>0</v>
      </c>
      <c r="W179" s="32">
        <f>SECA!G174</f>
        <v>0</v>
      </c>
      <c r="X179" s="33">
        <f>KHS!C174</f>
        <v>0</v>
      </c>
      <c r="Y179" s="34">
        <f>KHS!G174</f>
        <v>0</v>
      </c>
      <c r="Z179" s="33">
        <f>'9TH CAMP'!C174</f>
        <v>0</v>
      </c>
      <c r="AA179" s="34">
        <f>'9TH CAMP'!G174</f>
        <v>0</v>
      </c>
      <c r="AB179" s="33">
        <f>ECHS!C174</f>
        <v>0</v>
      </c>
      <c r="AC179" s="32">
        <f>ECHS!G174</f>
        <v>0</v>
      </c>
      <c r="AD179" s="33">
        <f>KMS!C174</f>
        <v>0</v>
      </c>
      <c r="AE179" s="32">
        <f>KMS!G174</f>
        <v>0</v>
      </c>
      <c r="AF179" s="33">
        <f>NMS!C174</f>
        <v>0</v>
      </c>
      <c r="AG179" s="32">
        <f>NMS!G174</f>
        <v>0</v>
      </c>
      <c r="AH179" s="36">
        <f>Highpoint!C174</f>
        <v>0</v>
      </c>
      <c r="AI179" s="37">
        <f>KASE!D171</f>
        <v>0</v>
      </c>
      <c r="AJ179" s="38"/>
      <c r="AK179" s="39">
        <f t="shared" si="13"/>
        <v>0</v>
      </c>
      <c r="AL179" s="40"/>
    </row>
    <row r="180" spans="1:38" ht="12.75" x14ac:dyDescent="0.2">
      <c r="A180" s="25"/>
      <c r="B180" s="41">
        <f t="shared" si="35"/>
        <v>60300</v>
      </c>
      <c r="C180" s="49" t="s">
        <v>173</v>
      </c>
      <c r="D180" s="28">
        <v>45750</v>
      </c>
      <c r="E180" s="27" t="s">
        <v>39</v>
      </c>
      <c r="F180" s="29"/>
      <c r="G180" s="30">
        <f t="shared" si="36"/>
        <v>0</v>
      </c>
      <c r="H180" s="31">
        <f>CE!C175</f>
        <v>0</v>
      </c>
      <c r="I180" s="32">
        <f>CE!G175</f>
        <v>0</v>
      </c>
      <c r="J180" s="33">
        <f>GE!C175</f>
        <v>0</v>
      </c>
      <c r="K180" s="32">
        <f>GE!G175</f>
        <v>0</v>
      </c>
      <c r="L180" s="33">
        <f>ME!C175</f>
        <v>0</v>
      </c>
      <c r="M180" s="32">
        <f>ME!G175</f>
        <v>0</v>
      </c>
      <c r="N180" s="33">
        <f>SAMPLE!C175</f>
        <v>0</v>
      </c>
      <c r="O180" s="32">
        <f>SAMPLE!G175</f>
        <v>0</v>
      </c>
      <c r="P180" s="33">
        <f>'Sheldon Elementary'!C175</f>
        <v>0</v>
      </c>
      <c r="Q180" s="32">
        <f>'Sheldon Elementary'!D175</f>
        <v>0</v>
      </c>
      <c r="R180" s="33">
        <f>SLE!C175</f>
        <v>0</v>
      </c>
      <c r="S180" s="32">
        <f>SLE!G175</f>
        <v>0</v>
      </c>
      <c r="T180" s="33">
        <f>CECA!C175</f>
        <v>0</v>
      </c>
      <c r="U180" s="32">
        <f>CECA!G175</f>
        <v>0</v>
      </c>
      <c r="V180" s="33">
        <f>SECA!C175</f>
        <v>0</v>
      </c>
      <c r="W180" s="32">
        <f>SECA!G175</f>
        <v>0</v>
      </c>
      <c r="X180" s="33">
        <f>KHS!C175</f>
        <v>0</v>
      </c>
      <c r="Y180" s="34">
        <f>KHS!G175</f>
        <v>0</v>
      </c>
      <c r="Z180" s="33">
        <f>'9TH CAMP'!C175</f>
        <v>0</v>
      </c>
      <c r="AA180" s="34">
        <f>'9TH CAMP'!G175</f>
        <v>0</v>
      </c>
      <c r="AB180" s="33">
        <f>ECHS!C175</f>
        <v>0</v>
      </c>
      <c r="AC180" s="32">
        <f>ECHS!G175</f>
        <v>0</v>
      </c>
      <c r="AD180" s="33">
        <f>KMS!C175</f>
        <v>0</v>
      </c>
      <c r="AE180" s="32">
        <f>KMS!G175</f>
        <v>0</v>
      </c>
      <c r="AF180" s="33">
        <f>NMS!C175</f>
        <v>0</v>
      </c>
      <c r="AG180" s="32">
        <f>NMS!G175</f>
        <v>0</v>
      </c>
      <c r="AH180" s="36">
        <f>Highpoint!C175</f>
        <v>0</v>
      </c>
      <c r="AI180" s="37">
        <f>KASE!D172</f>
        <v>0</v>
      </c>
      <c r="AJ180" s="38"/>
      <c r="AK180" s="39">
        <f t="shared" si="13"/>
        <v>0</v>
      </c>
      <c r="AL180" s="40"/>
    </row>
    <row r="181" spans="1:38" ht="12.75" x14ac:dyDescent="0.2">
      <c r="A181" s="25"/>
      <c r="B181" s="41">
        <f t="shared" si="35"/>
        <v>60750</v>
      </c>
      <c r="C181" s="49" t="s">
        <v>174</v>
      </c>
      <c r="D181" s="28">
        <v>45751</v>
      </c>
      <c r="E181" s="27" t="s">
        <v>41</v>
      </c>
      <c r="F181" s="29"/>
      <c r="G181" s="30">
        <f t="shared" si="36"/>
        <v>0</v>
      </c>
      <c r="H181" s="31">
        <f>CE!C176</f>
        <v>0</v>
      </c>
      <c r="I181" s="32">
        <f>CE!G176</f>
        <v>0</v>
      </c>
      <c r="J181" s="33">
        <f>GE!C176</f>
        <v>0</v>
      </c>
      <c r="K181" s="32">
        <f>GE!G176</f>
        <v>0</v>
      </c>
      <c r="L181" s="33">
        <f>ME!C176</f>
        <v>0</v>
      </c>
      <c r="M181" s="32">
        <f>ME!G176</f>
        <v>0</v>
      </c>
      <c r="N181" s="33">
        <f>SAMPLE!C176</f>
        <v>0</v>
      </c>
      <c r="O181" s="32">
        <f>SAMPLE!G176</f>
        <v>0</v>
      </c>
      <c r="P181" s="33">
        <f>'Sheldon Elementary'!C176</f>
        <v>0</v>
      </c>
      <c r="Q181" s="32">
        <f>'Sheldon Elementary'!D176</f>
        <v>0</v>
      </c>
      <c r="R181" s="33">
        <f>SLE!C176</f>
        <v>0</v>
      </c>
      <c r="S181" s="32">
        <f>SLE!G176</f>
        <v>0</v>
      </c>
      <c r="T181" s="33">
        <f>CECA!C176</f>
        <v>0</v>
      </c>
      <c r="U181" s="32">
        <f>CECA!G176</f>
        <v>0</v>
      </c>
      <c r="V181" s="33">
        <f>SECA!C176</f>
        <v>0</v>
      </c>
      <c r="W181" s="32">
        <f>SECA!G176</f>
        <v>0</v>
      </c>
      <c r="X181" s="33">
        <f>KHS!C176</f>
        <v>0</v>
      </c>
      <c r="Y181" s="34">
        <f>KHS!G176</f>
        <v>0</v>
      </c>
      <c r="Z181" s="33">
        <f>'9TH CAMP'!C176</f>
        <v>0</v>
      </c>
      <c r="AA181" s="34">
        <f>'9TH CAMP'!G176</f>
        <v>0</v>
      </c>
      <c r="AB181" s="33">
        <f>ECHS!C176</f>
        <v>0</v>
      </c>
      <c r="AC181" s="32">
        <f>ECHS!G176</f>
        <v>0</v>
      </c>
      <c r="AD181" s="33">
        <f>KMS!C176</f>
        <v>0</v>
      </c>
      <c r="AE181" s="32">
        <f>KMS!G176</f>
        <v>0</v>
      </c>
      <c r="AF181" s="33">
        <f>NMS!C176</f>
        <v>0</v>
      </c>
      <c r="AG181" s="32">
        <f>NMS!G176</f>
        <v>0</v>
      </c>
      <c r="AH181" s="36">
        <f>Highpoint!C176</f>
        <v>0</v>
      </c>
      <c r="AI181" s="37">
        <f>KASE!D173</f>
        <v>0</v>
      </c>
      <c r="AJ181" s="38"/>
      <c r="AK181" s="39">
        <f t="shared" si="13"/>
        <v>0</v>
      </c>
      <c r="AL181" s="40"/>
    </row>
    <row r="182" spans="1:38" ht="12.75" x14ac:dyDescent="0.2">
      <c r="A182" s="26"/>
      <c r="B182" s="41">
        <f t="shared" si="35"/>
        <v>61200</v>
      </c>
      <c r="C182" s="49" t="s">
        <v>175</v>
      </c>
      <c r="D182" s="28">
        <v>45754</v>
      </c>
      <c r="E182" s="27" t="s">
        <v>33</v>
      </c>
      <c r="F182" s="29"/>
      <c r="G182" s="29">
        <f t="shared" si="36"/>
        <v>0</v>
      </c>
      <c r="H182" s="31">
        <f>CE!C177</f>
        <v>0</v>
      </c>
      <c r="I182" s="32">
        <f>CE!G177</f>
        <v>0</v>
      </c>
      <c r="J182" s="33">
        <f>GE!C177</f>
        <v>0</v>
      </c>
      <c r="K182" s="32">
        <f>GE!G177</f>
        <v>0</v>
      </c>
      <c r="L182" s="33">
        <f>ME!C177</f>
        <v>0</v>
      </c>
      <c r="M182" s="32">
        <f>ME!G177</f>
        <v>0</v>
      </c>
      <c r="N182" s="33">
        <f>SAMPLE!C177</f>
        <v>0</v>
      </c>
      <c r="O182" s="32">
        <f>SAMPLE!G177</f>
        <v>0</v>
      </c>
      <c r="P182" s="33">
        <f>'Sheldon Elementary'!C177</f>
        <v>0</v>
      </c>
      <c r="Q182" s="32">
        <f>'Sheldon Elementary'!D177</f>
        <v>0</v>
      </c>
      <c r="R182" s="33">
        <f>SLE!C177</f>
        <v>0</v>
      </c>
      <c r="S182" s="32">
        <f>SLE!G177</f>
        <v>0</v>
      </c>
      <c r="T182" s="33">
        <f>CECA!C177</f>
        <v>0</v>
      </c>
      <c r="U182" s="32">
        <f>CECA!G177</f>
        <v>0</v>
      </c>
      <c r="V182" s="33">
        <f>SECA!C177</f>
        <v>0</v>
      </c>
      <c r="W182" s="32">
        <f>SECA!G177</f>
        <v>0</v>
      </c>
      <c r="X182" s="33">
        <f>KHS!C177</f>
        <v>0</v>
      </c>
      <c r="Y182" s="34">
        <f>KHS!G177</f>
        <v>0</v>
      </c>
      <c r="Z182" s="33">
        <f>'9TH CAMP'!C177</f>
        <v>0</v>
      </c>
      <c r="AA182" s="34">
        <f>'9TH CAMP'!G177</f>
        <v>0</v>
      </c>
      <c r="AB182" s="33">
        <f>ECHS!C177</f>
        <v>0</v>
      </c>
      <c r="AC182" s="32">
        <f>ECHS!G177</f>
        <v>0</v>
      </c>
      <c r="AD182" s="33">
        <f>KMS!C177</f>
        <v>0</v>
      </c>
      <c r="AE182" s="32">
        <f>KMS!G177</f>
        <v>0</v>
      </c>
      <c r="AF182" s="33">
        <f>NMS!C177</f>
        <v>0</v>
      </c>
      <c r="AG182" s="32">
        <f>NMS!G177</f>
        <v>0</v>
      </c>
      <c r="AH182" s="36">
        <f>Highpoint!C177</f>
        <v>0</v>
      </c>
      <c r="AI182" s="37">
        <f>KASE!D174</f>
        <v>0</v>
      </c>
      <c r="AJ182" s="38"/>
      <c r="AK182" s="39">
        <f t="shared" si="13"/>
        <v>0</v>
      </c>
      <c r="AL182" s="74"/>
    </row>
    <row r="183" spans="1:38" ht="12.75" x14ac:dyDescent="0.2">
      <c r="A183" s="25"/>
      <c r="B183" s="41">
        <f t="shared" si="35"/>
        <v>61650</v>
      </c>
      <c r="C183" s="49" t="s">
        <v>176</v>
      </c>
      <c r="D183" s="28">
        <v>45755</v>
      </c>
      <c r="E183" s="27" t="s">
        <v>35</v>
      </c>
      <c r="F183" s="29"/>
      <c r="G183" s="30">
        <f t="shared" si="36"/>
        <v>0</v>
      </c>
      <c r="H183" s="31">
        <f>CE!C178</f>
        <v>0</v>
      </c>
      <c r="I183" s="32">
        <f>CE!G178</f>
        <v>0</v>
      </c>
      <c r="J183" s="33">
        <f>GE!C178</f>
        <v>0</v>
      </c>
      <c r="K183" s="32">
        <f>GE!G178</f>
        <v>0</v>
      </c>
      <c r="L183" s="33">
        <f>ME!C178</f>
        <v>0</v>
      </c>
      <c r="M183" s="32">
        <f>ME!G178</f>
        <v>0</v>
      </c>
      <c r="N183" s="33">
        <f>SAMPLE!C178</f>
        <v>0</v>
      </c>
      <c r="O183" s="32">
        <f>SAMPLE!G178</f>
        <v>0</v>
      </c>
      <c r="P183" s="33">
        <f>'Sheldon Elementary'!C178</f>
        <v>0</v>
      </c>
      <c r="Q183" s="32">
        <f>'Sheldon Elementary'!D178</f>
        <v>0</v>
      </c>
      <c r="R183" s="33">
        <f>SLE!C178</f>
        <v>0</v>
      </c>
      <c r="S183" s="32">
        <f>SLE!G178</f>
        <v>0</v>
      </c>
      <c r="T183" s="33">
        <f>CECA!C178</f>
        <v>0</v>
      </c>
      <c r="U183" s="32">
        <f>CECA!G178</f>
        <v>0</v>
      </c>
      <c r="V183" s="33">
        <f>SECA!C178</f>
        <v>0</v>
      </c>
      <c r="W183" s="32">
        <f>SECA!G178</f>
        <v>0</v>
      </c>
      <c r="X183" s="33">
        <f>KHS!C178</f>
        <v>0</v>
      </c>
      <c r="Y183" s="34">
        <f>KHS!G178</f>
        <v>0</v>
      </c>
      <c r="Z183" s="33">
        <f>'9TH CAMP'!C178</f>
        <v>0</v>
      </c>
      <c r="AA183" s="34">
        <f>'9TH CAMP'!G178</f>
        <v>0</v>
      </c>
      <c r="AB183" s="33">
        <f>ECHS!C178</f>
        <v>0</v>
      </c>
      <c r="AC183" s="32">
        <f>ECHS!G178</f>
        <v>0</v>
      </c>
      <c r="AD183" s="33">
        <f>KMS!C178</f>
        <v>0</v>
      </c>
      <c r="AE183" s="32">
        <f>KMS!G178</f>
        <v>0</v>
      </c>
      <c r="AF183" s="33">
        <f>NMS!C178</f>
        <v>0</v>
      </c>
      <c r="AG183" s="32">
        <f>NMS!G178</f>
        <v>0</v>
      </c>
      <c r="AH183" s="36">
        <f>Highpoint!C178</f>
        <v>0</v>
      </c>
      <c r="AI183" s="37">
        <f>KASE!D175</f>
        <v>0</v>
      </c>
      <c r="AJ183" s="38"/>
      <c r="AK183" s="39">
        <f t="shared" si="13"/>
        <v>0</v>
      </c>
      <c r="AL183" s="40"/>
    </row>
    <row r="184" spans="1:38" ht="12.75" x14ac:dyDescent="0.2">
      <c r="A184" s="25"/>
      <c r="B184" s="41">
        <f t="shared" si="35"/>
        <v>62100</v>
      </c>
      <c r="C184" s="49" t="s">
        <v>177</v>
      </c>
      <c r="D184" s="28">
        <v>45756</v>
      </c>
      <c r="E184" s="27" t="s">
        <v>37</v>
      </c>
      <c r="F184" s="29"/>
      <c r="G184" s="30">
        <f t="shared" si="36"/>
        <v>0</v>
      </c>
      <c r="H184" s="31">
        <f>CE!C179</f>
        <v>0</v>
      </c>
      <c r="I184" s="32">
        <f>CE!G179</f>
        <v>0</v>
      </c>
      <c r="J184" s="33">
        <f>GE!C179</f>
        <v>0</v>
      </c>
      <c r="K184" s="32">
        <f>GE!G179</f>
        <v>0</v>
      </c>
      <c r="L184" s="33">
        <f>ME!C179</f>
        <v>0</v>
      </c>
      <c r="M184" s="32">
        <f>ME!G179</f>
        <v>0</v>
      </c>
      <c r="N184" s="33">
        <f>SAMPLE!C179</f>
        <v>0</v>
      </c>
      <c r="O184" s="32">
        <f>SAMPLE!G179</f>
        <v>0</v>
      </c>
      <c r="P184" s="33">
        <f>'Sheldon Elementary'!C179</f>
        <v>0</v>
      </c>
      <c r="Q184" s="32">
        <f>'Sheldon Elementary'!D179</f>
        <v>0</v>
      </c>
      <c r="R184" s="33">
        <f>SLE!C179</f>
        <v>0</v>
      </c>
      <c r="S184" s="32">
        <f>SLE!G179</f>
        <v>0</v>
      </c>
      <c r="T184" s="33">
        <f>CECA!C179</f>
        <v>0</v>
      </c>
      <c r="U184" s="32">
        <f>CECA!G179</f>
        <v>0</v>
      </c>
      <c r="V184" s="33">
        <f>SECA!C179</f>
        <v>0</v>
      </c>
      <c r="W184" s="32">
        <f>SECA!G179</f>
        <v>0</v>
      </c>
      <c r="X184" s="33">
        <f>KHS!C179</f>
        <v>0</v>
      </c>
      <c r="Y184" s="34">
        <f>KHS!G179</f>
        <v>0</v>
      </c>
      <c r="Z184" s="33">
        <f>'9TH CAMP'!C179</f>
        <v>0</v>
      </c>
      <c r="AA184" s="34">
        <f>'9TH CAMP'!G179</f>
        <v>0</v>
      </c>
      <c r="AB184" s="33">
        <f>ECHS!C179</f>
        <v>0</v>
      </c>
      <c r="AC184" s="32">
        <f>ECHS!G179</f>
        <v>0</v>
      </c>
      <c r="AD184" s="33">
        <f>KMS!C179</f>
        <v>0</v>
      </c>
      <c r="AE184" s="32">
        <f>KMS!G179</f>
        <v>0</v>
      </c>
      <c r="AF184" s="33">
        <f>NMS!C179</f>
        <v>0</v>
      </c>
      <c r="AG184" s="32">
        <f>NMS!G179</f>
        <v>0</v>
      </c>
      <c r="AH184" s="36">
        <f>Highpoint!C179</f>
        <v>0</v>
      </c>
      <c r="AI184" s="37">
        <f>KASE!D176</f>
        <v>0</v>
      </c>
      <c r="AJ184" s="38"/>
      <c r="AK184" s="39">
        <f t="shared" si="13"/>
        <v>0</v>
      </c>
      <c r="AL184" s="40"/>
    </row>
    <row r="185" spans="1:38" ht="12.75" x14ac:dyDescent="0.2">
      <c r="A185" s="25"/>
      <c r="B185" s="41">
        <f t="shared" si="35"/>
        <v>62550</v>
      </c>
      <c r="C185" s="49" t="s">
        <v>178</v>
      </c>
      <c r="D185" s="28">
        <v>45757</v>
      </c>
      <c r="E185" s="27" t="s">
        <v>39</v>
      </c>
      <c r="F185" s="29"/>
      <c r="G185" s="30">
        <f t="shared" si="36"/>
        <v>0</v>
      </c>
      <c r="H185" s="31">
        <f>CE!C180</f>
        <v>0</v>
      </c>
      <c r="I185" s="32">
        <f>CE!G180</f>
        <v>0</v>
      </c>
      <c r="J185" s="33">
        <f>GE!C180</f>
        <v>0</v>
      </c>
      <c r="K185" s="32">
        <f>GE!G180</f>
        <v>0</v>
      </c>
      <c r="L185" s="33">
        <f>ME!C180</f>
        <v>0</v>
      </c>
      <c r="M185" s="32">
        <f>ME!G180</f>
        <v>0</v>
      </c>
      <c r="N185" s="33">
        <f>SAMPLE!C180</f>
        <v>0</v>
      </c>
      <c r="O185" s="32">
        <f>SAMPLE!G180</f>
        <v>0</v>
      </c>
      <c r="P185" s="33">
        <f>'Sheldon Elementary'!C180</f>
        <v>0</v>
      </c>
      <c r="Q185" s="32">
        <f>'Sheldon Elementary'!D180</f>
        <v>0</v>
      </c>
      <c r="R185" s="33">
        <f>SLE!C180</f>
        <v>0</v>
      </c>
      <c r="S185" s="32">
        <f>SLE!G180</f>
        <v>0</v>
      </c>
      <c r="T185" s="33">
        <f>CECA!C180</f>
        <v>0</v>
      </c>
      <c r="U185" s="32">
        <f>CECA!G180</f>
        <v>0</v>
      </c>
      <c r="V185" s="33">
        <f>SECA!C180</f>
        <v>0</v>
      </c>
      <c r="W185" s="32">
        <f>SECA!G180</f>
        <v>0</v>
      </c>
      <c r="X185" s="33">
        <f>KHS!C180</f>
        <v>0</v>
      </c>
      <c r="Y185" s="34">
        <f>KHS!G180</f>
        <v>0</v>
      </c>
      <c r="Z185" s="33">
        <f>'9TH CAMP'!C180</f>
        <v>0</v>
      </c>
      <c r="AA185" s="34">
        <f>'9TH CAMP'!G180</f>
        <v>0</v>
      </c>
      <c r="AB185" s="33">
        <f>ECHS!C180</f>
        <v>0</v>
      </c>
      <c r="AC185" s="32">
        <f>ECHS!G180</f>
        <v>0</v>
      </c>
      <c r="AD185" s="33">
        <f>KMS!C180</f>
        <v>0</v>
      </c>
      <c r="AE185" s="32">
        <f>KMS!G180</f>
        <v>0</v>
      </c>
      <c r="AF185" s="33">
        <f>NMS!C180</f>
        <v>0</v>
      </c>
      <c r="AG185" s="32">
        <f>NMS!G180</f>
        <v>0</v>
      </c>
      <c r="AH185" s="36">
        <f>Highpoint!C180</f>
        <v>0</v>
      </c>
      <c r="AI185" s="37">
        <f>KASE!D177</f>
        <v>0</v>
      </c>
      <c r="AJ185" s="38"/>
      <c r="AK185" s="39">
        <f t="shared" si="13"/>
        <v>0</v>
      </c>
      <c r="AL185" s="40"/>
    </row>
    <row r="186" spans="1:38" ht="12.75" x14ac:dyDescent="0.2">
      <c r="A186" s="25"/>
      <c r="B186" s="41">
        <f t="shared" si="35"/>
        <v>63000</v>
      </c>
      <c r="C186" s="49" t="s">
        <v>179</v>
      </c>
      <c r="D186" s="28">
        <v>45758</v>
      </c>
      <c r="E186" s="27" t="s">
        <v>41</v>
      </c>
      <c r="F186" s="29"/>
      <c r="G186" s="30">
        <f t="shared" si="36"/>
        <v>0</v>
      </c>
      <c r="H186" s="31">
        <f>CE!C181</f>
        <v>0</v>
      </c>
      <c r="I186" s="32">
        <f>CE!G181</f>
        <v>0</v>
      </c>
      <c r="J186" s="33">
        <f>GE!C181</f>
        <v>0</v>
      </c>
      <c r="K186" s="32">
        <f>GE!G181</f>
        <v>0</v>
      </c>
      <c r="L186" s="33">
        <f>ME!C181</f>
        <v>0</v>
      </c>
      <c r="M186" s="32">
        <f>ME!G181</f>
        <v>0</v>
      </c>
      <c r="N186" s="33">
        <f>SAMPLE!C181</f>
        <v>0</v>
      </c>
      <c r="O186" s="32">
        <f>SAMPLE!G181</f>
        <v>0</v>
      </c>
      <c r="P186" s="33">
        <f>'Sheldon Elementary'!C181</f>
        <v>0</v>
      </c>
      <c r="Q186" s="32">
        <f>'Sheldon Elementary'!D181</f>
        <v>0</v>
      </c>
      <c r="R186" s="33">
        <f>SLE!C181</f>
        <v>0</v>
      </c>
      <c r="S186" s="32">
        <f>SLE!G181</f>
        <v>0</v>
      </c>
      <c r="T186" s="33">
        <f>CECA!C181</f>
        <v>0</v>
      </c>
      <c r="U186" s="32">
        <f>CECA!G181</f>
        <v>0</v>
      </c>
      <c r="V186" s="33">
        <f>SECA!C181</f>
        <v>0</v>
      </c>
      <c r="W186" s="32">
        <f>SECA!G181</f>
        <v>0</v>
      </c>
      <c r="X186" s="33">
        <f>KHS!C181</f>
        <v>0</v>
      </c>
      <c r="Y186" s="34">
        <f>KHS!G181</f>
        <v>0</v>
      </c>
      <c r="Z186" s="33">
        <f>'9TH CAMP'!C181</f>
        <v>0</v>
      </c>
      <c r="AA186" s="34">
        <f>'9TH CAMP'!G181</f>
        <v>0</v>
      </c>
      <c r="AB186" s="33">
        <f>ECHS!C181</f>
        <v>0</v>
      </c>
      <c r="AC186" s="32">
        <f>ECHS!G181</f>
        <v>0</v>
      </c>
      <c r="AD186" s="33">
        <f>KMS!C181</f>
        <v>0</v>
      </c>
      <c r="AE186" s="32">
        <f>KMS!G181</f>
        <v>0</v>
      </c>
      <c r="AF186" s="33">
        <f>NMS!C181</f>
        <v>0</v>
      </c>
      <c r="AG186" s="32">
        <f>NMS!G181</f>
        <v>0</v>
      </c>
      <c r="AH186" s="36">
        <f>Highpoint!C181</f>
        <v>0</v>
      </c>
      <c r="AI186" s="37">
        <f>KASE!D178</f>
        <v>0</v>
      </c>
      <c r="AJ186" s="38"/>
      <c r="AK186" s="39">
        <f t="shared" si="13"/>
        <v>0</v>
      </c>
      <c r="AL186" s="40"/>
    </row>
    <row r="187" spans="1:38" ht="12.75" x14ac:dyDescent="0.2">
      <c r="A187" s="25"/>
      <c r="B187" s="41">
        <f t="shared" si="35"/>
        <v>63450</v>
      </c>
      <c r="C187" s="49" t="s">
        <v>180</v>
      </c>
      <c r="D187" s="28">
        <v>45761</v>
      </c>
      <c r="E187" s="27" t="s">
        <v>33</v>
      </c>
      <c r="F187" s="29"/>
      <c r="G187" s="30">
        <f t="shared" si="36"/>
        <v>0</v>
      </c>
      <c r="H187" s="31">
        <f>CE!C182</f>
        <v>0</v>
      </c>
      <c r="I187" s="32">
        <f>CE!G182</f>
        <v>0</v>
      </c>
      <c r="J187" s="33">
        <f>GE!C182</f>
        <v>0</v>
      </c>
      <c r="K187" s="32">
        <f>GE!G182</f>
        <v>0</v>
      </c>
      <c r="L187" s="33">
        <f>ME!C182</f>
        <v>0</v>
      </c>
      <c r="M187" s="32">
        <f>ME!G182</f>
        <v>0</v>
      </c>
      <c r="N187" s="33">
        <f>SAMPLE!C182</f>
        <v>0</v>
      </c>
      <c r="O187" s="32">
        <f>SAMPLE!G182</f>
        <v>0</v>
      </c>
      <c r="P187" s="33">
        <f>'Sheldon Elementary'!C182</f>
        <v>0</v>
      </c>
      <c r="Q187" s="32">
        <f>'Sheldon Elementary'!D182</f>
        <v>0</v>
      </c>
      <c r="R187" s="33">
        <f>SLE!C182</f>
        <v>0</v>
      </c>
      <c r="S187" s="32">
        <f>SLE!G182</f>
        <v>0</v>
      </c>
      <c r="T187" s="33">
        <f>CECA!C182</f>
        <v>0</v>
      </c>
      <c r="U187" s="32">
        <f>CECA!G182</f>
        <v>0</v>
      </c>
      <c r="V187" s="33">
        <f>SECA!C182</f>
        <v>0</v>
      </c>
      <c r="W187" s="32">
        <f>SECA!G182</f>
        <v>0</v>
      </c>
      <c r="X187" s="33">
        <f>KHS!C182</f>
        <v>0</v>
      </c>
      <c r="Y187" s="34">
        <f>KHS!G182</f>
        <v>0</v>
      </c>
      <c r="Z187" s="33">
        <f>'9TH CAMP'!C182</f>
        <v>0</v>
      </c>
      <c r="AA187" s="34">
        <f>'9TH CAMP'!G182</f>
        <v>0</v>
      </c>
      <c r="AB187" s="33">
        <f>ECHS!C182</f>
        <v>0</v>
      </c>
      <c r="AC187" s="32">
        <f>ECHS!G182</f>
        <v>0</v>
      </c>
      <c r="AD187" s="33">
        <f>KMS!C182</f>
        <v>0</v>
      </c>
      <c r="AE187" s="32">
        <f>KMS!G182</f>
        <v>0</v>
      </c>
      <c r="AF187" s="33">
        <f>NMS!C182</f>
        <v>0</v>
      </c>
      <c r="AG187" s="32">
        <f>NMS!G182</f>
        <v>0</v>
      </c>
      <c r="AH187" s="36">
        <f>Highpoint!C182</f>
        <v>0</v>
      </c>
      <c r="AI187" s="37">
        <f>KASE!D179</f>
        <v>0</v>
      </c>
      <c r="AJ187" s="38"/>
      <c r="AK187" s="39">
        <f t="shared" si="13"/>
        <v>0</v>
      </c>
      <c r="AL187" s="40"/>
    </row>
    <row r="188" spans="1:38" ht="12.75" x14ac:dyDescent="0.2">
      <c r="A188" s="25"/>
      <c r="B188" s="41">
        <f t="shared" si="35"/>
        <v>63900</v>
      </c>
      <c r="C188" s="49" t="s">
        <v>181</v>
      </c>
      <c r="D188" s="28">
        <v>45762</v>
      </c>
      <c r="E188" s="27" t="s">
        <v>35</v>
      </c>
      <c r="F188" s="29"/>
      <c r="G188" s="30">
        <f t="shared" si="36"/>
        <v>0</v>
      </c>
      <c r="H188" s="31">
        <f>CE!C183</f>
        <v>0</v>
      </c>
      <c r="I188" s="32">
        <f>CE!G183</f>
        <v>0</v>
      </c>
      <c r="J188" s="33">
        <f>GE!C183</f>
        <v>0</v>
      </c>
      <c r="K188" s="32">
        <f>GE!G183</f>
        <v>0</v>
      </c>
      <c r="L188" s="33">
        <f>ME!C183</f>
        <v>0</v>
      </c>
      <c r="M188" s="32">
        <f>ME!G183</f>
        <v>0</v>
      </c>
      <c r="N188" s="33">
        <f>SAMPLE!C183</f>
        <v>0</v>
      </c>
      <c r="O188" s="32">
        <f>SAMPLE!G183</f>
        <v>0</v>
      </c>
      <c r="P188" s="33">
        <f>'Sheldon Elementary'!C183</f>
        <v>0</v>
      </c>
      <c r="Q188" s="32">
        <f>'Sheldon Elementary'!D183</f>
        <v>0</v>
      </c>
      <c r="R188" s="33">
        <f>SLE!C183</f>
        <v>0</v>
      </c>
      <c r="S188" s="32">
        <f>SLE!G183</f>
        <v>0</v>
      </c>
      <c r="T188" s="33">
        <f>CECA!C183</f>
        <v>0</v>
      </c>
      <c r="U188" s="32">
        <f>CECA!G183</f>
        <v>0</v>
      </c>
      <c r="V188" s="33">
        <f>SECA!C183</f>
        <v>0</v>
      </c>
      <c r="W188" s="32">
        <f>SECA!G183</f>
        <v>0</v>
      </c>
      <c r="X188" s="33">
        <f>KHS!C183</f>
        <v>0</v>
      </c>
      <c r="Y188" s="34">
        <f>KHS!G183</f>
        <v>0</v>
      </c>
      <c r="Z188" s="33">
        <f>'9TH CAMP'!C183</f>
        <v>0</v>
      </c>
      <c r="AA188" s="34">
        <f>'9TH CAMP'!G183</f>
        <v>0</v>
      </c>
      <c r="AB188" s="33">
        <f>ECHS!C183</f>
        <v>0</v>
      </c>
      <c r="AC188" s="32">
        <f>ECHS!G183</f>
        <v>0</v>
      </c>
      <c r="AD188" s="33">
        <f>KMS!C183</f>
        <v>0</v>
      </c>
      <c r="AE188" s="32">
        <f>KMS!G183</f>
        <v>0</v>
      </c>
      <c r="AF188" s="33">
        <f>NMS!C183</f>
        <v>0</v>
      </c>
      <c r="AG188" s="32">
        <f>NMS!G183</f>
        <v>0</v>
      </c>
      <c r="AH188" s="36">
        <f>Highpoint!C183</f>
        <v>0</v>
      </c>
      <c r="AI188" s="37">
        <f>KASE!D180</f>
        <v>0</v>
      </c>
      <c r="AJ188" s="38"/>
      <c r="AK188" s="39">
        <f t="shared" si="13"/>
        <v>0</v>
      </c>
      <c r="AL188" s="40"/>
    </row>
    <row r="189" spans="1:38" ht="12.75" x14ac:dyDescent="0.2">
      <c r="A189" s="25"/>
      <c r="B189" s="41">
        <f t="shared" si="35"/>
        <v>64350</v>
      </c>
      <c r="C189" s="49" t="s">
        <v>182</v>
      </c>
      <c r="D189" s="28">
        <v>45763</v>
      </c>
      <c r="E189" s="27" t="s">
        <v>37</v>
      </c>
      <c r="F189" s="29"/>
      <c r="G189" s="30">
        <f t="shared" si="36"/>
        <v>0</v>
      </c>
      <c r="H189" s="31">
        <f>CE!C184</f>
        <v>0</v>
      </c>
      <c r="I189" s="32">
        <f>CE!G184</f>
        <v>0</v>
      </c>
      <c r="J189" s="33">
        <f>GE!C184</f>
        <v>0</v>
      </c>
      <c r="K189" s="32">
        <f>GE!G184</f>
        <v>0</v>
      </c>
      <c r="L189" s="33">
        <f>ME!C184</f>
        <v>0</v>
      </c>
      <c r="M189" s="32">
        <f>ME!G184</f>
        <v>0</v>
      </c>
      <c r="N189" s="33">
        <f>SAMPLE!C184</f>
        <v>0</v>
      </c>
      <c r="O189" s="32">
        <f>SAMPLE!G184</f>
        <v>0</v>
      </c>
      <c r="P189" s="33">
        <f>'Sheldon Elementary'!C184</f>
        <v>0</v>
      </c>
      <c r="Q189" s="32">
        <f>'Sheldon Elementary'!D184</f>
        <v>0</v>
      </c>
      <c r="R189" s="33">
        <f>SLE!C184</f>
        <v>0</v>
      </c>
      <c r="S189" s="32">
        <f>SLE!G184</f>
        <v>0</v>
      </c>
      <c r="T189" s="33">
        <f>CECA!C184</f>
        <v>0</v>
      </c>
      <c r="U189" s="32">
        <f>CECA!G184</f>
        <v>0</v>
      </c>
      <c r="V189" s="33">
        <f>SECA!C184</f>
        <v>0</v>
      </c>
      <c r="W189" s="32">
        <f>SECA!G184</f>
        <v>0</v>
      </c>
      <c r="X189" s="33">
        <f>KHS!C184</f>
        <v>0</v>
      </c>
      <c r="Y189" s="34">
        <f>KHS!G184</f>
        <v>0</v>
      </c>
      <c r="Z189" s="33">
        <f>'9TH CAMP'!C184</f>
        <v>0</v>
      </c>
      <c r="AA189" s="34">
        <f>'9TH CAMP'!G184</f>
        <v>0</v>
      </c>
      <c r="AB189" s="33">
        <f>ECHS!C184</f>
        <v>0</v>
      </c>
      <c r="AC189" s="32">
        <f>ECHS!G184</f>
        <v>0</v>
      </c>
      <c r="AD189" s="33">
        <f>KMS!C184</f>
        <v>0</v>
      </c>
      <c r="AE189" s="32">
        <f>KMS!G184</f>
        <v>0</v>
      </c>
      <c r="AF189" s="33">
        <f>NMS!C184</f>
        <v>0</v>
      </c>
      <c r="AG189" s="32">
        <f>NMS!G184</f>
        <v>0</v>
      </c>
      <c r="AH189" s="36">
        <f>Highpoint!C184</f>
        <v>0</v>
      </c>
      <c r="AI189" s="37">
        <f>KASE!D181</f>
        <v>0</v>
      </c>
      <c r="AJ189" s="38"/>
      <c r="AK189" s="39">
        <f t="shared" si="13"/>
        <v>0</v>
      </c>
      <c r="AL189" s="40"/>
    </row>
    <row r="190" spans="1:38" ht="12.75" x14ac:dyDescent="0.2">
      <c r="A190" s="25"/>
      <c r="B190" s="41">
        <f t="shared" si="35"/>
        <v>64800</v>
      </c>
      <c r="C190" s="49" t="s">
        <v>183</v>
      </c>
      <c r="D190" s="28">
        <v>45764</v>
      </c>
      <c r="E190" s="27" t="s">
        <v>39</v>
      </c>
      <c r="F190" s="29"/>
      <c r="G190" s="30">
        <f t="shared" si="36"/>
        <v>0</v>
      </c>
      <c r="H190" s="31">
        <f>CE!C185</f>
        <v>0</v>
      </c>
      <c r="I190" s="32">
        <f>CE!G185</f>
        <v>0</v>
      </c>
      <c r="J190" s="33">
        <f>GE!C185</f>
        <v>0</v>
      </c>
      <c r="K190" s="32">
        <f>GE!G185</f>
        <v>0</v>
      </c>
      <c r="L190" s="33">
        <f>ME!C185</f>
        <v>0</v>
      </c>
      <c r="M190" s="32">
        <f>ME!G185</f>
        <v>0</v>
      </c>
      <c r="N190" s="33">
        <f>SAMPLE!C185</f>
        <v>0</v>
      </c>
      <c r="O190" s="32">
        <f>SAMPLE!G185</f>
        <v>0</v>
      </c>
      <c r="P190" s="33">
        <f>'Sheldon Elementary'!C185</f>
        <v>0</v>
      </c>
      <c r="Q190" s="32">
        <f>'Sheldon Elementary'!D185</f>
        <v>0</v>
      </c>
      <c r="R190" s="33">
        <f>SLE!C185</f>
        <v>0</v>
      </c>
      <c r="S190" s="32">
        <f>SLE!G185</f>
        <v>0</v>
      </c>
      <c r="T190" s="33">
        <f>CECA!C185</f>
        <v>0</v>
      </c>
      <c r="U190" s="32">
        <f>CECA!G185</f>
        <v>0</v>
      </c>
      <c r="V190" s="33">
        <f>SECA!C185</f>
        <v>0</v>
      </c>
      <c r="W190" s="32">
        <f>SECA!G185</f>
        <v>0</v>
      </c>
      <c r="X190" s="33">
        <f>KHS!C185</f>
        <v>0</v>
      </c>
      <c r="Y190" s="34">
        <f>KHS!G185</f>
        <v>0</v>
      </c>
      <c r="Z190" s="33">
        <f>'9TH CAMP'!C185</f>
        <v>0</v>
      </c>
      <c r="AA190" s="34">
        <f>'9TH CAMP'!G185</f>
        <v>0</v>
      </c>
      <c r="AB190" s="33">
        <f>ECHS!C185</f>
        <v>0</v>
      </c>
      <c r="AC190" s="32">
        <f>ECHS!G185</f>
        <v>0</v>
      </c>
      <c r="AD190" s="33">
        <f>KMS!C185</f>
        <v>0</v>
      </c>
      <c r="AE190" s="32">
        <f>KMS!G185</f>
        <v>0</v>
      </c>
      <c r="AF190" s="33">
        <f>NMS!C185</f>
        <v>0</v>
      </c>
      <c r="AG190" s="32">
        <f>NMS!G185</f>
        <v>0</v>
      </c>
      <c r="AH190" s="36">
        <f>Highpoint!C185</f>
        <v>0</v>
      </c>
      <c r="AI190" s="37">
        <f>KASE!D182</f>
        <v>0</v>
      </c>
      <c r="AJ190" s="38"/>
      <c r="AK190" s="39">
        <f t="shared" si="13"/>
        <v>0</v>
      </c>
      <c r="AL190" s="40"/>
    </row>
    <row r="191" spans="1:38" ht="12.75" x14ac:dyDescent="0.2">
      <c r="A191" s="205" t="s">
        <v>52</v>
      </c>
      <c r="B191" s="206"/>
      <c r="C191" s="206"/>
      <c r="D191" s="43">
        <v>45765</v>
      </c>
      <c r="E191" s="42" t="s">
        <v>41</v>
      </c>
      <c r="F191" s="44"/>
      <c r="G191" s="44"/>
      <c r="H191" s="55"/>
      <c r="I191" s="56"/>
      <c r="J191" s="57"/>
      <c r="K191" s="56"/>
      <c r="L191" s="57"/>
      <c r="M191" s="56"/>
      <c r="N191" s="57"/>
      <c r="O191" s="56"/>
      <c r="P191" s="57"/>
      <c r="Q191" s="56"/>
      <c r="R191" s="57"/>
      <c r="S191" s="56"/>
      <c r="T191" s="57"/>
      <c r="U191" s="56"/>
      <c r="V191" s="58"/>
      <c r="W191" s="56"/>
      <c r="X191" s="58"/>
      <c r="Y191" s="59"/>
      <c r="Z191" s="58"/>
      <c r="AA191" s="59"/>
      <c r="AB191" s="57"/>
      <c r="AC191" s="56"/>
      <c r="AD191" s="57"/>
      <c r="AE191" s="56"/>
      <c r="AF191" s="57"/>
      <c r="AG191" s="56"/>
      <c r="AH191" s="51"/>
      <c r="AI191" s="60"/>
      <c r="AJ191" s="45"/>
      <c r="AK191" s="40" t="e">
        <f t="shared" si="13"/>
        <v>#DIV/0!</v>
      </c>
      <c r="AL191" s="45"/>
    </row>
    <row r="192" spans="1:38" ht="12.75" x14ac:dyDescent="0.2">
      <c r="A192" s="205" t="s">
        <v>52</v>
      </c>
      <c r="B192" s="206"/>
      <c r="C192" s="206"/>
      <c r="D192" s="43">
        <v>45768</v>
      </c>
      <c r="E192" s="42" t="s">
        <v>33</v>
      </c>
      <c r="F192" s="44"/>
      <c r="G192" s="44"/>
      <c r="H192" s="55"/>
      <c r="I192" s="56"/>
      <c r="J192" s="57"/>
      <c r="K192" s="56"/>
      <c r="L192" s="57"/>
      <c r="M192" s="56"/>
      <c r="N192" s="57"/>
      <c r="O192" s="56"/>
      <c r="P192" s="57"/>
      <c r="Q192" s="56"/>
      <c r="R192" s="57"/>
      <c r="S192" s="56"/>
      <c r="T192" s="57"/>
      <c r="U192" s="56"/>
      <c r="V192" s="58"/>
      <c r="W192" s="56"/>
      <c r="X192" s="58"/>
      <c r="Y192" s="59"/>
      <c r="Z192" s="58"/>
      <c r="AA192" s="59"/>
      <c r="AB192" s="57"/>
      <c r="AC192" s="56"/>
      <c r="AD192" s="57"/>
      <c r="AE192" s="56"/>
      <c r="AF192" s="57"/>
      <c r="AG192" s="56"/>
      <c r="AH192" s="51"/>
      <c r="AI192" s="60"/>
      <c r="AJ192" s="45"/>
      <c r="AK192" s="40" t="e">
        <f t="shared" si="13"/>
        <v>#DIV/0!</v>
      </c>
      <c r="AL192" s="45"/>
    </row>
    <row r="193" spans="1:38" ht="12.75" x14ac:dyDescent="0.2">
      <c r="A193" s="25"/>
      <c r="B193" s="41">
        <f>B190+450</f>
        <v>65250</v>
      </c>
      <c r="C193" s="49" t="s">
        <v>184</v>
      </c>
      <c r="D193" s="28">
        <v>45769</v>
      </c>
      <c r="E193" s="27" t="s">
        <v>35</v>
      </c>
      <c r="F193" s="29"/>
      <c r="G193" s="30">
        <f t="shared" ref="G193:G216" si="37">I193+K193+M193+O193+Q193+S193+U193+W193+Y193+AA193+AC193+AE193+AG193+AI193+AH193</f>
        <v>0</v>
      </c>
      <c r="H193" s="31">
        <f>CE!C188</f>
        <v>0</v>
      </c>
      <c r="I193" s="32">
        <f>CE!G188</f>
        <v>0</v>
      </c>
      <c r="J193" s="33">
        <f>GE!C188</f>
        <v>0</v>
      </c>
      <c r="K193" s="32">
        <f>GE!G188</f>
        <v>0</v>
      </c>
      <c r="L193" s="33">
        <f>ME!C188</f>
        <v>0</v>
      </c>
      <c r="M193" s="32">
        <f>ME!G188</f>
        <v>0</v>
      </c>
      <c r="N193" s="33">
        <f>SAMPLE!C188</f>
        <v>0</v>
      </c>
      <c r="O193" s="32">
        <f>SAMPLE!G188</f>
        <v>0</v>
      </c>
      <c r="P193" s="33">
        <f>'Sheldon Elementary'!C188</f>
        <v>0</v>
      </c>
      <c r="Q193" s="32">
        <f>'Sheldon Elementary'!D188</f>
        <v>0</v>
      </c>
      <c r="R193" s="33">
        <f>SLE!C188</f>
        <v>0</v>
      </c>
      <c r="S193" s="32">
        <f>SLE!G188</f>
        <v>0</v>
      </c>
      <c r="T193" s="33">
        <f>CECA!C188</f>
        <v>0</v>
      </c>
      <c r="U193" s="32">
        <f>CECA!G188</f>
        <v>0</v>
      </c>
      <c r="V193" s="33">
        <f>SECA!C188</f>
        <v>0</v>
      </c>
      <c r="W193" s="32">
        <f>SECA!G188</f>
        <v>0</v>
      </c>
      <c r="X193" s="33">
        <f>KHS!C188</f>
        <v>0</v>
      </c>
      <c r="Y193" s="34">
        <f>KHS!G188</f>
        <v>0</v>
      </c>
      <c r="Z193" s="33">
        <f>'9TH CAMP'!C188</f>
        <v>0</v>
      </c>
      <c r="AA193" s="34">
        <f>'9TH CAMP'!G188</f>
        <v>0</v>
      </c>
      <c r="AB193" s="33">
        <f>ECHS!C188</f>
        <v>0</v>
      </c>
      <c r="AC193" s="32">
        <f>ECHS!G188</f>
        <v>0</v>
      </c>
      <c r="AD193" s="33">
        <f>KMS!C188</f>
        <v>0</v>
      </c>
      <c r="AE193" s="32">
        <f>KMS!G188</f>
        <v>0</v>
      </c>
      <c r="AF193" s="33">
        <f>NMS!C188</f>
        <v>0</v>
      </c>
      <c r="AG193" s="32">
        <f>NMS!G188</f>
        <v>0</v>
      </c>
      <c r="AH193" s="36">
        <f>Highpoint!C188</f>
        <v>0</v>
      </c>
      <c r="AI193" s="37">
        <f>KASE!D185</f>
        <v>0</v>
      </c>
      <c r="AJ193" s="38"/>
      <c r="AK193" s="39">
        <f t="shared" si="13"/>
        <v>0</v>
      </c>
      <c r="AL193" s="40"/>
    </row>
    <row r="194" spans="1:38" ht="12.75" x14ac:dyDescent="0.2">
      <c r="A194" s="25"/>
      <c r="B194" s="41">
        <f t="shared" ref="B194:B211" si="38">B193+450</f>
        <v>65700</v>
      </c>
      <c r="C194" s="49" t="s">
        <v>185</v>
      </c>
      <c r="D194" s="28">
        <v>45770</v>
      </c>
      <c r="E194" s="27" t="s">
        <v>37</v>
      </c>
      <c r="F194" s="29"/>
      <c r="G194" s="30">
        <f t="shared" si="37"/>
        <v>0</v>
      </c>
      <c r="H194" s="31">
        <f>CE!C189</f>
        <v>0</v>
      </c>
      <c r="I194" s="32">
        <f>CE!G189</f>
        <v>0</v>
      </c>
      <c r="J194" s="33">
        <f>GE!C189</f>
        <v>0</v>
      </c>
      <c r="K194" s="32">
        <f>GE!G189</f>
        <v>0</v>
      </c>
      <c r="L194" s="33">
        <f>ME!C189</f>
        <v>0</v>
      </c>
      <c r="M194" s="32">
        <f>ME!G189</f>
        <v>0</v>
      </c>
      <c r="N194" s="33">
        <f>SAMPLE!C189</f>
        <v>0</v>
      </c>
      <c r="O194" s="32">
        <f>SAMPLE!G189</f>
        <v>0</v>
      </c>
      <c r="P194" s="33">
        <f>'Sheldon Elementary'!C189</f>
        <v>0</v>
      </c>
      <c r="Q194" s="32">
        <f>'Sheldon Elementary'!D189</f>
        <v>0</v>
      </c>
      <c r="R194" s="33">
        <f>SLE!C189</f>
        <v>0</v>
      </c>
      <c r="S194" s="32">
        <f>SLE!G189</f>
        <v>0</v>
      </c>
      <c r="T194" s="33">
        <f>CECA!C189</f>
        <v>0</v>
      </c>
      <c r="U194" s="32">
        <f>CECA!G189</f>
        <v>0</v>
      </c>
      <c r="V194" s="33">
        <f>SECA!C189</f>
        <v>0</v>
      </c>
      <c r="W194" s="32">
        <f>SECA!G189</f>
        <v>0</v>
      </c>
      <c r="X194" s="33">
        <f>KHS!C189</f>
        <v>0</v>
      </c>
      <c r="Y194" s="34">
        <f>KHS!G189</f>
        <v>0</v>
      </c>
      <c r="Z194" s="33">
        <f>'9TH CAMP'!C189</f>
        <v>0</v>
      </c>
      <c r="AA194" s="34">
        <f>'9TH CAMP'!G189</f>
        <v>0</v>
      </c>
      <c r="AB194" s="33">
        <f>ECHS!C189</f>
        <v>0</v>
      </c>
      <c r="AC194" s="32">
        <f>ECHS!G189</f>
        <v>0</v>
      </c>
      <c r="AD194" s="33">
        <f>KMS!C189</f>
        <v>0</v>
      </c>
      <c r="AE194" s="32">
        <f>KMS!G189</f>
        <v>0</v>
      </c>
      <c r="AF194" s="33">
        <f>NMS!C189</f>
        <v>0</v>
      </c>
      <c r="AG194" s="32">
        <f>NMS!G189</f>
        <v>0</v>
      </c>
      <c r="AH194" s="36">
        <f>Highpoint!C189</f>
        <v>0</v>
      </c>
      <c r="AI194" s="37">
        <f>KASE!D186</f>
        <v>0</v>
      </c>
      <c r="AJ194" s="38"/>
      <c r="AK194" s="39">
        <f t="shared" si="13"/>
        <v>0</v>
      </c>
      <c r="AL194" s="40"/>
    </row>
    <row r="195" spans="1:38" ht="12.75" x14ac:dyDescent="0.2">
      <c r="A195" s="25"/>
      <c r="B195" s="41">
        <f t="shared" si="38"/>
        <v>66150</v>
      </c>
      <c r="C195" s="49" t="s">
        <v>186</v>
      </c>
      <c r="D195" s="28">
        <v>45771</v>
      </c>
      <c r="E195" s="27" t="s">
        <v>39</v>
      </c>
      <c r="F195" s="29"/>
      <c r="G195" s="30">
        <f t="shared" si="37"/>
        <v>0</v>
      </c>
      <c r="H195" s="31">
        <f>CE!C190</f>
        <v>0</v>
      </c>
      <c r="I195" s="32">
        <f>CE!G190</f>
        <v>0</v>
      </c>
      <c r="J195" s="33">
        <f>GE!C190</f>
        <v>0</v>
      </c>
      <c r="K195" s="32">
        <f>GE!G190</f>
        <v>0</v>
      </c>
      <c r="L195" s="33">
        <f>ME!C190</f>
        <v>0</v>
      </c>
      <c r="M195" s="32">
        <f>ME!G190</f>
        <v>0</v>
      </c>
      <c r="N195" s="33">
        <f>SAMPLE!C190</f>
        <v>0</v>
      </c>
      <c r="O195" s="32">
        <f>SAMPLE!G190</f>
        <v>0</v>
      </c>
      <c r="P195" s="33">
        <f>'Sheldon Elementary'!C190</f>
        <v>0</v>
      </c>
      <c r="Q195" s="32">
        <f>'Sheldon Elementary'!D190</f>
        <v>0</v>
      </c>
      <c r="R195" s="33">
        <f>SLE!C190</f>
        <v>0</v>
      </c>
      <c r="S195" s="32">
        <f>SLE!G190</f>
        <v>0</v>
      </c>
      <c r="T195" s="33">
        <f>CECA!C190</f>
        <v>0</v>
      </c>
      <c r="U195" s="32">
        <f>CECA!G190</f>
        <v>0</v>
      </c>
      <c r="V195" s="33">
        <f>SECA!C190</f>
        <v>0</v>
      </c>
      <c r="W195" s="32">
        <f>SECA!G190</f>
        <v>0</v>
      </c>
      <c r="X195" s="33">
        <f>KHS!C190</f>
        <v>0</v>
      </c>
      <c r="Y195" s="34">
        <f>KHS!G190</f>
        <v>0</v>
      </c>
      <c r="Z195" s="33">
        <f>'9TH CAMP'!C190</f>
        <v>0</v>
      </c>
      <c r="AA195" s="34">
        <f>'9TH CAMP'!G190</f>
        <v>0</v>
      </c>
      <c r="AB195" s="33">
        <f>ECHS!C190</f>
        <v>0</v>
      </c>
      <c r="AC195" s="32">
        <f>ECHS!G190</f>
        <v>0</v>
      </c>
      <c r="AD195" s="33">
        <f>KMS!C190</f>
        <v>0</v>
      </c>
      <c r="AE195" s="32">
        <f>KMS!G190</f>
        <v>0</v>
      </c>
      <c r="AF195" s="33">
        <f>NMS!C190</f>
        <v>0</v>
      </c>
      <c r="AG195" s="32">
        <f>NMS!G190</f>
        <v>0</v>
      </c>
      <c r="AH195" s="36">
        <f>Highpoint!C190</f>
        <v>0</v>
      </c>
      <c r="AI195" s="37">
        <f>KASE!D187</f>
        <v>0</v>
      </c>
      <c r="AJ195" s="38"/>
      <c r="AK195" s="39">
        <f t="shared" si="13"/>
        <v>0</v>
      </c>
      <c r="AL195" s="40"/>
    </row>
    <row r="196" spans="1:38" ht="12.75" x14ac:dyDescent="0.2">
      <c r="A196" s="25"/>
      <c r="B196" s="41">
        <f t="shared" si="38"/>
        <v>66600</v>
      </c>
      <c r="C196" s="49" t="s">
        <v>187</v>
      </c>
      <c r="D196" s="28">
        <v>45772</v>
      </c>
      <c r="E196" s="27" t="s">
        <v>41</v>
      </c>
      <c r="F196" s="29"/>
      <c r="G196" s="30">
        <f t="shared" si="37"/>
        <v>0</v>
      </c>
      <c r="H196" s="31">
        <f>CE!C191</f>
        <v>0</v>
      </c>
      <c r="I196" s="32">
        <f>CE!G191</f>
        <v>0</v>
      </c>
      <c r="J196" s="33">
        <f>GE!C191</f>
        <v>0</v>
      </c>
      <c r="K196" s="32">
        <f>GE!G191</f>
        <v>0</v>
      </c>
      <c r="L196" s="33">
        <f>ME!C191</f>
        <v>0</v>
      </c>
      <c r="M196" s="32">
        <f>ME!G191</f>
        <v>0</v>
      </c>
      <c r="N196" s="33">
        <f>SAMPLE!C191</f>
        <v>0</v>
      </c>
      <c r="O196" s="32">
        <f>SAMPLE!G191</f>
        <v>0</v>
      </c>
      <c r="P196" s="33">
        <f>'Sheldon Elementary'!C191</f>
        <v>0</v>
      </c>
      <c r="Q196" s="32">
        <f>'Sheldon Elementary'!D191</f>
        <v>0</v>
      </c>
      <c r="R196" s="33">
        <f>SLE!C191</f>
        <v>0</v>
      </c>
      <c r="S196" s="32">
        <f>SLE!G191</f>
        <v>0</v>
      </c>
      <c r="T196" s="33">
        <f>CECA!C191</f>
        <v>0</v>
      </c>
      <c r="U196" s="32">
        <f>CECA!G191</f>
        <v>0</v>
      </c>
      <c r="V196" s="33">
        <f>SECA!C191</f>
        <v>0</v>
      </c>
      <c r="W196" s="32">
        <f>SECA!G191</f>
        <v>0</v>
      </c>
      <c r="X196" s="33">
        <f>KHS!C191</f>
        <v>0</v>
      </c>
      <c r="Y196" s="34">
        <f>KHS!G191</f>
        <v>0</v>
      </c>
      <c r="Z196" s="33">
        <f>'9TH CAMP'!C191</f>
        <v>0</v>
      </c>
      <c r="AA196" s="34">
        <f>'9TH CAMP'!G191</f>
        <v>0</v>
      </c>
      <c r="AB196" s="33">
        <f>ECHS!C191</f>
        <v>0</v>
      </c>
      <c r="AC196" s="32">
        <f>ECHS!G191</f>
        <v>0</v>
      </c>
      <c r="AD196" s="33">
        <f>KMS!C191</f>
        <v>0</v>
      </c>
      <c r="AE196" s="32">
        <f>KMS!G191</f>
        <v>0</v>
      </c>
      <c r="AF196" s="33">
        <f>NMS!C191</f>
        <v>0</v>
      </c>
      <c r="AG196" s="32">
        <f>NMS!G191</f>
        <v>0</v>
      </c>
      <c r="AH196" s="36">
        <f>Highpoint!C191</f>
        <v>0</v>
      </c>
      <c r="AI196" s="37">
        <f>KASE!D188</f>
        <v>0</v>
      </c>
      <c r="AJ196" s="38"/>
      <c r="AK196" s="39">
        <f t="shared" si="13"/>
        <v>0</v>
      </c>
      <c r="AL196" s="40"/>
    </row>
    <row r="197" spans="1:38" ht="12.75" x14ac:dyDescent="0.2">
      <c r="A197" s="25"/>
      <c r="B197" s="41">
        <f t="shared" si="38"/>
        <v>67050</v>
      </c>
      <c r="C197" s="49" t="s">
        <v>188</v>
      </c>
      <c r="D197" s="28">
        <v>45775</v>
      </c>
      <c r="E197" s="27" t="s">
        <v>33</v>
      </c>
      <c r="F197" s="29"/>
      <c r="G197" s="30">
        <f t="shared" si="37"/>
        <v>0</v>
      </c>
      <c r="H197" s="31">
        <f>CE!C192</f>
        <v>0</v>
      </c>
      <c r="I197" s="32">
        <f>CE!G192</f>
        <v>0</v>
      </c>
      <c r="J197" s="33">
        <f>GE!C192</f>
        <v>0</v>
      </c>
      <c r="K197" s="32">
        <f>GE!G192</f>
        <v>0</v>
      </c>
      <c r="L197" s="33">
        <f>ME!C192</f>
        <v>0</v>
      </c>
      <c r="M197" s="32">
        <f>ME!G192</f>
        <v>0</v>
      </c>
      <c r="N197" s="33">
        <f>SAMPLE!C192</f>
        <v>0</v>
      </c>
      <c r="O197" s="32">
        <f>SAMPLE!G192</f>
        <v>0</v>
      </c>
      <c r="P197" s="33">
        <f>'Sheldon Elementary'!C192</f>
        <v>0</v>
      </c>
      <c r="Q197" s="32">
        <f>'Sheldon Elementary'!D192</f>
        <v>0</v>
      </c>
      <c r="R197" s="33">
        <f>SLE!C192</f>
        <v>0</v>
      </c>
      <c r="S197" s="32">
        <f>SLE!G192</f>
        <v>0</v>
      </c>
      <c r="T197" s="33">
        <f>CECA!C192</f>
        <v>0</v>
      </c>
      <c r="U197" s="32">
        <f>CECA!G192</f>
        <v>0</v>
      </c>
      <c r="V197" s="33">
        <f>SECA!C192</f>
        <v>0</v>
      </c>
      <c r="W197" s="32">
        <f>SECA!G192</f>
        <v>0</v>
      </c>
      <c r="X197" s="33">
        <f>KHS!C192</f>
        <v>0</v>
      </c>
      <c r="Y197" s="34">
        <f>KHS!G192</f>
        <v>0</v>
      </c>
      <c r="Z197" s="33">
        <f>'9TH CAMP'!C192</f>
        <v>0</v>
      </c>
      <c r="AA197" s="34">
        <f>'9TH CAMP'!G192</f>
        <v>0</v>
      </c>
      <c r="AB197" s="33">
        <f>ECHS!C192</f>
        <v>0</v>
      </c>
      <c r="AC197" s="32">
        <f>ECHS!G192</f>
        <v>0</v>
      </c>
      <c r="AD197" s="33">
        <f>KMS!C192</f>
        <v>0</v>
      </c>
      <c r="AE197" s="32">
        <f>KMS!G192</f>
        <v>0</v>
      </c>
      <c r="AF197" s="33">
        <f>NMS!C192</f>
        <v>0</v>
      </c>
      <c r="AG197" s="32">
        <f>NMS!G192</f>
        <v>0</v>
      </c>
      <c r="AH197" s="36">
        <f>Highpoint!C192</f>
        <v>0</v>
      </c>
      <c r="AI197" s="37">
        <f>KASE!D189</f>
        <v>0</v>
      </c>
      <c r="AJ197" s="38"/>
      <c r="AK197" s="39">
        <f t="shared" si="13"/>
        <v>0</v>
      </c>
      <c r="AL197" s="40"/>
    </row>
    <row r="198" spans="1:38" ht="12.75" x14ac:dyDescent="0.2">
      <c r="A198" s="25"/>
      <c r="B198" s="41">
        <f t="shared" si="38"/>
        <v>67500</v>
      </c>
      <c r="C198" s="49" t="s">
        <v>189</v>
      </c>
      <c r="D198" s="28">
        <v>45776</v>
      </c>
      <c r="E198" s="27" t="s">
        <v>35</v>
      </c>
      <c r="F198" s="29"/>
      <c r="G198" s="30">
        <f t="shared" si="37"/>
        <v>0</v>
      </c>
      <c r="H198" s="31">
        <f>CE!C193</f>
        <v>0</v>
      </c>
      <c r="I198" s="32">
        <f>CE!G193</f>
        <v>0</v>
      </c>
      <c r="J198" s="33">
        <f>GE!C193</f>
        <v>0</v>
      </c>
      <c r="K198" s="32">
        <f>GE!G193</f>
        <v>0</v>
      </c>
      <c r="L198" s="33">
        <f>ME!C193</f>
        <v>0</v>
      </c>
      <c r="M198" s="32">
        <f>ME!G193</f>
        <v>0</v>
      </c>
      <c r="N198" s="33">
        <f>SAMPLE!C193</f>
        <v>0</v>
      </c>
      <c r="O198" s="32">
        <f>SAMPLE!G193</f>
        <v>0</v>
      </c>
      <c r="P198" s="33">
        <f>'Sheldon Elementary'!C193</f>
        <v>0</v>
      </c>
      <c r="Q198" s="32">
        <f>'Sheldon Elementary'!D193</f>
        <v>0</v>
      </c>
      <c r="R198" s="33">
        <f>SLE!C193</f>
        <v>0</v>
      </c>
      <c r="S198" s="32">
        <f>SLE!G193</f>
        <v>0</v>
      </c>
      <c r="T198" s="33">
        <f>CECA!C193</f>
        <v>0</v>
      </c>
      <c r="U198" s="32">
        <f>CECA!G193</f>
        <v>0</v>
      </c>
      <c r="V198" s="33">
        <f>SECA!C193</f>
        <v>0</v>
      </c>
      <c r="W198" s="32">
        <f>SECA!G193</f>
        <v>0</v>
      </c>
      <c r="X198" s="33">
        <f>KHS!C193</f>
        <v>0</v>
      </c>
      <c r="Y198" s="34">
        <f>KHS!G193</f>
        <v>0</v>
      </c>
      <c r="Z198" s="33">
        <f>'9TH CAMP'!C193</f>
        <v>0</v>
      </c>
      <c r="AA198" s="34">
        <f>'9TH CAMP'!G193</f>
        <v>0</v>
      </c>
      <c r="AB198" s="33">
        <f>ECHS!C193</f>
        <v>0</v>
      </c>
      <c r="AC198" s="32">
        <f>ECHS!G193</f>
        <v>0</v>
      </c>
      <c r="AD198" s="33">
        <f>KMS!C193</f>
        <v>0</v>
      </c>
      <c r="AE198" s="32">
        <f>KMS!G193</f>
        <v>0</v>
      </c>
      <c r="AF198" s="33">
        <f>NMS!C193</f>
        <v>0</v>
      </c>
      <c r="AG198" s="32">
        <f>NMS!G193</f>
        <v>0</v>
      </c>
      <c r="AH198" s="36">
        <f>Highpoint!C193</f>
        <v>0</v>
      </c>
      <c r="AI198" s="37">
        <f>KASE!D190</f>
        <v>0</v>
      </c>
      <c r="AJ198" s="38"/>
      <c r="AK198" s="39">
        <f t="shared" si="13"/>
        <v>0</v>
      </c>
      <c r="AL198" s="40"/>
    </row>
    <row r="199" spans="1:38" ht="12.75" x14ac:dyDescent="0.2">
      <c r="A199" s="25"/>
      <c r="B199" s="41">
        <f t="shared" si="38"/>
        <v>67950</v>
      </c>
      <c r="C199" s="49" t="s">
        <v>190</v>
      </c>
      <c r="D199" s="28">
        <v>45777</v>
      </c>
      <c r="E199" s="27" t="s">
        <v>37</v>
      </c>
      <c r="F199" s="29"/>
      <c r="G199" s="30">
        <f t="shared" si="37"/>
        <v>0</v>
      </c>
      <c r="H199" s="31">
        <f>CE!C194</f>
        <v>0</v>
      </c>
      <c r="I199" s="32">
        <f>CE!G194</f>
        <v>0</v>
      </c>
      <c r="J199" s="33">
        <f>GE!C194</f>
        <v>0</v>
      </c>
      <c r="K199" s="32">
        <f>GE!G194</f>
        <v>0</v>
      </c>
      <c r="L199" s="33">
        <f>ME!C194</f>
        <v>0</v>
      </c>
      <c r="M199" s="32">
        <f>ME!G194</f>
        <v>0</v>
      </c>
      <c r="N199" s="33">
        <f>SAMPLE!C194</f>
        <v>0</v>
      </c>
      <c r="O199" s="32">
        <f>SAMPLE!G194</f>
        <v>0</v>
      </c>
      <c r="P199" s="33">
        <f>'Sheldon Elementary'!C194</f>
        <v>0</v>
      </c>
      <c r="Q199" s="32">
        <f>'Sheldon Elementary'!D194</f>
        <v>0</v>
      </c>
      <c r="R199" s="33">
        <f>SLE!C194</f>
        <v>0</v>
      </c>
      <c r="S199" s="32">
        <f>SLE!G194</f>
        <v>0</v>
      </c>
      <c r="T199" s="33">
        <f>CECA!C194</f>
        <v>0</v>
      </c>
      <c r="U199" s="32">
        <f>CECA!G194</f>
        <v>0</v>
      </c>
      <c r="V199" s="33">
        <f>SECA!C194</f>
        <v>0</v>
      </c>
      <c r="W199" s="32">
        <f>SECA!G194</f>
        <v>0</v>
      </c>
      <c r="X199" s="33">
        <f>KHS!C194</f>
        <v>0</v>
      </c>
      <c r="Y199" s="34">
        <f>KHS!G194</f>
        <v>0</v>
      </c>
      <c r="Z199" s="33">
        <f>'9TH CAMP'!C194</f>
        <v>0</v>
      </c>
      <c r="AA199" s="34">
        <f>'9TH CAMP'!G194</f>
        <v>0</v>
      </c>
      <c r="AB199" s="33">
        <f>ECHS!C194</f>
        <v>0</v>
      </c>
      <c r="AC199" s="32">
        <f>ECHS!G194</f>
        <v>0</v>
      </c>
      <c r="AD199" s="33">
        <f>KMS!C194</f>
        <v>0</v>
      </c>
      <c r="AE199" s="32">
        <f>KMS!G194</f>
        <v>0</v>
      </c>
      <c r="AF199" s="33">
        <f>NMS!C194</f>
        <v>0</v>
      </c>
      <c r="AG199" s="32">
        <f>NMS!G194</f>
        <v>0</v>
      </c>
      <c r="AH199" s="36">
        <f>Highpoint!C194</f>
        <v>0</v>
      </c>
      <c r="AI199" s="37">
        <f>KASE!D191</f>
        <v>0</v>
      </c>
      <c r="AJ199" s="38"/>
      <c r="AK199" s="39">
        <f t="shared" si="13"/>
        <v>0</v>
      </c>
      <c r="AL199" s="40"/>
    </row>
    <row r="200" spans="1:38" ht="12.75" x14ac:dyDescent="0.2">
      <c r="A200" s="25"/>
      <c r="B200" s="41">
        <f t="shared" si="38"/>
        <v>68400</v>
      </c>
      <c r="C200" s="49" t="s">
        <v>191</v>
      </c>
      <c r="D200" s="28">
        <v>45778</v>
      </c>
      <c r="E200" s="27" t="s">
        <v>39</v>
      </c>
      <c r="F200" s="29"/>
      <c r="G200" s="30">
        <f t="shared" si="37"/>
        <v>0</v>
      </c>
      <c r="H200" s="31">
        <f>CE!C195</f>
        <v>0</v>
      </c>
      <c r="I200" s="32">
        <f>CE!G195</f>
        <v>0</v>
      </c>
      <c r="J200" s="33">
        <f>GE!C195</f>
        <v>0</v>
      </c>
      <c r="K200" s="32">
        <f>GE!G195</f>
        <v>0</v>
      </c>
      <c r="L200" s="33">
        <f>ME!C195</f>
        <v>0</v>
      </c>
      <c r="M200" s="32">
        <f>ME!G195</f>
        <v>0</v>
      </c>
      <c r="N200" s="33">
        <f>SAMPLE!C195</f>
        <v>0</v>
      </c>
      <c r="O200" s="32">
        <f>SAMPLE!G195</f>
        <v>0</v>
      </c>
      <c r="P200" s="33">
        <f>'Sheldon Elementary'!C195</f>
        <v>0</v>
      </c>
      <c r="Q200" s="32">
        <f>'Sheldon Elementary'!D195</f>
        <v>0</v>
      </c>
      <c r="R200" s="33">
        <f>SLE!C195</f>
        <v>0</v>
      </c>
      <c r="S200" s="32">
        <f>SLE!G195</f>
        <v>0</v>
      </c>
      <c r="T200" s="33">
        <f>CECA!C195</f>
        <v>0</v>
      </c>
      <c r="U200" s="32">
        <f>CECA!G195</f>
        <v>0</v>
      </c>
      <c r="V200" s="33">
        <f>SECA!C195</f>
        <v>0</v>
      </c>
      <c r="W200" s="32">
        <f>SECA!G195</f>
        <v>0</v>
      </c>
      <c r="X200" s="33">
        <f>KHS!C195</f>
        <v>0</v>
      </c>
      <c r="Y200" s="34">
        <f>KHS!G195</f>
        <v>0</v>
      </c>
      <c r="Z200" s="33">
        <f>'9TH CAMP'!C195</f>
        <v>0</v>
      </c>
      <c r="AA200" s="34">
        <f>'9TH CAMP'!G195</f>
        <v>0</v>
      </c>
      <c r="AB200" s="33">
        <f>ECHS!C195</f>
        <v>0</v>
      </c>
      <c r="AC200" s="32">
        <f>ECHS!G195</f>
        <v>0</v>
      </c>
      <c r="AD200" s="33">
        <f>KMS!C195</f>
        <v>0</v>
      </c>
      <c r="AE200" s="32">
        <f>KMS!G195</f>
        <v>0</v>
      </c>
      <c r="AF200" s="33">
        <f>NMS!C195</f>
        <v>0</v>
      </c>
      <c r="AG200" s="32">
        <f>NMS!G195</f>
        <v>0</v>
      </c>
      <c r="AH200" s="36">
        <f>Highpoint!C195</f>
        <v>0</v>
      </c>
      <c r="AI200" s="37">
        <f>KASE!D192</f>
        <v>0</v>
      </c>
      <c r="AJ200" s="38"/>
      <c r="AK200" s="39">
        <f t="shared" si="13"/>
        <v>0</v>
      </c>
      <c r="AL200" s="40"/>
    </row>
    <row r="201" spans="1:38" ht="12.75" x14ac:dyDescent="0.2">
      <c r="A201" s="75"/>
      <c r="B201" s="26">
        <f t="shared" si="38"/>
        <v>68850</v>
      </c>
      <c r="C201" s="27" t="s">
        <v>192</v>
      </c>
      <c r="D201" s="28">
        <v>45779</v>
      </c>
      <c r="E201" s="27" t="s">
        <v>41</v>
      </c>
      <c r="F201" s="29"/>
      <c r="G201" s="29">
        <f t="shared" si="37"/>
        <v>0</v>
      </c>
      <c r="H201" s="31">
        <f>CE!C196</f>
        <v>0</v>
      </c>
      <c r="I201" s="32">
        <f>CE!G196</f>
        <v>0</v>
      </c>
      <c r="J201" s="33">
        <f>GE!C196</f>
        <v>0</v>
      </c>
      <c r="K201" s="32">
        <f>GE!G196</f>
        <v>0</v>
      </c>
      <c r="L201" s="33">
        <f>ME!C196</f>
        <v>0</v>
      </c>
      <c r="M201" s="32">
        <f>ME!G196</f>
        <v>0</v>
      </c>
      <c r="N201" s="33">
        <f>SAMPLE!C196</f>
        <v>0</v>
      </c>
      <c r="O201" s="32">
        <f>SAMPLE!G196</f>
        <v>0</v>
      </c>
      <c r="P201" s="33">
        <f>'Sheldon Elementary'!C196</f>
        <v>0</v>
      </c>
      <c r="Q201" s="32">
        <f>'Sheldon Elementary'!D196</f>
        <v>0</v>
      </c>
      <c r="R201" s="33">
        <f>SLE!C196</f>
        <v>0</v>
      </c>
      <c r="S201" s="32">
        <f>SLE!G196</f>
        <v>0</v>
      </c>
      <c r="T201" s="33">
        <f>CECA!C196</f>
        <v>0</v>
      </c>
      <c r="U201" s="32">
        <f>CECA!G196</f>
        <v>0</v>
      </c>
      <c r="V201" s="33">
        <f>SECA!C196</f>
        <v>0</v>
      </c>
      <c r="W201" s="32">
        <f>SECA!G196</f>
        <v>0</v>
      </c>
      <c r="X201" s="33">
        <f>KHS!C196</f>
        <v>0</v>
      </c>
      <c r="Y201" s="34">
        <f>KHS!G196</f>
        <v>0</v>
      </c>
      <c r="Z201" s="33">
        <f>'9TH CAMP'!C196</f>
        <v>0</v>
      </c>
      <c r="AA201" s="34">
        <f>'9TH CAMP'!G196</f>
        <v>0</v>
      </c>
      <c r="AB201" s="33">
        <f>ECHS!C196</f>
        <v>0</v>
      </c>
      <c r="AC201" s="32">
        <f>ECHS!G196</f>
        <v>0</v>
      </c>
      <c r="AD201" s="33">
        <f>KMS!C196</f>
        <v>0</v>
      </c>
      <c r="AE201" s="32">
        <f>KMS!G196</f>
        <v>0</v>
      </c>
      <c r="AF201" s="33">
        <f>NMS!C196</f>
        <v>0</v>
      </c>
      <c r="AG201" s="32">
        <f>NMS!G196</f>
        <v>0</v>
      </c>
      <c r="AH201" s="36">
        <f>Highpoint!C196</f>
        <v>0</v>
      </c>
      <c r="AI201" s="37">
        <f>KASE!D193</f>
        <v>0</v>
      </c>
      <c r="AJ201" s="76"/>
      <c r="AK201" s="39">
        <f t="shared" si="13"/>
        <v>0</v>
      </c>
      <c r="AL201" s="77"/>
    </row>
    <row r="202" spans="1:38" ht="12.75" x14ac:dyDescent="0.2">
      <c r="A202" s="25"/>
      <c r="B202" s="41">
        <f t="shared" si="38"/>
        <v>69300</v>
      </c>
      <c r="C202" s="49" t="s">
        <v>193</v>
      </c>
      <c r="D202" s="28">
        <v>45782</v>
      </c>
      <c r="E202" s="27" t="s">
        <v>33</v>
      </c>
      <c r="F202" s="29"/>
      <c r="G202" s="30">
        <f t="shared" si="37"/>
        <v>0</v>
      </c>
      <c r="H202" s="31">
        <f>CE!C197</f>
        <v>0</v>
      </c>
      <c r="I202" s="32">
        <f>CE!G197</f>
        <v>0</v>
      </c>
      <c r="J202" s="33">
        <f>GE!C197</f>
        <v>0</v>
      </c>
      <c r="K202" s="32">
        <f>GE!G197</f>
        <v>0</v>
      </c>
      <c r="L202" s="33">
        <f>ME!C197</f>
        <v>0</v>
      </c>
      <c r="M202" s="32">
        <f>ME!G197</f>
        <v>0</v>
      </c>
      <c r="N202" s="33">
        <f>SAMPLE!C197</f>
        <v>0</v>
      </c>
      <c r="O202" s="32">
        <f>SAMPLE!G197</f>
        <v>0</v>
      </c>
      <c r="P202" s="33">
        <f>'Sheldon Elementary'!C197</f>
        <v>0</v>
      </c>
      <c r="Q202" s="32">
        <f>'Sheldon Elementary'!D197</f>
        <v>0</v>
      </c>
      <c r="R202" s="33">
        <f>SLE!C197</f>
        <v>0</v>
      </c>
      <c r="S202" s="32">
        <f>SLE!G197</f>
        <v>0</v>
      </c>
      <c r="T202" s="33">
        <f>CECA!C197</f>
        <v>0</v>
      </c>
      <c r="U202" s="32">
        <f>CECA!G197</f>
        <v>0</v>
      </c>
      <c r="V202" s="33">
        <f>SECA!C197</f>
        <v>0</v>
      </c>
      <c r="W202" s="32">
        <f>SECA!G197</f>
        <v>0</v>
      </c>
      <c r="X202" s="33">
        <f>KHS!C197</f>
        <v>0</v>
      </c>
      <c r="Y202" s="34">
        <f>KHS!G197</f>
        <v>0</v>
      </c>
      <c r="Z202" s="33">
        <f>'9TH CAMP'!C197</f>
        <v>0</v>
      </c>
      <c r="AA202" s="34">
        <f>'9TH CAMP'!G197</f>
        <v>0</v>
      </c>
      <c r="AB202" s="33">
        <f>ECHS!C197</f>
        <v>0</v>
      </c>
      <c r="AC202" s="32">
        <f>ECHS!G197</f>
        <v>0</v>
      </c>
      <c r="AD202" s="33">
        <f>KMS!C197</f>
        <v>0</v>
      </c>
      <c r="AE202" s="32">
        <f>KMS!G197</f>
        <v>0</v>
      </c>
      <c r="AF202" s="33">
        <f>NMS!C197</f>
        <v>0</v>
      </c>
      <c r="AG202" s="32">
        <f>NMS!G197</f>
        <v>0</v>
      </c>
      <c r="AH202" s="36">
        <f>Highpoint!C197</f>
        <v>0</v>
      </c>
      <c r="AI202" s="37">
        <f>KASE!D194</f>
        <v>0</v>
      </c>
      <c r="AJ202" s="38"/>
      <c r="AK202" s="39">
        <f t="shared" si="13"/>
        <v>0</v>
      </c>
      <c r="AL202" s="40"/>
    </row>
    <row r="203" spans="1:38" ht="12.75" x14ac:dyDescent="0.2">
      <c r="A203" s="25"/>
      <c r="B203" s="41">
        <f t="shared" si="38"/>
        <v>69750</v>
      </c>
      <c r="C203" s="49" t="s">
        <v>194</v>
      </c>
      <c r="D203" s="28">
        <v>45783</v>
      </c>
      <c r="E203" s="27" t="s">
        <v>35</v>
      </c>
      <c r="F203" s="29"/>
      <c r="G203" s="30">
        <f t="shared" si="37"/>
        <v>0</v>
      </c>
      <c r="H203" s="31">
        <f>CE!C198</f>
        <v>0</v>
      </c>
      <c r="I203" s="32">
        <f>CE!G198</f>
        <v>0</v>
      </c>
      <c r="J203" s="33">
        <f>GE!C198</f>
        <v>0</v>
      </c>
      <c r="K203" s="32">
        <f>GE!G198</f>
        <v>0</v>
      </c>
      <c r="L203" s="33">
        <f>ME!C198</f>
        <v>0</v>
      </c>
      <c r="M203" s="32">
        <f>ME!G198</f>
        <v>0</v>
      </c>
      <c r="N203" s="33">
        <f>SAMPLE!C198</f>
        <v>0</v>
      </c>
      <c r="O203" s="32">
        <f>SAMPLE!G198</f>
        <v>0</v>
      </c>
      <c r="P203" s="33">
        <f>'Sheldon Elementary'!C198</f>
        <v>0</v>
      </c>
      <c r="Q203" s="32">
        <f>'Sheldon Elementary'!D198</f>
        <v>0</v>
      </c>
      <c r="R203" s="33">
        <f>SLE!C198</f>
        <v>0</v>
      </c>
      <c r="S203" s="32">
        <f>SLE!G198</f>
        <v>0</v>
      </c>
      <c r="T203" s="33">
        <f>CECA!C198</f>
        <v>0</v>
      </c>
      <c r="U203" s="32">
        <f>CECA!G198</f>
        <v>0</v>
      </c>
      <c r="V203" s="33">
        <f>SECA!C198</f>
        <v>0</v>
      </c>
      <c r="W203" s="32">
        <f>SECA!G198</f>
        <v>0</v>
      </c>
      <c r="X203" s="33">
        <f>KHS!C198</f>
        <v>0</v>
      </c>
      <c r="Y203" s="34">
        <f>KHS!G198</f>
        <v>0</v>
      </c>
      <c r="Z203" s="33">
        <f>'9TH CAMP'!C198</f>
        <v>0</v>
      </c>
      <c r="AA203" s="34">
        <f>'9TH CAMP'!G198</f>
        <v>0</v>
      </c>
      <c r="AB203" s="33">
        <f>ECHS!C198</f>
        <v>0</v>
      </c>
      <c r="AC203" s="32">
        <f>ECHS!G198</f>
        <v>0</v>
      </c>
      <c r="AD203" s="33">
        <f>KMS!C198</f>
        <v>0</v>
      </c>
      <c r="AE203" s="32">
        <f>KMS!G198</f>
        <v>0</v>
      </c>
      <c r="AF203" s="33">
        <f>NMS!C198</f>
        <v>0</v>
      </c>
      <c r="AG203" s="32">
        <f>NMS!G198</f>
        <v>0</v>
      </c>
      <c r="AH203" s="36">
        <f>Highpoint!C198</f>
        <v>0</v>
      </c>
      <c r="AI203" s="37">
        <f>KASE!D195</f>
        <v>0</v>
      </c>
      <c r="AJ203" s="38"/>
      <c r="AK203" s="39">
        <f t="shared" si="13"/>
        <v>0</v>
      </c>
      <c r="AL203" s="40"/>
    </row>
    <row r="204" spans="1:38" ht="12.75" x14ac:dyDescent="0.2">
      <c r="A204" s="25"/>
      <c r="B204" s="41">
        <f t="shared" si="38"/>
        <v>70200</v>
      </c>
      <c r="C204" s="49" t="s">
        <v>195</v>
      </c>
      <c r="D204" s="28">
        <v>45784</v>
      </c>
      <c r="E204" s="27" t="s">
        <v>37</v>
      </c>
      <c r="F204" s="29"/>
      <c r="G204" s="30">
        <f t="shared" si="37"/>
        <v>0</v>
      </c>
      <c r="H204" s="31">
        <f>CE!C199</f>
        <v>0</v>
      </c>
      <c r="I204" s="32">
        <f>CE!G199</f>
        <v>0</v>
      </c>
      <c r="J204" s="33">
        <f>GE!C199</f>
        <v>0</v>
      </c>
      <c r="K204" s="32">
        <f>GE!G199</f>
        <v>0</v>
      </c>
      <c r="L204" s="33">
        <f>ME!C199</f>
        <v>0</v>
      </c>
      <c r="M204" s="32">
        <f>ME!G199</f>
        <v>0</v>
      </c>
      <c r="N204" s="33">
        <f>SAMPLE!C199</f>
        <v>0</v>
      </c>
      <c r="O204" s="32">
        <f>SAMPLE!G199</f>
        <v>0</v>
      </c>
      <c r="P204" s="33">
        <f>'Sheldon Elementary'!C199</f>
        <v>0</v>
      </c>
      <c r="Q204" s="32">
        <f>'Sheldon Elementary'!D199</f>
        <v>0</v>
      </c>
      <c r="R204" s="33">
        <f>SLE!C199</f>
        <v>0</v>
      </c>
      <c r="S204" s="32">
        <f>SLE!G199</f>
        <v>0</v>
      </c>
      <c r="T204" s="33">
        <f>CECA!C199</f>
        <v>0</v>
      </c>
      <c r="U204" s="32">
        <f>CECA!G199</f>
        <v>0</v>
      </c>
      <c r="V204" s="33">
        <f>SECA!C199</f>
        <v>0</v>
      </c>
      <c r="W204" s="32">
        <f>SECA!G199</f>
        <v>0</v>
      </c>
      <c r="X204" s="33">
        <f>KHS!C199</f>
        <v>0</v>
      </c>
      <c r="Y204" s="34">
        <f>KHS!G199</f>
        <v>0</v>
      </c>
      <c r="Z204" s="33">
        <f>'9TH CAMP'!C199</f>
        <v>0</v>
      </c>
      <c r="AA204" s="34">
        <f>'9TH CAMP'!G199</f>
        <v>0</v>
      </c>
      <c r="AB204" s="33">
        <f>ECHS!C199</f>
        <v>0</v>
      </c>
      <c r="AC204" s="32">
        <f>ECHS!G199</f>
        <v>0</v>
      </c>
      <c r="AD204" s="33">
        <f>KMS!C199</f>
        <v>0</v>
      </c>
      <c r="AE204" s="32">
        <f>KMS!G199</f>
        <v>0</v>
      </c>
      <c r="AF204" s="33">
        <f>NMS!C199</f>
        <v>0</v>
      </c>
      <c r="AG204" s="32">
        <f>NMS!G199</f>
        <v>0</v>
      </c>
      <c r="AH204" s="36">
        <f>Highpoint!C199</f>
        <v>0</v>
      </c>
      <c r="AI204" s="37">
        <f>KASE!D196</f>
        <v>0</v>
      </c>
      <c r="AJ204" s="38"/>
      <c r="AK204" s="39">
        <f t="shared" si="13"/>
        <v>0</v>
      </c>
      <c r="AL204" s="40"/>
    </row>
    <row r="205" spans="1:38" ht="12.75" x14ac:dyDescent="0.2">
      <c r="A205" s="25"/>
      <c r="B205" s="41">
        <f t="shared" si="38"/>
        <v>70650</v>
      </c>
      <c r="C205" s="49" t="s">
        <v>196</v>
      </c>
      <c r="D205" s="28">
        <v>45785</v>
      </c>
      <c r="E205" s="27" t="s">
        <v>39</v>
      </c>
      <c r="F205" s="29"/>
      <c r="G205" s="30">
        <f t="shared" si="37"/>
        <v>0</v>
      </c>
      <c r="H205" s="31">
        <f>CE!C200</f>
        <v>0</v>
      </c>
      <c r="I205" s="32">
        <f>CE!G200</f>
        <v>0</v>
      </c>
      <c r="J205" s="33">
        <f>GE!C200</f>
        <v>0</v>
      </c>
      <c r="K205" s="32">
        <f>GE!G200</f>
        <v>0</v>
      </c>
      <c r="L205" s="33">
        <f>ME!C200</f>
        <v>0</v>
      </c>
      <c r="M205" s="32">
        <f>ME!G200</f>
        <v>0</v>
      </c>
      <c r="N205" s="33">
        <f>SAMPLE!C200</f>
        <v>0</v>
      </c>
      <c r="O205" s="32">
        <f>SAMPLE!G200</f>
        <v>0</v>
      </c>
      <c r="P205" s="33">
        <f>'Sheldon Elementary'!C200</f>
        <v>0</v>
      </c>
      <c r="Q205" s="32">
        <f>'Sheldon Elementary'!D200</f>
        <v>0</v>
      </c>
      <c r="R205" s="33">
        <f>SLE!C200</f>
        <v>0</v>
      </c>
      <c r="S205" s="32">
        <f>SLE!G200</f>
        <v>0</v>
      </c>
      <c r="T205" s="33">
        <f>CECA!C200</f>
        <v>0</v>
      </c>
      <c r="U205" s="32">
        <f>CECA!G200</f>
        <v>0</v>
      </c>
      <c r="V205" s="33">
        <f>SECA!C200</f>
        <v>0</v>
      </c>
      <c r="W205" s="32">
        <f>SECA!G200</f>
        <v>0</v>
      </c>
      <c r="X205" s="33">
        <f>KHS!C200</f>
        <v>0</v>
      </c>
      <c r="Y205" s="34">
        <f>KHS!G200</f>
        <v>0</v>
      </c>
      <c r="Z205" s="33">
        <f>'9TH CAMP'!C200</f>
        <v>0</v>
      </c>
      <c r="AA205" s="34">
        <f>'9TH CAMP'!G200</f>
        <v>0</v>
      </c>
      <c r="AB205" s="33">
        <f>ECHS!C200</f>
        <v>0</v>
      </c>
      <c r="AC205" s="32">
        <f>ECHS!G200</f>
        <v>0</v>
      </c>
      <c r="AD205" s="33">
        <f>KMS!C200</f>
        <v>0</v>
      </c>
      <c r="AE205" s="32">
        <f>KMS!G200</f>
        <v>0</v>
      </c>
      <c r="AF205" s="33">
        <f>NMS!C200</f>
        <v>0</v>
      </c>
      <c r="AG205" s="32">
        <f>NMS!G200</f>
        <v>0</v>
      </c>
      <c r="AH205" s="36">
        <f>Highpoint!C200</f>
        <v>0</v>
      </c>
      <c r="AI205" s="37">
        <f>KASE!D197</f>
        <v>0</v>
      </c>
      <c r="AJ205" s="38"/>
      <c r="AK205" s="39">
        <f t="shared" si="13"/>
        <v>0</v>
      </c>
      <c r="AL205" s="40"/>
    </row>
    <row r="206" spans="1:38" ht="12.75" x14ac:dyDescent="0.2">
      <c r="A206" s="25"/>
      <c r="B206" s="41">
        <f t="shared" si="38"/>
        <v>71100</v>
      </c>
      <c r="C206" s="49" t="s">
        <v>197</v>
      </c>
      <c r="D206" s="28">
        <v>45786</v>
      </c>
      <c r="E206" s="27" t="s">
        <v>41</v>
      </c>
      <c r="F206" s="29"/>
      <c r="G206" s="30">
        <f t="shared" si="37"/>
        <v>0</v>
      </c>
      <c r="H206" s="31">
        <f>CE!C201</f>
        <v>0</v>
      </c>
      <c r="I206" s="32">
        <f>CE!G201</f>
        <v>0</v>
      </c>
      <c r="J206" s="33">
        <f>GE!C201</f>
        <v>0</v>
      </c>
      <c r="K206" s="32">
        <f>GE!G201</f>
        <v>0</v>
      </c>
      <c r="L206" s="33">
        <f>ME!C201</f>
        <v>0</v>
      </c>
      <c r="M206" s="32">
        <f>ME!G201</f>
        <v>0</v>
      </c>
      <c r="N206" s="33">
        <f>SAMPLE!C201</f>
        <v>0</v>
      </c>
      <c r="O206" s="32">
        <f>SAMPLE!G201</f>
        <v>0</v>
      </c>
      <c r="P206" s="33">
        <f>'Sheldon Elementary'!C201</f>
        <v>0</v>
      </c>
      <c r="Q206" s="32">
        <f>'Sheldon Elementary'!D201</f>
        <v>0</v>
      </c>
      <c r="R206" s="33">
        <f>SLE!C201</f>
        <v>0</v>
      </c>
      <c r="S206" s="32">
        <f>SLE!G201</f>
        <v>0</v>
      </c>
      <c r="T206" s="33">
        <f>CECA!C201</f>
        <v>0</v>
      </c>
      <c r="U206" s="32">
        <f>CECA!G201</f>
        <v>0</v>
      </c>
      <c r="V206" s="33">
        <f>SECA!C201</f>
        <v>0</v>
      </c>
      <c r="W206" s="32">
        <f>SECA!G201</f>
        <v>0</v>
      </c>
      <c r="X206" s="33">
        <f>KHS!C201</f>
        <v>0</v>
      </c>
      <c r="Y206" s="34">
        <f>KHS!G201</f>
        <v>0</v>
      </c>
      <c r="Z206" s="33">
        <f>'9TH CAMP'!C201</f>
        <v>0</v>
      </c>
      <c r="AA206" s="34">
        <f>'9TH CAMP'!G201</f>
        <v>0</v>
      </c>
      <c r="AB206" s="33">
        <f>ECHS!C201</f>
        <v>0</v>
      </c>
      <c r="AC206" s="32">
        <f>ECHS!G201</f>
        <v>0</v>
      </c>
      <c r="AD206" s="33">
        <f>KMS!C201</f>
        <v>0</v>
      </c>
      <c r="AE206" s="32">
        <f>KMS!G201</f>
        <v>0</v>
      </c>
      <c r="AF206" s="33">
        <f>NMS!C201</f>
        <v>0</v>
      </c>
      <c r="AG206" s="32">
        <f>NMS!G201</f>
        <v>0</v>
      </c>
      <c r="AH206" s="36">
        <f>Highpoint!C201</f>
        <v>0</v>
      </c>
      <c r="AI206" s="37">
        <f>KASE!D198</f>
        <v>0</v>
      </c>
      <c r="AJ206" s="38"/>
      <c r="AK206" s="39">
        <f t="shared" si="13"/>
        <v>0</v>
      </c>
      <c r="AL206" s="40"/>
    </row>
    <row r="207" spans="1:38" ht="12.75" x14ac:dyDescent="0.2">
      <c r="A207" s="25"/>
      <c r="B207" s="41">
        <f t="shared" si="38"/>
        <v>71550</v>
      </c>
      <c r="C207" s="49" t="s">
        <v>198</v>
      </c>
      <c r="D207" s="28">
        <v>45789</v>
      </c>
      <c r="E207" s="27" t="s">
        <v>33</v>
      </c>
      <c r="F207" s="29"/>
      <c r="G207" s="30">
        <f t="shared" si="37"/>
        <v>0</v>
      </c>
      <c r="H207" s="31">
        <f>CE!C202</f>
        <v>0</v>
      </c>
      <c r="I207" s="32">
        <f>CE!G202</f>
        <v>0</v>
      </c>
      <c r="J207" s="33">
        <f>GE!C202</f>
        <v>0</v>
      </c>
      <c r="K207" s="32">
        <f>GE!G202</f>
        <v>0</v>
      </c>
      <c r="L207" s="33">
        <f>ME!C202</f>
        <v>0</v>
      </c>
      <c r="M207" s="32">
        <f>ME!G202</f>
        <v>0</v>
      </c>
      <c r="N207" s="33">
        <f>SAMPLE!C202</f>
        <v>0</v>
      </c>
      <c r="O207" s="32">
        <f>SAMPLE!G202</f>
        <v>0</v>
      </c>
      <c r="P207" s="33">
        <f>'Sheldon Elementary'!C202</f>
        <v>0</v>
      </c>
      <c r="Q207" s="32">
        <f>'Sheldon Elementary'!D202</f>
        <v>0</v>
      </c>
      <c r="R207" s="33">
        <f>SLE!C202</f>
        <v>0</v>
      </c>
      <c r="S207" s="32">
        <f>SLE!G202</f>
        <v>0</v>
      </c>
      <c r="T207" s="33">
        <f>CECA!C202</f>
        <v>0</v>
      </c>
      <c r="U207" s="32">
        <f>CECA!G202</f>
        <v>0</v>
      </c>
      <c r="V207" s="33">
        <f>SECA!C202</f>
        <v>0</v>
      </c>
      <c r="W207" s="32">
        <f>SECA!G202</f>
        <v>0</v>
      </c>
      <c r="X207" s="33">
        <f>KHS!C202</f>
        <v>0</v>
      </c>
      <c r="Y207" s="34">
        <f>KHS!G202</f>
        <v>0</v>
      </c>
      <c r="Z207" s="33">
        <f>'9TH CAMP'!C202</f>
        <v>0</v>
      </c>
      <c r="AA207" s="34">
        <f>'9TH CAMP'!G202</f>
        <v>0</v>
      </c>
      <c r="AB207" s="33">
        <f>ECHS!C202</f>
        <v>0</v>
      </c>
      <c r="AC207" s="32">
        <f>ECHS!G202</f>
        <v>0</v>
      </c>
      <c r="AD207" s="33">
        <f>KMS!C202</f>
        <v>0</v>
      </c>
      <c r="AE207" s="32">
        <f>KMS!G202</f>
        <v>0</v>
      </c>
      <c r="AF207" s="33">
        <f>NMS!C202</f>
        <v>0</v>
      </c>
      <c r="AG207" s="32">
        <f>NMS!G202</f>
        <v>0</v>
      </c>
      <c r="AH207" s="36">
        <f>Highpoint!C202</f>
        <v>0</v>
      </c>
      <c r="AI207" s="37">
        <f>KASE!D199</f>
        <v>0</v>
      </c>
      <c r="AJ207" s="38"/>
      <c r="AK207" s="39">
        <f t="shared" si="13"/>
        <v>0</v>
      </c>
      <c r="AL207" s="40"/>
    </row>
    <row r="208" spans="1:38" ht="12.75" x14ac:dyDescent="0.2">
      <c r="A208" s="25"/>
      <c r="B208" s="41">
        <f t="shared" si="38"/>
        <v>72000</v>
      </c>
      <c r="C208" s="49" t="s">
        <v>199</v>
      </c>
      <c r="D208" s="28">
        <v>45790</v>
      </c>
      <c r="E208" s="27" t="s">
        <v>35</v>
      </c>
      <c r="F208" s="29"/>
      <c r="G208" s="30">
        <f t="shared" si="37"/>
        <v>0</v>
      </c>
      <c r="H208" s="31">
        <f>CE!C203</f>
        <v>0</v>
      </c>
      <c r="I208" s="32">
        <f>CE!G203</f>
        <v>0</v>
      </c>
      <c r="J208" s="33">
        <f>GE!C203</f>
        <v>0</v>
      </c>
      <c r="K208" s="32">
        <f>GE!G203</f>
        <v>0</v>
      </c>
      <c r="L208" s="33">
        <f>ME!C203</f>
        <v>0</v>
      </c>
      <c r="M208" s="32">
        <f>ME!G203</f>
        <v>0</v>
      </c>
      <c r="N208" s="33">
        <f>SAMPLE!C203</f>
        <v>0</v>
      </c>
      <c r="O208" s="32">
        <f>SAMPLE!G203</f>
        <v>0</v>
      </c>
      <c r="P208" s="33">
        <f>'Sheldon Elementary'!C203</f>
        <v>0</v>
      </c>
      <c r="Q208" s="32">
        <f>'Sheldon Elementary'!D203</f>
        <v>0</v>
      </c>
      <c r="R208" s="33">
        <f>SLE!C203</f>
        <v>0</v>
      </c>
      <c r="S208" s="32">
        <f>SLE!G203</f>
        <v>0</v>
      </c>
      <c r="T208" s="33">
        <f>CECA!C203</f>
        <v>0</v>
      </c>
      <c r="U208" s="32">
        <f>CECA!G203</f>
        <v>0</v>
      </c>
      <c r="V208" s="33">
        <f>SECA!C203</f>
        <v>0</v>
      </c>
      <c r="W208" s="32">
        <f>SECA!G203</f>
        <v>0</v>
      </c>
      <c r="X208" s="33">
        <f>KHS!C203</f>
        <v>0</v>
      </c>
      <c r="Y208" s="34">
        <f>KHS!G203</f>
        <v>0</v>
      </c>
      <c r="Z208" s="33">
        <f>'9TH CAMP'!C203</f>
        <v>0</v>
      </c>
      <c r="AA208" s="34">
        <f>'9TH CAMP'!G203</f>
        <v>0</v>
      </c>
      <c r="AB208" s="33">
        <f>ECHS!C203</f>
        <v>0</v>
      </c>
      <c r="AC208" s="32">
        <f>ECHS!G203</f>
        <v>0</v>
      </c>
      <c r="AD208" s="33">
        <f>KMS!C203</f>
        <v>0</v>
      </c>
      <c r="AE208" s="32">
        <f>KMS!G203</f>
        <v>0</v>
      </c>
      <c r="AF208" s="33">
        <f>NMS!C203</f>
        <v>0</v>
      </c>
      <c r="AG208" s="32">
        <f>NMS!G203</f>
        <v>0</v>
      </c>
      <c r="AH208" s="36">
        <f>Highpoint!C203</f>
        <v>0</v>
      </c>
      <c r="AI208" s="37">
        <f>KASE!D200</f>
        <v>0</v>
      </c>
      <c r="AJ208" s="38"/>
      <c r="AK208" s="39">
        <f t="shared" si="13"/>
        <v>0</v>
      </c>
      <c r="AL208" s="40"/>
    </row>
    <row r="209" spans="1:38" ht="12.75" x14ac:dyDescent="0.2">
      <c r="A209" s="25"/>
      <c r="B209" s="41">
        <f t="shared" si="38"/>
        <v>72450</v>
      </c>
      <c r="C209" s="49" t="s">
        <v>200</v>
      </c>
      <c r="D209" s="28">
        <v>45791</v>
      </c>
      <c r="E209" s="27" t="s">
        <v>37</v>
      </c>
      <c r="F209" s="29"/>
      <c r="G209" s="30">
        <f t="shared" si="37"/>
        <v>0</v>
      </c>
      <c r="H209" s="31">
        <f>CE!C204</f>
        <v>0</v>
      </c>
      <c r="I209" s="32">
        <f>CE!G204</f>
        <v>0</v>
      </c>
      <c r="J209" s="33">
        <f>GE!C204</f>
        <v>0</v>
      </c>
      <c r="K209" s="32">
        <f>GE!G204</f>
        <v>0</v>
      </c>
      <c r="L209" s="33">
        <f>ME!C204</f>
        <v>0</v>
      </c>
      <c r="M209" s="32">
        <f>ME!G204</f>
        <v>0</v>
      </c>
      <c r="N209" s="33">
        <f>SAMPLE!C204</f>
        <v>0</v>
      </c>
      <c r="O209" s="32">
        <f>SAMPLE!G204</f>
        <v>0</v>
      </c>
      <c r="P209" s="33">
        <f>'Sheldon Elementary'!C204</f>
        <v>0</v>
      </c>
      <c r="Q209" s="32">
        <f>'Sheldon Elementary'!D204</f>
        <v>0</v>
      </c>
      <c r="R209" s="33">
        <f>SLE!C204</f>
        <v>0</v>
      </c>
      <c r="S209" s="32">
        <f>SLE!G204</f>
        <v>0</v>
      </c>
      <c r="T209" s="33">
        <f>CECA!C204</f>
        <v>0</v>
      </c>
      <c r="U209" s="32">
        <f>CECA!G204</f>
        <v>0</v>
      </c>
      <c r="V209" s="33">
        <f>SECA!C204</f>
        <v>0</v>
      </c>
      <c r="W209" s="32">
        <f>SECA!G204</f>
        <v>0</v>
      </c>
      <c r="X209" s="33">
        <f>KHS!C204</f>
        <v>0</v>
      </c>
      <c r="Y209" s="34">
        <f>KHS!G204</f>
        <v>0</v>
      </c>
      <c r="Z209" s="33">
        <f>'9TH CAMP'!C204</f>
        <v>0</v>
      </c>
      <c r="AA209" s="34">
        <f>'9TH CAMP'!G204</f>
        <v>0</v>
      </c>
      <c r="AB209" s="33">
        <f>ECHS!C204</f>
        <v>0</v>
      </c>
      <c r="AC209" s="32">
        <f>ECHS!G204</f>
        <v>0</v>
      </c>
      <c r="AD209" s="33">
        <f>KMS!C204</f>
        <v>0</v>
      </c>
      <c r="AE209" s="32">
        <f>KMS!G204</f>
        <v>0</v>
      </c>
      <c r="AF209" s="33">
        <f>NMS!C204</f>
        <v>0</v>
      </c>
      <c r="AG209" s="32">
        <f>NMS!G204</f>
        <v>0</v>
      </c>
      <c r="AH209" s="36">
        <f>Highpoint!C204</f>
        <v>0</v>
      </c>
      <c r="AI209" s="37">
        <f>KASE!D201</f>
        <v>0</v>
      </c>
      <c r="AJ209" s="38"/>
      <c r="AK209" s="39">
        <f t="shared" si="13"/>
        <v>0</v>
      </c>
      <c r="AL209" s="40"/>
    </row>
    <row r="210" spans="1:38" ht="12.75" x14ac:dyDescent="0.2">
      <c r="A210" s="25"/>
      <c r="B210" s="41">
        <f t="shared" si="38"/>
        <v>72900</v>
      </c>
      <c r="C210" s="49" t="s">
        <v>201</v>
      </c>
      <c r="D210" s="28">
        <v>45792</v>
      </c>
      <c r="E210" s="27" t="s">
        <v>39</v>
      </c>
      <c r="F210" s="29"/>
      <c r="G210" s="30">
        <f t="shared" si="37"/>
        <v>0</v>
      </c>
      <c r="H210" s="31">
        <f>CE!C205</f>
        <v>0</v>
      </c>
      <c r="I210" s="32">
        <f>CE!G205</f>
        <v>0</v>
      </c>
      <c r="J210" s="33">
        <f>GE!C205</f>
        <v>0</v>
      </c>
      <c r="K210" s="32">
        <f>GE!G205</f>
        <v>0</v>
      </c>
      <c r="L210" s="33">
        <f>ME!C205</f>
        <v>0</v>
      </c>
      <c r="M210" s="32">
        <f>ME!G205</f>
        <v>0</v>
      </c>
      <c r="N210" s="33">
        <f>SAMPLE!C205</f>
        <v>0</v>
      </c>
      <c r="O210" s="32">
        <f>SAMPLE!G205</f>
        <v>0</v>
      </c>
      <c r="P210" s="33">
        <f>'Sheldon Elementary'!C205</f>
        <v>0</v>
      </c>
      <c r="Q210" s="32">
        <f>'Sheldon Elementary'!D205</f>
        <v>0</v>
      </c>
      <c r="R210" s="33">
        <f>SLE!C205</f>
        <v>0</v>
      </c>
      <c r="S210" s="32">
        <f>SLE!G205</f>
        <v>0</v>
      </c>
      <c r="T210" s="33">
        <f>CECA!C205</f>
        <v>0</v>
      </c>
      <c r="U210" s="32">
        <f>CECA!G205</f>
        <v>0</v>
      </c>
      <c r="V210" s="33">
        <f>SECA!C205</f>
        <v>0</v>
      </c>
      <c r="W210" s="32">
        <f>SECA!G205</f>
        <v>0</v>
      </c>
      <c r="X210" s="33">
        <f>KHS!C205</f>
        <v>0</v>
      </c>
      <c r="Y210" s="34">
        <f>KHS!G205</f>
        <v>0</v>
      </c>
      <c r="Z210" s="33">
        <f>'9TH CAMP'!C205</f>
        <v>0</v>
      </c>
      <c r="AA210" s="34">
        <f>'9TH CAMP'!G205</f>
        <v>0</v>
      </c>
      <c r="AB210" s="33">
        <f>ECHS!C205</f>
        <v>0</v>
      </c>
      <c r="AC210" s="32">
        <f>ECHS!G205</f>
        <v>0</v>
      </c>
      <c r="AD210" s="33">
        <f>KMS!C205</f>
        <v>0</v>
      </c>
      <c r="AE210" s="32">
        <f>KMS!G205</f>
        <v>0</v>
      </c>
      <c r="AF210" s="33">
        <f>NMS!C205</f>
        <v>0</v>
      </c>
      <c r="AG210" s="32">
        <f>NMS!G205</f>
        <v>0</v>
      </c>
      <c r="AH210" s="36">
        <f>Highpoint!C205</f>
        <v>0</v>
      </c>
      <c r="AI210" s="37">
        <f>KASE!D202</f>
        <v>0</v>
      </c>
      <c r="AJ210" s="38"/>
      <c r="AK210" s="39">
        <f t="shared" si="13"/>
        <v>0</v>
      </c>
      <c r="AL210" s="40"/>
    </row>
    <row r="211" spans="1:38" ht="12.75" x14ac:dyDescent="0.2">
      <c r="A211" s="25"/>
      <c r="B211" s="41">
        <f t="shared" si="38"/>
        <v>73350</v>
      </c>
      <c r="C211" s="49" t="s">
        <v>202</v>
      </c>
      <c r="D211" s="28">
        <v>45793</v>
      </c>
      <c r="E211" s="27" t="s">
        <v>41</v>
      </c>
      <c r="F211" s="29"/>
      <c r="G211" s="30">
        <f t="shared" si="37"/>
        <v>0</v>
      </c>
      <c r="H211" s="31">
        <f>CE!C206</f>
        <v>0</v>
      </c>
      <c r="I211" s="32">
        <f>CE!G206</f>
        <v>0</v>
      </c>
      <c r="J211" s="33">
        <f>GE!C206</f>
        <v>0</v>
      </c>
      <c r="K211" s="32">
        <f>GE!G206</f>
        <v>0</v>
      </c>
      <c r="L211" s="33">
        <f>ME!C206</f>
        <v>0</v>
      </c>
      <c r="M211" s="32">
        <f>ME!G206</f>
        <v>0</v>
      </c>
      <c r="N211" s="33">
        <f>SAMPLE!C206</f>
        <v>0</v>
      </c>
      <c r="O211" s="32">
        <f>SAMPLE!G206</f>
        <v>0</v>
      </c>
      <c r="P211" s="33">
        <f>'Sheldon Elementary'!C206</f>
        <v>0</v>
      </c>
      <c r="Q211" s="32">
        <f>'Sheldon Elementary'!D206</f>
        <v>0</v>
      </c>
      <c r="R211" s="33">
        <f>SLE!C206</f>
        <v>0</v>
      </c>
      <c r="S211" s="32">
        <f>SLE!G206</f>
        <v>0</v>
      </c>
      <c r="T211" s="33">
        <f>CECA!C206</f>
        <v>0</v>
      </c>
      <c r="U211" s="32">
        <f>CECA!G206</f>
        <v>0</v>
      </c>
      <c r="V211" s="33">
        <f>SECA!C206</f>
        <v>0</v>
      </c>
      <c r="W211" s="32">
        <f>SECA!G206</f>
        <v>0</v>
      </c>
      <c r="X211" s="33">
        <f>KHS!C206</f>
        <v>0</v>
      </c>
      <c r="Y211" s="34">
        <f>KHS!G206</f>
        <v>0</v>
      </c>
      <c r="Z211" s="33">
        <f>'9TH CAMP'!C206</f>
        <v>0</v>
      </c>
      <c r="AA211" s="34">
        <f>'9TH CAMP'!G206</f>
        <v>0</v>
      </c>
      <c r="AB211" s="33">
        <f>ECHS!C206</f>
        <v>0</v>
      </c>
      <c r="AC211" s="32">
        <f>ECHS!G206</f>
        <v>0</v>
      </c>
      <c r="AD211" s="33">
        <f>KMS!C206</f>
        <v>0</v>
      </c>
      <c r="AE211" s="32">
        <f>KMS!G206</f>
        <v>0</v>
      </c>
      <c r="AF211" s="33">
        <f>NMS!C206</f>
        <v>0</v>
      </c>
      <c r="AG211" s="32">
        <f>NMS!G206</f>
        <v>0</v>
      </c>
      <c r="AH211" s="36">
        <f>Highpoint!C206</f>
        <v>0</v>
      </c>
      <c r="AI211" s="37">
        <f>KASE!D203</f>
        <v>0</v>
      </c>
      <c r="AJ211" s="38"/>
      <c r="AK211" s="39">
        <f t="shared" si="13"/>
        <v>0</v>
      </c>
      <c r="AL211" s="40"/>
    </row>
    <row r="212" spans="1:38" ht="12.75" x14ac:dyDescent="0.2">
      <c r="A212" s="25"/>
      <c r="B212" s="41">
        <f>B210+450</f>
        <v>73350</v>
      </c>
      <c r="C212" s="49" t="s">
        <v>203</v>
      </c>
      <c r="D212" s="28">
        <v>45796</v>
      </c>
      <c r="E212" s="27" t="s">
        <v>33</v>
      </c>
      <c r="F212" s="29"/>
      <c r="G212" s="30">
        <f t="shared" si="37"/>
        <v>0</v>
      </c>
      <c r="H212" s="31">
        <f>CE!C207</f>
        <v>0</v>
      </c>
      <c r="I212" s="32">
        <f>CE!G207</f>
        <v>0</v>
      </c>
      <c r="J212" s="33">
        <f>GE!C207</f>
        <v>0</v>
      </c>
      <c r="K212" s="32">
        <f>GE!G207</f>
        <v>0</v>
      </c>
      <c r="L212" s="33">
        <f>ME!C207</f>
        <v>0</v>
      </c>
      <c r="M212" s="32">
        <f>ME!G207</f>
        <v>0</v>
      </c>
      <c r="N212" s="33">
        <f>SAMPLE!C207</f>
        <v>0</v>
      </c>
      <c r="O212" s="32">
        <f>SAMPLE!G207</f>
        <v>0</v>
      </c>
      <c r="P212" s="33">
        <f>'Sheldon Elementary'!C207</f>
        <v>0</v>
      </c>
      <c r="Q212" s="32">
        <f>'Sheldon Elementary'!D207</f>
        <v>0</v>
      </c>
      <c r="R212" s="33">
        <f>SLE!C207</f>
        <v>0</v>
      </c>
      <c r="S212" s="32">
        <f>SLE!G207</f>
        <v>0</v>
      </c>
      <c r="T212" s="33">
        <f>CECA!C207</f>
        <v>0</v>
      </c>
      <c r="U212" s="32">
        <f>CECA!G207</f>
        <v>0</v>
      </c>
      <c r="V212" s="33">
        <f>SECA!C207</f>
        <v>0</v>
      </c>
      <c r="W212" s="32">
        <f>SECA!G207</f>
        <v>0</v>
      </c>
      <c r="X212" s="33">
        <f>KHS!C207</f>
        <v>0</v>
      </c>
      <c r="Y212" s="34">
        <f>KHS!G207</f>
        <v>0</v>
      </c>
      <c r="Z212" s="33">
        <f>'9TH CAMP'!C207</f>
        <v>0</v>
      </c>
      <c r="AA212" s="34">
        <f>'9TH CAMP'!G207</f>
        <v>0</v>
      </c>
      <c r="AB212" s="33">
        <f>ECHS!C207</f>
        <v>0</v>
      </c>
      <c r="AC212" s="32">
        <f>ECHS!G207</f>
        <v>0</v>
      </c>
      <c r="AD212" s="33">
        <f>KMS!C207</f>
        <v>0</v>
      </c>
      <c r="AE212" s="32">
        <f>KMS!G207</f>
        <v>0</v>
      </c>
      <c r="AF212" s="33">
        <f>NMS!C207</f>
        <v>0</v>
      </c>
      <c r="AG212" s="32">
        <f>NMS!G207</f>
        <v>0</v>
      </c>
      <c r="AH212" s="36">
        <f>Highpoint!C207</f>
        <v>0</v>
      </c>
      <c r="AI212" s="37">
        <f>KASE!D204</f>
        <v>0</v>
      </c>
      <c r="AJ212" s="38"/>
      <c r="AK212" s="39">
        <f t="shared" si="13"/>
        <v>0</v>
      </c>
      <c r="AL212" s="40"/>
    </row>
    <row r="213" spans="1:38" ht="12.75" x14ac:dyDescent="0.2">
      <c r="A213" s="25"/>
      <c r="B213" s="41">
        <f t="shared" ref="B213:B216" si="39">B212+450</f>
        <v>73800</v>
      </c>
      <c r="C213" s="49" t="s">
        <v>204</v>
      </c>
      <c r="D213" s="28">
        <v>45797</v>
      </c>
      <c r="E213" s="27" t="s">
        <v>35</v>
      </c>
      <c r="F213" s="29"/>
      <c r="G213" s="30">
        <f t="shared" si="37"/>
        <v>0</v>
      </c>
      <c r="H213" s="31">
        <f>CE!C208</f>
        <v>0</v>
      </c>
      <c r="I213" s="32">
        <f>CE!G208</f>
        <v>0</v>
      </c>
      <c r="J213" s="33">
        <f>GE!C208</f>
        <v>0</v>
      </c>
      <c r="K213" s="32">
        <f>GE!G208</f>
        <v>0</v>
      </c>
      <c r="L213" s="33">
        <f>ME!C208</f>
        <v>0</v>
      </c>
      <c r="M213" s="32">
        <f>ME!G208</f>
        <v>0</v>
      </c>
      <c r="N213" s="33">
        <f>SAMPLE!C208</f>
        <v>0</v>
      </c>
      <c r="O213" s="32">
        <f>SAMPLE!G208</f>
        <v>0</v>
      </c>
      <c r="P213" s="33">
        <f>'Sheldon Elementary'!C208</f>
        <v>0</v>
      </c>
      <c r="Q213" s="32">
        <f>'Sheldon Elementary'!D208</f>
        <v>0</v>
      </c>
      <c r="R213" s="33">
        <f>SLE!C208</f>
        <v>0</v>
      </c>
      <c r="S213" s="32">
        <f>SLE!G208</f>
        <v>0</v>
      </c>
      <c r="T213" s="33">
        <f>CECA!C208</f>
        <v>0</v>
      </c>
      <c r="U213" s="32">
        <f>CECA!G208</f>
        <v>0</v>
      </c>
      <c r="V213" s="33">
        <f>SECA!C208</f>
        <v>0</v>
      </c>
      <c r="W213" s="32">
        <f>SECA!G208</f>
        <v>0</v>
      </c>
      <c r="X213" s="33">
        <f>KHS!C208</f>
        <v>0</v>
      </c>
      <c r="Y213" s="34">
        <f>KHS!G208</f>
        <v>0</v>
      </c>
      <c r="Z213" s="33">
        <f>'9TH CAMP'!C208</f>
        <v>0</v>
      </c>
      <c r="AA213" s="34">
        <f>'9TH CAMP'!G208</f>
        <v>0</v>
      </c>
      <c r="AB213" s="33">
        <f>ECHS!C208</f>
        <v>0</v>
      </c>
      <c r="AC213" s="32">
        <f>ECHS!G208</f>
        <v>0</v>
      </c>
      <c r="AD213" s="33">
        <f>KMS!C208</f>
        <v>0</v>
      </c>
      <c r="AE213" s="32">
        <f>KMS!G208</f>
        <v>0</v>
      </c>
      <c r="AF213" s="33">
        <f>NMS!C208</f>
        <v>0</v>
      </c>
      <c r="AG213" s="32">
        <f>NMS!G208</f>
        <v>0</v>
      </c>
      <c r="AH213" s="36">
        <f>Highpoint!C208</f>
        <v>0</v>
      </c>
      <c r="AI213" s="37">
        <f>KASE!D205</f>
        <v>0</v>
      </c>
      <c r="AJ213" s="38"/>
      <c r="AK213" s="39">
        <f t="shared" si="13"/>
        <v>0</v>
      </c>
      <c r="AL213" s="40"/>
    </row>
    <row r="214" spans="1:38" ht="12.75" x14ac:dyDescent="0.2">
      <c r="A214" s="25"/>
      <c r="B214" s="41">
        <f t="shared" si="39"/>
        <v>74250</v>
      </c>
      <c r="C214" s="49" t="s">
        <v>205</v>
      </c>
      <c r="D214" s="28">
        <v>45798</v>
      </c>
      <c r="E214" s="27" t="s">
        <v>37</v>
      </c>
      <c r="F214" s="29"/>
      <c r="G214" s="30">
        <f t="shared" si="37"/>
        <v>0</v>
      </c>
      <c r="H214" s="31">
        <f>CE!C209</f>
        <v>0</v>
      </c>
      <c r="I214" s="32">
        <f>CE!G209</f>
        <v>0</v>
      </c>
      <c r="J214" s="33">
        <f>GE!C209</f>
        <v>0</v>
      </c>
      <c r="K214" s="32">
        <f>GE!G209</f>
        <v>0</v>
      </c>
      <c r="L214" s="33">
        <f>ME!C209</f>
        <v>0</v>
      </c>
      <c r="M214" s="32">
        <f>ME!G209</f>
        <v>0</v>
      </c>
      <c r="N214" s="33">
        <f>SAMPLE!C209</f>
        <v>0</v>
      </c>
      <c r="O214" s="32">
        <f>SAMPLE!G209</f>
        <v>0</v>
      </c>
      <c r="P214" s="33">
        <f>'Sheldon Elementary'!C209</f>
        <v>0</v>
      </c>
      <c r="Q214" s="32">
        <f>'Sheldon Elementary'!D209</f>
        <v>0</v>
      </c>
      <c r="R214" s="33">
        <f>SLE!C209</f>
        <v>0</v>
      </c>
      <c r="S214" s="32">
        <f>SLE!G209</f>
        <v>0</v>
      </c>
      <c r="T214" s="33">
        <f>CECA!C209</f>
        <v>0</v>
      </c>
      <c r="U214" s="32">
        <f>CECA!G209</f>
        <v>0</v>
      </c>
      <c r="V214" s="33">
        <f>SECA!C209</f>
        <v>0</v>
      </c>
      <c r="W214" s="32">
        <f>SECA!G209</f>
        <v>0</v>
      </c>
      <c r="X214" s="33">
        <f>KHS!C209</f>
        <v>0</v>
      </c>
      <c r="Y214" s="34">
        <f>KHS!G209</f>
        <v>0</v>
      </c>
      <c r="Z214" s="33">
        <f>'9TH CAMP'!C209</f>
        <v>0</v>
      </c>
      <c r="AA214" s="34">
        <f>'9TH CAMP'!G209</f>
        <v>0</v>
      </c>
      <c r="AB214" s="33">
        <f>ECHS!C209</f>
        <v>0</v>
      </c>
      <c r="AC214" s="32">
        <f>ECHS!G209</f>
        <v>0</v>
      </c>
      <c r="AD214" s="33">
        <f>KMS!C209</f>
        <v>0</v>
      </c>
      <c r="AE214" s="32">
        <f>KMS!G209</f>
        <v>0</v>
      </c>
      <c r="AF214" s="33">
        <f>NMS!C209</f>
        <v>0</v>
      </c>
      <c r="AG214" s="32">
        <f>NMS!G209</f>
        <v>0</v>
      </c>
      <c r="AH214" s="36">
        <f>Highpoint!C209</f>
        <v>0</v>
      </c>
      <c r="AI214" s="37">
        <f>KASE!D206</f>
        <v>0</v>
      </c>
      <c r="AJ214" s="38"/>
      <c r="AK214" s="39">
        <f t="shared" si="13"/>
        <v>0</v>
      </c>
      <c r="AL214" s="40"/>
    </row>
    <row r="215" spans="1:38" ht="12.75" x14ac:dyDescent="0.2">
      <c r="A215" s="25"/>
      <c r="B215" s="41">
        <f t="shared" si="39"/>
        <v>74700</v>
      </c>
      <c r="C215" s="49" t="s">
        <v>206</v>
      </c>
      <c r="D215" s="28">
        <v>45799</v>
      </c>
      <c r="E215" s="27" t="s">
        <v>39</v>
      </c>
      <c r="F215" s="29"/>
      <c r="G215" s="30">
        <f t="shared" si="37"/>
        <v>0</v>
      </c>
      <c r="H215" s="31">
        <f>CE!C210</f>
        <v>0</v>
      </c>
      <c r="I215" s="32">
        <f>CE!G210</f>
        <v>0</v>
      </c>
      <c r="J215" s="33">
        <f>GE!C210</f>
        <v>0</v>
      </c>
      <c r="K215" s="32">
        <f>GE!G210</f>
        <v>0</v>
      </c>
      <c r="L215" s="33">
        <f>ME!C210</f>
        <v>0</v>
      </c>
      <c r="M215" s="32">
        <f>ME!G210</f>
        <v>0</v>
      </c>
      <c r="N215" s="33">
        <f>SAMPLE!C210</f>
        <v>0</v>
      </c>
      <c r="O215" s="32">
        <f>SAMPLE!G210</f>
        <v>0</v>
      </c>
      <c r="P215" s="33">
        <f>'Sheldon Elementary'!C210</f>
        <v>0</v>
      </c>
      <c r="Q215" s="32">
        <f>'Sheldon Elementary'!D210</f>
        <v>0</v>
      </c>
      <c r="R215" s="33">
        <f>SLE!C210</f>
        <v>0</v>
      </c>
      <c r="S215" s="32">
        <f>SLE!G210</f>
        <v>0</v>
      </c>
      <c r="T215" s="33">
        <f>CECA!C210</f>
        <v>0</v>
      </c>
      <c r="U215" s="32">
        <f>CECA!G210</f>
        <v>0</v>
      </c>
      <c r="V215" s="33">
        <f>SECA!C210</f>
        <v>0</v>
      </c>
      <c r="W215" s="32">
        <f>SECA!G210</f>
        <v>0</v>
      </c>
      <c r="X215" s="33">
        <f>KHS!C210</f>
        <v>0</v>
      </c>
      <c r="Y215" s="34">
        <f>KHS!G210</f>
        <v>0</v>
      </c>
      <c r="Z215" s="33">
        <f>'9TH CAMP'!C210</f>
        <v>0</v>
      </c>
      <c r="AA215" s="34">
        <f>'9TH CAMP'!G210</f>
        <v>0</v>
      </c>
      <c r="AB215" s="33">
        <f>ECHS!C210</f>
        <v>0</v>
      </c>
      <c r="AC215" s="32">
        <f>ECHS!G210</f>
        <v>0</v>
      </c>
      <c r="AD215" s="33">
        <f>KMS!C210</f>
        <v>0</v>
      </c>
      <c r="AE215" s="32">
        <f>KMS!G210</f>
        <v>0</v>
      </c>
      <c r="AF215" s="33">
        <f>NMS!C210</f>
        <v>0</v>
      </c>
      <c r="AG215" s="32">
        <f>NMS!G210</f>
        <v>0</v>
      </c>
      <c r="AH215" s="36">
        <f>Highpoint!C210</f>
        <v>0</v>
      </c>
      <c r="AI215" s="37">
        <f>KASE!D207</f>
        <v>0</v>
      </c>
      <c r="AJ215" s="38"/>
      <c r="AK215" s="39">
        <f t="shared" si="13"/>
        <v>0</v>
      </c>
      <c r="AL215" s="40"/>
    </row>
    <row r="216" spans="1:38" ht="12.75" x14ac:dyDescent="0.2">
      <c r="A216" s="25"/>
      <c r="B216" s="41">
        <f t="shared" si="39"/>
        <v>75150</v>
      </c>
      <c r="C216" s="49" t="s">
        <v>207</v>
      </c>
      <c r="D216" s="28">
        <v>45800</v>
      </c>
      <c r="E216" s="27" t="s">
        <v>41</v>
      </c>
      <c r="F216" s="29"/>
      <c r="G216" s="30">
        <f t="shared" si="37"/>
        <v>0</v>
      </c>
      <c r="H216" s="31">
        <f>CE!C211</f>
        <v>0</v>
      </c>
      <c r="I216" s="32">
        <f>CE!G211</f>
        <v>0</v>
      </c>
      <c r="J216" s="33">
        <f>GE!C211</f>
        <v>0</v>
      </c>
      <c r="K216" s="32">
        <f>GE!G211</f>
        <v>0</v>
      </c>
      <c r="L216" s="33">
        <f>ME!C211</f>
        <v>0</v>
      </c>
      <c r="M216" s="32">
        <f>ME!G211</f>
        <v>0</v>
      </c>
      <c r="N216" s="33">
        <f>SAMPLE!C211</f>
        <v>0</v>
      </c>
      <c r="O216" s="32">
        <f>SAMPLE!G211</f>
        <v>0</v>
      </c>
      <c r="P216" s="33">
        <f>'Sheldon Elementary'!C211</f>
        <v>0</v>
      </c>
      <c r="Q216" s="32">
        <f>'Sheldon Elementary'!D211</f>
        <v>0</v>
      </c>
      <c r="R216" s="33">
        <f>SLE!C211</f>
        <v>0</v>
      </c>
      <c r="S216" s="32">
        <f>SLE!G211</f>
        <v>0</v>
      </c>
      <c r="T216" s="33">
        <f>CECA!C211</f>
        <v>0</v>
      </c>
      <c r="U216" s="32">
        <f>CECA!G211</f>
        <v>0</v>
      </c>
      <c r="V216" s="33">
        <f>SECA!C211</f>
        <v>0</v>
      </c>
      <c r="W216" s="32">
        <f>SECA!G211</f>
        <v>0</v>
      </c>
      <c r="X216" s="33">
        <f>KHS!C211</f>
        <v>0</v>
      </c>
      <c r="Y216" s="34">
        <f>KHS!G211</f>
        <v>0</v>
      </c>
      <c r="Z216" s="33">
        <f>'9TH CAMP'!C211</f>
        <v>0</v>
      </c>
      <c r="AA216" s="34">
        <f>'9TH CAMP'!G211</f>
        <v>0</v>
      </c>
      <c r="AB216" s="33">
        <f>ECHS!C211</f>
        <v>0</v>
      </c>
      <c r="AC216" s="32">
        <f>ECHS!G211</f>
        <v>0</v>
      </c>
      <c r="AD216" s="33">
        <f>KMS!C211</f>
        <v>0</v>
      </c>
      <c r="AE216" s="32">
        <f>KMS!G211</f>
        <v>0</v>
      </c>
      <c r="AF216" s="33">
        <f>NMS!C211</f>
        <v>0</v>
      </c>
      <c r="AG216" s="32">
        <f>NMS!G211</f>
        <v>0</v>
      </c>
      <c r="AH216" s="36">
        <f>Highpoint!C211</f>
        <v>0</v>
      </c>
      <c r="AI216" s="37">
        <f>KASE!D208</f>
        <v>0</v>
      </c>
      <c r="AJ216" s="38"/>
      <c r="AK216" s="39">
        <f t="shared" si="13"/>
        <v>0</v>
      </c>
      <c r="AL216" s="40"/>
    </row>
    <row r="217" spans="1:38" ht="12.75" x14ac:dyDescent="0.2">
      <c r="A217" s="205" t="s">
        <v>77</v>
      </c>
      <c r="B217" s="206"/>
      <c r="C217" s="206"/>
      <c r="D217" s="43">
        <v>45803</v>
      </c>
      <c r="E217" s="42" t="s">
        <v>33</v>
      </c>
      <c r="F217" s="44"/>
      <c r="G217" s="44"/>
      <c r="H217" s="55"/>
      <c r="I217" s="56"/>
      <c r="J217" s="57"/>
      <c r="K217" s="56"/>
      <c r="L217" s="57"/>
      <c r="M217" s="56"/>
      <c r="N217" s="57"/>
      <c r="O217" s="56"/>
      <c r="P217" s="57"/>
      <c r="Q217" s="56"/>
      <c r="R217" s="57"/>
      <c r="S217" s="56"/>
      <c r="T217" s="57"/>
      <c r="U217" s="56"/>
      <c r="V217" s="58"/>
      <c r="W217" s="56"/>
      <c r="X217" s="58"/>
      <c r="Y217" s="59"/>
      <c r="Z217" s="58"/>
      <c r="AA217" s="59"/>
      <c r="AB217" s="57"/>
      <c r="AC217" s="56"/>
      <c r="AD217" s="57"/>
      <c r="AE217" s="56"/>
      <c r="AF217" s="57"/>
      <c r="AG217" s="56"/>
      <c r="AH217" s="51"/>
      <c r="AI217" s="60"/>
      <c r="AJ217" s="45"/>
      <c r="AK217" s="40" t="e">
        <f t="shared" si="13"/>
        <v>#DIV/0!</v>
      </c>
      <c r="AL217" s="45"/>
    </row>
    <row r="218" spans="1:38" ht="12.75" x14ac:dyDescent="0.2">
      <c r="A218" s="25"/>
      <c r="B218" s="41">
        <f>B216+450</f>
        <v>75600</v>
      </c>
      <c r="C218" s="49" t="s">
        <v>208</v>
      </c>
      <c r="D218" s="28">
        <v>45804</v>
      </c>
      <c r="E218" s="27" t="s">
        <v>35</v>
      </c>
      <c r="F218" s="29"/>
      <c r="G218" s="30">
        <f t="shared" ref="G218:G220" si="40">I218+K218+M218+O218+Q218+S218+U218+W218+Y218+AA218+AC218+AE218+AG218+AI218+AH218</f>
        <v>0</v>
      </c>
      <c r="H218" s="31">
        <f>CE!C213</f>
        <v>0</v>
      </c>
      <c r="I218" s="32">
        <f>CE!G213</f>
        <v>0</v>
      </c>
      <c r="J218" s="33">
        <f>GE!C213</f>
        <v>0</v>
      </c>
      <c r="K218" s="32">
        <f>GE!G213</f>
        <v>0</v>
      </c>
      <c r="L218" s="33">
        <f>ME!C213</f>
        <v>0</v>
      </c>
      <c r="M218" s="32">
        <f>ME!G213</f>
        <v>0</v>
      </c>
      <c r="N218" s="33">
        <f>SAMPLE!C213</f>
        <v>0</v>
      </c>
      <c r="O218" s="32">
        <f>SAMPLE!G213</f>
        <v>0</v>
      </c>
      <c r="P218" s="33">
        <f>'Sheldon Elementary'!C213</f>
        <v>0</v>
      </c>
      <c r="Q218" s="32">
        <f>'Sheldon Elementary'!D213</f>
        <v>0</v>
      </c>
      <c r="R218" s="33">
        <f>SLE!C213</f>
        <v>0</v>
      </c>
      <c r="S218" s="32">
        <f>SLE!G213</f>
        <v>0</v>
      </c>
      <c r="T218" s="33">
        <f>CECA!C213</f>
        <v>0</v>
      </c>
      <c r="U218" s="32">
        <f>CECA!G213</f>
        <v>0</v>
      </c>
      <c r="V218" s="33">
        <f>SECA!C213</f>
        <v>0</v>
      </c>
      <c r="W218" s="32">
        <f>SECA!G213</f>
        <v>0</v>
      </c>
      <c r="X218" s="33">
        <f>KHS!C213</f>
        <v>0</v>
      </c>
      <c r="Y218" s="34">
        <f>KHS!G213</f>
        <v>0</v>
      </c>
      <c r="Z218" s="33">
        <f>'9TH CAMP'!C213</f>
        <v>0</v>
      </c>
      <c r="AA218" s="34">
        <f>'9TH CAMP'!G213</f>
        <v>0</v>
      </c>
      <c r="AB218" s="33">
        <f>ECHS!C213</f>
        <v>0</v>
      </c>
      <c r="AC218" s="32">
        <f>ECHS!G213</f>
        <v>0</v>
      </c>
      <c r="AD218" s="33">
        <f>KMS!C213</f>
        <v>0</v>
      </c>
      <c r="AE218" s="32">
        <f>KMS!G213</f>
        <v>0</v>
      </c>
      <c r="AF218" s="33">
        <f>NMS!C213</f>
        <v>0</v>
      </c>
      <c r="AG218" s="32">
        <f>NMS!G213</f>
        <v>0</v>
      </c>
      <c r="AH218" s="36">
        <f>Highpoint!C213</f>
        <v>0</v>
      </c>
      <c r="AI218" s="37">
        <f>KASE!D210</f>
        <v>0</v>
      </c>
      <c r="AJ218" s="38"/>
      <c r="AK218" s="39">
        <f t="shared" si="13"/>
        <v>0</v>
      </c>
      <c r="AL218" s="40"/>
    </row>
    <row r="219" spans="1:38" ht="12.75" x14ac:dyDescent="0.2">
      <c r="A219" s="25"/>
      <c r="B219" s="41">
        <f t="shared" ref="B219:B220" si="41">B218+450</f>
        <v>76050</v>
      </c>
      <c r="C219" s="49" t="s">
        <v>209</v>
      </c>
      <c r="D219" s="28">
        <v>45805</v>
      </c>
      <c r="E219" s="27" t="s">
        <v>37</v>
      </c>
      <c r="F219" s="29"/>
      <c r="G219" s="30">
        <f t="shared" si="40"/>
        <v>0</v>
      </c>
      <c r="H219" s="31">
        <f>CE!C214</f>
        <v>0</v>
      </c>
      <c r="I219" s="32">
        <f>CE!G214</f>
        <v>0</v>
      </c>
      <c r="J219" s="33">
        <f>GE!C214</f>
        <v>0</v>
      </c>
      <c r="K219" s="32">
        <f>GE!G214</f>
        <v>0</v>
      </c>
      <c r="L219" s="33">
        <f>ME!C214</f>
        <v>0</v>
      </c>
      <c r="M219" s="32">
        <f>ME!G214</f>
        <v>0</v>
      </c>
      <c r="N219" s="33">
        <f>SAMPLE!C214</f>
        <v>0</v>
      </c>
      <c r="O219" s="32">
        <f>SAMPLE!G214</f>
        <v>0</v>
      </c>
      <c r="P219" s="33">
        <f>'Sheldon Elementary'!C214</f>
        <v>0</v>
      </c>
      <c r="Q219" s="32">
        <f>'Sheldon Elementary'!D214</f>
        <v>0</v>
      </c>
      <c r="R219" s="33">
        <f>SLE!C214</f>
        <v>0</v>
      </c>
      <c r="S219" s="32">
        <f>SLE!G214</f>
        <v>0</v>
      </c>
      <c r="T219" s="33">
        <f>CECA!C214</f>
        <v>0</v>
      </c>
      <c r="U219" s="32">
        <f>CECA!G214</f>
        <v>0</v>
      </c>
      <c r="V219" s="33">
        <f>SECA!C214</f>
        <v>0</v>
      </c>
      <c r="W219" s="32">
        <f>SECA!G214</f>
        <v>0</v>
      </c>
      <c r="X219" s="33">
        <f>KHS!C214</f>
        <v>0</v>
      </c>
      <c r="Y219" s="34">
        <f>KHS!G214</f>
        <v>0</v>
      </c>
      <c r="Z219" s="33">
        <f>'9TH CAMP'!C214</f>
        <v>0</v>
      </c>
      <c r="AA219" s="34">
        <f>'9TH CAMP'!G214</f>
        <v>0</v>
      </c>
      <c r="AB219" s="33">
        <f>ECHS!C214</f>
        <v>0</v>
      </c>
      <c r="AC219" s="32">
        <f>ECHS!G214</f>
        <v>0</v>
      </c>
      <c r="AD219" s="33">
        <f>KMS!C214</f>
        <v>0</v>
      </c>
      <c r="AE219" s="32">
        <f>KMS!G214</f>
        <v>0</v>
      </c>
      <c r="AF219" s="33">
        <f>NMS!C214</f>
        <v>0</v>
      </c>
      <c r="AG219" s="32">
        <f>NMS!G214</f>
        <v>0</v>
      </c>
      <c r="AH219" s="36">
        <f>Highpoint!C214</f>
        <v>0</v>
      </c>
      <c r="AI219" s="37">
        <f>KASE!D211</f>
        <v>0</v>
      </c>
      <c r="AJ219" s="38"/>
      <c r="AK219" s="39">
        <f t="shared" si="13"/>
        <v>0</v>
      </c>
      <c r="AL219" s="40"/>
    </row>
    <row r="220" spans="1:38" ht="12.75" x14ac:dyDescent="0.2">
      <c r="A220" s="78"/>
      <c r="B220" s="41">
        <f t="shared" si="41"/>
        <v>76500</v>
      </c>
      <c r="C220" s="49" t="s">
        <v>210</v>
      </c>
      <c r="D220" s="28">
        <v>45806</v>
      </c>
      <c r="E220" s="79" t="s">
        <v>39</v>
      </c>
      <c r="F220" s="29"/>
      <c r="G220" s="30">
        <f t="shared" si="40"/>
        <v>0</v>
      </c>
      <c r="H220" s="31">
        <f>CE!C215</f>
        <v>0</v>
      </c>
      <c r="I220" s="32">
        <f>CE!G215</f>
        <v>0</v>
      </c>
      <c r="J220" s="33">
        <f>GE!C215</f>
        <v>0</v>
      </c>
      <c r="K220" s="32">
        <f>GE!G215</f>
        <v>0</v>
      </c>
      <c r="L220" s="33">
        <f>ME!C215</f>
        <v>0</v>
      </c>
      <c r="M220" s="32">
        <f>ME!G215</f>
        <v>0</v>
      </c>
      <c r="N220" s="33">
        <f>SAMPLE!C215</f>
        <v>0</v>
      </c>
      <c r="O220" s="32">
        <f>SAMPLE!G215</f>
        <v>0</v>
      </c>
      <c r="P220" s="33">
        <f>'Sheldon Elementary'!C215</f>
        <v>0</v>
      </c>
      <c r="Q220" s="32">
        <f>'Sheldon Elementary'!D215</f>
        <v>0</v>
      </c>
      <c r="R220" s="33">
        <f>SLE!C215</f>
        <v>0</v>
      </c>
      <c r="S220" s="32">
        <f>SLE!G215</f>
        <v>0</v>
      </c>
      <c r="T220" s="33">
        <f>CECA!C215</f>
        <v>0</v>
      </c>
      <c r="U220" s="32">
        <f>CECA!G215</f>
        <v>0</v>
      </c>
      <c r="V220" s="33">
        <f>SECA!C215</f>
        <v>0</v>
      </c>
      <c r="W220" s="32">
        <f>SECA!G215</f>
        <v>0</v>
      </c>
      <c r="X220" s="33">
        <f>KHS!C215</f>
        <v>0</v>
      </c>
      <c r="Y220" s="34">
        <f>KHS!G215</f>
        <v>0</v>
      </c>
      <c r="Z220" s="33">
        <f>'9TH CAMP'!C215</f>
        <v>0</v>
      </c>
      <c r="AA220" s="34">
        <f>'9TH CAMP'!G215</f>
        <v>0</v>
      </c>
      <c r="AB220" s="33">
        <f>ECHS!C215</f>
        <v>0</v>
      </c>
      <c r="AC220" s="32">
        <f>ECHS!G215</f>
        <v>0</v>
      </c>
      <c r="AD220" s="33">
        <f>KMS!C215</f>
        <v>0</v>
      </c>
      <c r="AE220" s="32">
        <f>KMS!G215</f>
        <v>0</v>
      </c>
      <c r="AF220" s="33">
        <f>NMS!C215</f>
        <v>0</v>
      </c>
      <c r="AG220" s="32">
        <f>NMS!G215</f>
        <v>0</v>
      </c>
      <c r="AH220" s="36">
        <f>Highpoint!C215</f>
        <v>0</v>
      </c>
      <c r="AI220" s="37">
        <f>KASE!D212</f>
        <v>0</v>
      </c>
      <c r="AJ220" s="38"/>
      <c r="AK220" s="39">
        <f t="shared" si="13"/>
        <v>0</v>
      </c>
      <c r="AL220" s="40"/>
    </row>
  </sheetData>
  <mergeCells count="130">
    <mergeCell ref="F6:G6"/>
    <mergeCell ref="A8:G8"/>
    <mergeCell ref="H8:I8"/>
    <mergeCell ref="J8:K8"/>
    <mergeCell ref="L8:M8"/>
    <mergeCell ref="N8:O8"/>
    <mergeCell ref="P8:Q8"/>
    <mergeCell ref="X5:Y5"/>
    <mergeCell ref="Z5:AA5"/>
    <mergeCell ref="A5:G5"/>
    <mergeCell ref="AD5:AE5"/>
    <mergeCell ref="AF5:AG5"/>
    <mergeCell ref="R8:S8"/>
    <mergeCell ref="T8:U8"/>
    <mergeCell ref="V8:W8"/>
    <mergeCell ref="X8:Y8"/>
    <mergeCell ref="Z8:AA8"/>
    <mergeCell ref="AB8:AC8"/>
    <mergeCell ref="H7:AG7"/>
    <mergeCell ref="AD8:AE8"/>
    <mergeCell ref="AF8:AG8"/>
    <mergeCell ref="R5:S5"/>
    <mergeCell ref="H6:I6"/>
    <mergeCell ref="J6:K6"/>
    <mergeCell ref="L6:M6"/>
    <mergeCell ref="N6:O6"/>
    <mergeCell ref="P6:Q6"/>
    <mergeCell ref="R6:S6"/>
    <mergeCell ref="H5:I5"/>
    <mergeCell ref="J5:K5"/>
    <mergeCell ref="L5:M5"/>
    <mergeCell ref="N5:O5"/>
    <mergeCell ref="P5:Q5"/>
    <mergeCell ref="H1:AG1"/>
    <mergeCell ref="A2:G2"/>
    <mergeCell ref="H2:I2"/>
    <mergeCell ref="J2:K2"/>
    <mergeCell ref="L2:M2"/>
    <mergeCell ref="N2:O2"/>
    <mergeCell ref="P2:Q2"/>
    <mergeCell ref="P3:Q3"/>
    <mergeCell ref="R3:S3"/>
    <mergeCell ref="V3:W3"/>
    <mergeCell ref="X3:Y3"/>
    <mergeCell ref="Z3:AA3"/>
    <mergeCell ref="AB3:AC3"/>
    <mergeCell ref="AD3:AE3"/>
    <mergeCell ref="AF3:AG3"/>
    <mergeCell ref="AD2:AE2"/>
    <mergeCell ref="AF2:AG2"/>
    <mergeCell ref="R2:S2"/>
    <mergeCell ref="H3:I3"/>
    <mergeCell ref="J3:K3"/>
    <mergeCell ref="L3:M3"/>
    <mergeCell ref="N3:O3"/>
    <mergeCell ref="G3:G4"/>
    <mergeCell ref="A10:G10"/>
    <mergeCell ref="H10:AG10"/>
    <mergeCell ref="A11:B11"/>
    <mergeCell ref="A9:G9"/>
    <mergeCell ref="H9:I9"/>
    <mergeCell ref="J9:K9"/>
    <mergeCell ref="L9:M9"/>
    <mergeCell ref="N9:O9"/>
    <mergeCell ref="P9:Q9"/>
    <mergeCell ref="R9:S9"/>
    <mergeCell ref="AD9:AE9"/>
    <mergeCell ref="AF9:AG9"/>
    <mergeCell ref="AH2:AL2"/>
    <mergeCell ref="AK4:AL4"/>
    <mergeCell ref="AH5:AL10"/>
    <mergeCell ref="AD6:AE6"/>
    <mergeCell ref="AF6:AG6"/>
    <mergeCell ref="T9:U9"/>
    <mergeCell ref="V9:W9"/>
    <mergeCell ref="X9:Y9"/>
    <mergeCell ref="Z9:AA9"/>
    <mergeCell ref="AB9:AC9"/>
    <mergeCell ref="V2:W2"/>
    <mergeCell ref="X2:Y2"/>
    <mergeCell ref="Z2:AA2"/>
    <mergeCell ref="AB2:AC2"/>
    <mergeCell ref="T5:U5"/>
    <mergeCell ref="V5:W5"/>
    <mergeCell ref="T6:U6"/>
    <mergeCell ref="V6:W6"/>
    <mergeCell ref="X6:Y6"/>
    <mergeCell ref="Z6:AA6"/>
    <mergeCell ref="AB6:AC6"/>
    <mergeCell ref="T2:U2"/>
    <mergeCell ref="T3:U3"/>
    <mergeCell ref="AB5:AC5"/>
    <mergeCell ref="A142:C142"/>
    <mergeCell ref="A191:C191"/>
    <mergeCell ref="A192:C192"/>
    <mergeCell ref="A217:C217"/>
    <mergeCell ref="A143:C143"/>
    <mergeCell ref="A147:C147"/>
    <mergeCell ref="A167:C167"/>
    <mergeCell ref="A168:C168"/>
    <mergeCell ref="A169:C169"/>
    <mergeCell ref="A170:C170"/>
    <mergeCell ref="A171:C171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27:C127"/>
    <mergeCell ref="A87:C87"/>
    <mergeCell ref="A88:C88"/>
    <mergeCell ref="A89:C89"/>
    <mergeCell ref="A90:C90"/>
    <mergeCell ref="A91:C91"/>
    <mergeCell ref="A107:C107"/>
    <mergeCell ref="A108:C108"/>
    <mergeCell ref="A109:C109"/>
    <mergeCell ref="A110:C110"/>
    <mergeCell ref="A27:C27"/>
    <mergeCell ref="A37:C37"/>
    <mergeCell ref="A52:C52"/>
    <mergeCell ref="A53:C53"/>
    <mergeCell ref="A54:C54"/>
    <mergeCell ref="A55:C55"/>
    <mergeCell ref="A56:C56"/>
    <mergeCell ref="A72:C72"/>
    <mergeCell ref="A73:C73"/>
  </mergeCells>
  <conditionalFormatting sqref="A5:AL6">
    <cfRule type="cellIs" dxfId="60" priority="5" operator="lessThan">
      <formula>"94%"</formula>
    </cfRule>
  </conditionalFormatting>
  <conditionalFormatting sqref="F11:G11 H11:AG220 AL123:AL124 AJ211 AL211">
    <cfRule type="cellIs" dxfId="59" priority="1" operator="between">
      <formula>"85%"</formula>
      <formula>"90%"</formula>
    </cfRule>
    <cfRule type="cellIs" dxfId="58" priority="2" operator="between">
      <formula>"87%"</formula>
      <formula>"82.12%"</formula>
    </cfRule>
    <cfRule type="cellIs" dxfId="57" priority="3" operator="lessThan">
      <formula>"82.12%"</formula>
    </cfRule>
    <cfRule type="cellIs" dxfId="56" priority="4" operator="lessThan">
      <formula>"94%"</formula>
    </cfRule>
  </conditionalFormatting>
  <hyperlinks>
    <hyperlink ref="H7" r:id="rId1" xr:uid="{00000000-0004-0000-00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  <pageSetUpPr fitToPage="1"/>
  </sheetPr>
  <dimension ref="A1:K853"/>
  <sheetViews>
    <sheetView workbookViewId="0">
      <pane ySplit="6" topLeftCell="A142" activePane="bottomLeft" state="frozen"/>
      <selection pane="bottomLeft" activeCell="E160" sqref="E160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22" customWidth="1"/>
  </cols>
  <sheetData>
    <row r="1" spans="1:11" ht="26.25" x14ac:dyDescent="0.35">
      <c r="A1" s="80"/>
      <c r="B1" s="80"/>
      <c r="C1" s="80"/>
      <c r="D1" s="80"/>
      <c r="E1" s="80"/>
      <c r="F1" s="80"/>
      <c r="G1" s="80"/>
      <c r="H1" s="81"/>
      <c r="I1" s="81"/>
      <c r="J1" s="82"/>
      <c r="K1" s="83">
        <f>SUM(K7:K215)</f>
        <v>-2470.1383999999966</v>
      </c>
    </row>
    <row r="2" spans="1:11" x14ac:dyDescent="0.25">
      <c r="A2" s="242" t="s">
        <v>211</v>
      </c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213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234562.56449999992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89" t="s">
        <v>222</v>
      </c>
      <c r="I6" s="90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225</v>
      </c>
      <c r="E7" s="96"/>
      <c r="F7" s="96"/>
      <c r="G7" s="97">
        <v>464</v>
      </c>
      <c r="H7" s="98">
        <f t="shared" ref="H7:H201" si="0">G7-(C7*G7)</f>
        <v>0</v>
      </c>
      <c r="I7" s="99">
        <f t="shared" ref="I7:I215" si="1">H7*$H$5</f>
        <v>0</v>
      </c>
      <c r="J7" s="100">
        <v>0</v>
      </c>
      <c r="K7" s="101">
        <f t="shared" ref="K7:K215" si="2">J7-H7</f>
        <v>0</v>
      </c>
    </row>
    <row r="8" spans="1:11" ht="12.75" x14ac:dyDescent="0.2">
      <c r="A8" s="92">
        <v>45517</v>
      </c>
      <c r="B8" s="93" t="s">
        <v>35</v>
      </c>
      <c r="C8" s="94">
        <v>0.98860000000000003</v>
      </c>
      <c r="D8" s="95" t="s">
        <v>225</v>
      </c>
      <c r="E8" s="96"/>
      <c r="F8" s="96"/>
      <c r="G8" s="97">
        <v>487</v>
      </c>
      <c r="H8" s="98">
        <f t="shared" si="0"/>
        <v>5.5517999999999574</v>
      </c>
      <c r="I8" s="99">
        <f t="shared" si="1"/>
        <v>305.34899999999766</v>
      </c>
      <c r="J8" s="100">
        <f t="shared" ref="J8:J215" si="3">G8-(G8*J$3)</f>
        <v>24.350000000000023</v>
      </c>
      <c r="K8" s="101">
        <f t="shared" si="2"/>
        <v>18.798200000000065</v>
      </c>
    </row>
    <row r="9" spans="1:11" ht="12.75" x14ac:dyDescent="0.2">
      <c r="A9" s="92">
        <v>45518</v>
      </c>
      <c r="B9" s="93" t="s">
        <v>37</v>
      </c>
      <c r="C9" s="94">
        <v>0.98089999999999999</v>
      </c>
      <c r="D9" s="95" t="s">
        <v>225</v>
      </c>
      <c r="E9" s="96"/>
      <c r="F9" s="96"/>
      <c r="G9" s="97">
        <v>495</v>
      </c>
      <c r="H9" s="98">
        <f t="shared" si="0"/>
        <v>9.4544999999999959</v>
      </c>
      <c r="I9" s="99">
        <f t="shared" si="1"/>
        <v>519.99749999999972</v>
      </c>
      <c r="J9" s="100">
        <f t="shared" si="3"/>
        <v>24.75</v>
      </c>
      <c r="K9" s="101">
        <f t="shared" si="2"/>
        <v>15.295500000000004</v>
      </c>
    </row>
    <row r="10" spans="1:11" ht="12.75" x14ac:dyDescent="0.2">
      <c r="A10" s="92">
        <v>45519</v>
      </c>
      <c r="B10" s="93" t="s">
        <v>39</v>
      </c>
      <c r="C10" s="94">
        <v>0.94599999999999995</v>
      </c>
      <c r="D10" s="95" t="s">
        <v>225</v>
      </c>
      <c r="E10" s="96"/>
      <c r="F10" s="96"/>
      <c r="G10" s="97">
        <v>503</v>
      </c>
      <c r="H10" s="98">
        <f t="shared" si="0"/>
        <v>27.162000000000035</v>
      </c>
      <c r="I10" s="99">
        <f t="shared" si="1"/>
        <v>1493.9100000000019</v>
      </c>
      <c r="J10" s="100">
        <f t="shared" si="3"/>
        <v>25.150000000000034</v>
      </c>
      <c r="K10" s="101">
        <f t="shared" si="2"/>
        <v>-2.0120000000000005</v>
      </c>
    </row>
    <row r="11" spans="1:11" ht="12.75" x14ac:dyDescent="0.2">
      <c r="A11" s="92">
        <v>45520</v>
      </c>
      <c r="B11" s="93" t="s">
        <v>41</v>
      </c>
      <c r="C11" s="94">
        <v>0.92420000000000002</v>
      </c>
      <c r="D11" s="95" t="s">
        <v>225</v>
      </c>
      <c r="E11" s="96"/>
      <c r="F11" s="96"/>
      <c r="G11" s="97">
        <v>515</v>
      </c>
      <c r="H11" s="98">
        <f t="shared" si="0"/>
        <v>39.036999999999978</v>
      </c>
      <c r="I11" s="99">
        <f t="shared" si="1"/>
        <v>2147.0349999999989</v>
      </c>
      <c r="J11" s="100">
        <f t="shared" si="3"/>
        <v>25.75</v>
      </c>
      <c r="K11" s="101">
        <f t="shared" si="2"/>
        <v>-13.286999999999978</v>
      </c>
    </row>
    <row r="12" spans="1:11" ht="12.75" x14ac:dyDescent="0.2">
      <c r="A12" s="92">
        <v>45523</v>
      </c>
      <c r="B12" s="93" t="s">
        <v>33</v>
      </c>
      <c r="C12" s="94">
        <v>0.90629999999999999</v>
      </c>
      <c r="D12" s="95" t="s">
        <v>225</v>
      </c>
      <c r="E12" s="96"/>
      <c r="F12" s="96"/>
      <c r="G12" s="97">
        <v>529</v>
      </c>
      <c r="H12" s="98">
        <f t="shared" si="0"/>
        <v>49.567299999999989</v>
      </c>
      <c r="I12" s="99">
        <f t="shared" si="1"/>
        <v>2726.2014999999992</v>
      </c>
      <c r="J12" s="100">
        <f t="shared" si="3"/>
        <v>26.450000000000045</v>
      </c>
      <c r="K12" s="101">
        <f t="shared" si="2"/>
        <v>-23.117299999999943</v>
      </c>
    </row>
    <row r="13" spans="1:11" ht="12.75" x14ac:dyDescent="0.2">
      <c r="A13" s="92">
        <v>45524</v>
      </c>
      <c r="B13" s="93" t="s">
        <v>35</v>
      </c>
      <c r="C13" s="94">
        <v>0.93020000000000003</v>
      </c>
      <c r="D13" s="95" t="s">
        <v>225</v>
      </c>
      <c r="E13" s="96"/>
      <c r="F13" s="96"/>
      <c r="G13" s="97">
        <v>535</v>
      </c>
      <c r="H13" s="98">
        <f t="shared" si="0"/>
        <v>37.342999999999961</v>
      </c>
      <c r="I13" s="99">
        <f t="shared" si="1"/>
        <v>2053.864999999998</v>
      </c>
      <c r="J13" s="100">
        <f t="shared" si="3"/>
        <v>26.75</v>
      </c>
      <c r="K13" s="101">
        <f t="shared" si="2"/>
        <v>-10.592999999999961</v>
      </c>
    </row>
    <row r="14" spans="1:11" ht="12.75" x14ac:dyDescent="0.2">
      <c r="A14" s="92">
        <v>45525</v>
      </c>
      <c r="B14" s="93" t="s">
        <v>37</v>
      </c>
      <c r="C14" s="94">
        <v>0.93520000000000003</v>
      </c>
      <c r="D14" s="95" t="s">
        <v>226</v>
      </c>
      <c r="E14" s="96"/>
      <c r="F14" s="96"/>
      <c r="G14" s="97">
        <v>540</v>
      </c>
      <c r="H14" s="98">
        <f t="shared" si="0"/>
        <v>34.991999999999962</v>
      </c>
      <c r="I14" s="99">
        <f t="shared" si="1"/>
        <v>1924.5599999999979</v>
      </c>
      <c r="J14" s="100">
        <f t="shared" si="3"/>
        <v>27</v>
      </c>
      <c r="K14" s="101">
        <f t="shared" si="2"/>
        <v>-7.9919999999999618</v>
      </c>
    </row>
    <row r="15" spans="1:11" ht="12.75" x14ac:dyDescent="0.2">
      <c r="A15" s="92">
        <v>45526</v>
      </c>
      <c r="B15" s="93" t="s">
        <v>39</v>
      </c>
      <c r="C15" s="94">
        <v>0.93159999999999998</v>
      </c>
      <c r="D15" s="95" t="s">
        <v>225</v>
      </c>
      <c r="E15" s="96"/>
      <c r="F15" s="96"/>
      <c r="G15" s="97">
        <v>544</v>
      </c>
      <c r="H15" s="98">
        <f t="shared" si="0"/>
        <v>37.209600000000023</v>
      </c>
      <c r="I15" s="99">
        <f t="shared" si="1"/>
        <v>2046.5280000000012</v>
      </c>
      <c r="J15" s="100">
        <f t="shared" si="3"/>
        <v>27.200000000000045</v>
      </c>
      <c r="K15" s="101">
        <f t="shared" si="2"/>
        <v>-10.009599999999978</v>
      </c>
    </row>
    <row r="16" spans="1:11" ht="12.75" x14ac:dyDescent="0.2">
      <c r="A16" s="92">
        <v>45527</v>
      </c>
      <c r="B16" s="93" t="s">
        <v>41</v>
      </c>
      <c r="C16" s="94">
        <v>0.9234</v>
      </c>
      <c r="D16" s="95" t="s">
        <v>225</v>
      </c>
      <c r="E16" s="96"/>
      <c r="F16" s="96"/>
      <c r="G16" s="97">
        <v>546</v>
      </c>
      <c r="H16" s="98">
        <f t="shared" si="0"/>
        <v>41.823599999999999</v>
      </c>
      <c r="I16" s="99">
        <f t="shared" si="1"/>
        <v>2300.2979999999998</v>
      </c>
      <c r="J16" s="100">
        <f t="shared" si="3"/>
        <v>27.300000000000068</v>
      </c>
      <c r="K16" s="101">
        <f t="shared" si="2"/>
        <v>-14.523599999999931</v>
      </c>
    </row>
    <row r="17" spans="1:11" ht="12.75" x14ac:dyDescent="0.2">
      <c r="A17" s="92">
        <v>45530</v>
      </c>
      <c r="B17" s="93" t="s">
        <v>33</v>
      </c>
      <c r="C17" s="94">
        <v>0.90959999999999996</v>
      </c>
      <c r="D17" s="95" t="s">
        <v>225</v>
      </c>
      <c r="E17" s="96"/>
      <c r="F17" s="96"/>
      <c r="G17" s="97">
        <v>549</v>
      </c>
      <c r="H17" s="98">
        <f t="shared" si="0"/>
        <v>49.629600000000039</v>
      </c>
      <c r="I17" s="99">
        <f t="shared" si="1"/>
        <v>2729.628000000002</v>
      </c>
      <c r="J17" s="100">
        <f t="shared" si="3"/>
        <v>27.450000000000045</v>
      </c>
      <c r="K17" s="101">
        <f t="shared" si="2"/>
        <v>-22.179599999999994</v>
      </c>
    </row>
    <row r="18" spans="1:11" ht="12.75" x14ac:dyDescent="0.2">
      <c r="A18" s="92">
        <v>45531</v>
      </c>
      <c r="B18" s="93" t="s">
        <v>35</v>
      </c>
      <c r="C18" s="94">
        <v>0.94650000000000001</v>
      </c>
      <c r="D18" s="95" t="s">
        <v>225</v>
      </c>
      <c r="E18" s="96"/>
      <c r="F18" s="96"/>
      <c r="G18" s="97">
        <v>552</v>
      </c>
      <c r="H18" s="98">
        <f t="shared" si="0"/>
        <v>29.532000000000039</v>
      </c>
      <c r="I18" s="99">
        <f t="shared" si="1"/>
        <v>1624.260000000002</v>
      </c>
      <c r="J18" s="100">
        <f t="shared" si="3"/>
        <v>27.600000000000023</v>
      </c>
      <c r="K18" s="101">
        <f t="shared" si="2"/>
        <v>-1.9320000000000164</v>
      </c>
    </row>
    <row r="19" spans="1:11" ht="12.75" x14ac:dyDescent="0.2">
      <c r="A19" s="92">
        <v>45532</v>
      </c>
      <c r="B19" s="93" t="s">
        <v>37</v>
      </c>
      <c r="C19" s="94">
        <v>0.91479999999999995</v>
      </c>
      <c r="D19" s="95" t="s">
        <v>225</v>
      </c>
      <c r="E19" s="96"/>
      <c r="F19" s="102"/>
      <c r="G19" s="97">
        <v>555</v>
      </c>
      <c r="H19" s="98">
        <f t="shared" si="0"/>
        <v>47.286000000000001</v>
      </c>
      <c r="I19" s="99">
        <f t="shared" si="1"/>
        <v>2600.73</v>
      </c>
      <c r="J19" s="100">
        <f t="shared" si="3"/>
        <v>27.75</v>
      </c>
      <c r="K19" s="101">
        <f t="shared" si="2"/>
        <v>-19.536000000000001</v>
      </c>
    </row>
    <row r="20" spans="1:11" ht="12.75" x14ac:dyDescent="0.2">
      <c r="A20" s="92">
        <v>45533</v>
      </c>
      <c r="B20" s="93" t="s">
        <v>39</v>
      </c>
      <c r="C20" s="94">
        <v>0.9073</v>
      </c>
      <c r="D20" s="95" t="s">
        <v>225</v>
      </c>
      <c r="E20" s="96"/>
      <c r="F20" s="96"/>
      <c r="G20" s="97">
        <v>556</v>
      </c>
      <c r="H20" s="98">
        <f t="shared" si="0"/>
        <v>51.541200000000003</v>
      </c>
      <c r="I20" s="99">
        <f t="shared" si="1"/>
        <v>2834.7660000000001</v>
      </c>
      <c r="J20" s="100">
        <f t="shared" si="3"/>
        <v>27.800000000000068</v>
      </c>
      <c r="K20" s="101">
        <f t="shared" si="2"/>
        <v>-23.741199999999935</v>
      </c>
    </row>
    <row r="21" spans="1:11" ht="38.25" x14ac:dyDescent="0.2">
      <c r="A21" s="92">
        <v>45534</v>
      </c>
      <c r="B21" s="93" t="s">
        <v>41</v>
      </c>
      <c r="C21" s="94">
        <v>0.82450000000000001</v>
      </c>
      <c r="D21" s="95" t="s">
        <v>227</v>
      </c>
      <c r="E21" s="96" t="s">
        <v>228</v>
      </c>
      <c r="F21" s="96" t="s">
        <v>229</v>
      </c>
      <c r="G21" s="97">
        <v>556</v>
      </c>
      <c r="H21" s="98">
        <f t="shared" si="0"/>
        <v>97.577999999999975</v>
      </c>
      <c r="I21" s="99">
        <f t="shared" si="1"/>
        <v>5366.7899999999991</v>
      </c>
      <c r="J21" s="100">
        <f t="shared" si="3"/>
        <v>27.800000000000068</v>
      </c>
      <c r="K21" s="101">
        <f t="shared" si="2"/>
        <v>-69.777999999999906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25.5" x14ac:dyDescent="0.2">
      <c r="A23" s="92">
        <v>45538</v>
      </c>
      <c r="B23" s="93" t="s">
        <v>35</v>
      </c>
      <c r="C23" s="94">
        <v>0.88970000000000005</v>
      </c>
      <c r="D23" s="95" t="s">
        <v>227</v>
      </c>
      <c r="E23" s="96" t="s">
        <v>228</v>
      </c>
      <c r="F23" s="96" t="s">
        <v>230</v>
      </c>
      <c r="G23" s="97">
        <v>548</v>
      </c>
      <c r="H23" s="98">
        <f t="shared" si="0"/>
        <v>60.444399999999973</v>
      </c>
      <c r="I23" s="99">
        <f t="shared" si="1"/>
        <v>3324.4419999999986</v>
      </c>
      <c r="J23" s="100">
        <f t="shared" si="3"/>
        <v>27.399999999999977</v>
      </c>
      <c r="K23" s="101">
        <f t="shared" si="2"/>
        <v>-33.044399999999996</v>
      </c>
    </row>
    <row r="24" spans="1:11" ht="12.75" x14ac:dyDescent="0.2">
      <c r="A24" s="92">
        <v>45539</v>
      </c>
      <c r="B24" s="93" t="s">
        <v>37</v>
      </c>
      <c r="C24" s="94">
        <v>0.91830000000000001</v>
      </c>
      <c r="D24" s="95" t="s">
        <v>227</v>
      </c>
      <c r="E24" s="96" t="s">
        <v>228</v>
      </c>
      <c r="F24" s="96" t="s">
        <v>231</v>
      </c>
      <c r="G24" s="97">
        <v>551</v>
      </c>
      <c r="H24" s="98">
        <f t="shared" si="0"/>
        <v>45.016700000000014</v>
      </c>
      <c r="I24" s="99">
        <f t="shared" si="1"/>
        <v>2475.9185000000007</v>
      </c>
      <c r="J24" s="100">
        <f t="shared" si="3"/>
        <v>27.550000000000068</v>
      </c>
      <c r="K24" s="101">
        <f t="shared" si="2"/>
        <v>-17.466699999999946</v>
      </c>
    </row>
    <row r="25" spans="1:11" ht="12.75" x14ac:dyDescent="0.2">
      <c r="A25" s="92">
        <v>45540</v>
      </c>
      <c r="B25" s="93" t="s">
        <v>39</v>
      </c>
      <c r="C25" s="94">
        <v>0.94030000000000002</v>
      </c>
      <c r="D25" s="95" t="s">
        <v>226</v>
      </c>
      <c r="E25" s="96"/>
      <c r="F25" s="96"/>
      <c r="G25" s="97">
        <v>553</v>
      </c>
      <c r="H25" s="98">
        <f t="shared" si="0"/>
        <v>33.014099999999985</v>
      </c>
      <c r="I25" s="99">
        <f t="shared" si="1"/>
        <v>1815.7754999999993</v>
      </c>
      <c r="J25" s="100">
        <f t="shared" si="3"/>
        <v>27.649999999999977</v>
      </c>
      <c r="K25" s="101">
        <f t="shared" si="2"/>
        <v>-5.3641000000000076</v>
      </c>
    </row>
    <row r="26" spans="1:11" ht="12.75" x14ac:dyDescent="0.2">
      <c r="A26" s="92">
        <v>45541</v>
      </c>
      <c r="B26" s="93" t="s">
        <v>41</v>
      </c>
      <c r="C26" s="94">
        <v>0.90659999999999996</v>
      </c>
      <c r="D26" s="95" t="s">
        <v>225</v>
      </c>
      <c r="E26" s="96"/>
      <c r="F26" s="96"/>
      <c r="G26" s="97">
        <v>553</v>
      </c>
      <c r="H26" s="98">
        <f t="shared" si="0"/>
        <v>51.650200000000041</v>
      </c>
      <c r="I26" s="99">
        <f t="shared" si="1"/>
        <v>2840.7610000000022</v>
      </c>
      <c r="J26" s="100">
        <f t="shared" si="3"/>
        <v>27.649999999999977</v>
      </c>
      <c r="K26" s="101">
        <f t="shared" si="2"/>
        <v>-24.000200000000063</v>
      </c>
    </row>
    <row r="27" spans="1:11" ht="12.75" x14ac:dyDescent="0.2">
      <c r="A27" s="92">
        <v>45544</v>
      </c>
      <c r="B27" s="93" t="s">
        <v>33</v>
      </c>
      <c r="C27" s="94">
        <v>0.91969999999999996</v>
      </c>
      <c r="D27" s="95" t="s">
        <v>225</v>
      </c>
      <c r="E27" s="96"/>
      <c r="F27" s="96"/>
      <c r="G27" s="97">
        <v>553</v>
      </c>
      <c r="H27" s="98">
        <f t="shared" si="0"/>
        <v>44.405900000000031</v>
      </c>
      <c r="I27" s="99">
        <f t="shared" si="1"/>
        <v>2442.3245000000015</v>
      </c>
      <c r="J27" s="100">
        <f t="shared" si="3"/>
        <v>27.649999999999977</v>
      </c>
      <c r="K27" s="101">
        <f t="shared" si="2"/>
        <v>-16.755900000000054</v>
      </c>
    </row>
    <row r="28" spans="1:11" ht="12.75" x14ac:dyDescent="0.2">
      <c r="A28" s="92">
        <v>45545</v>
      </c>
      <c r="B28" s="93" t="s">
        <v>35</v>
      </c>
      <c r="C28" s="94">
        <v>0.92730000000000001</v>
      </c>
      <c r="D28" s="95" t="s">
        <v>225</v>
      </c>
      <c r="E28" s="96"/>
      <c r="F28" s="96"/>
      <c r="G28" s="97">
        <v>554</v>
      </c>
      <c r="H28" s="98">
        <f t="shared" si="0"/>
        <v>40.275800000000004</v>
      </c>
      <c r="I28" s="99">
        <f t="shared" si="1"/>
        <v>2215.1690000000003</v>
      </c>
      <c r="J28" s="100">
        <f t="shared" si="3"/>
        <v>27.700000000000045</v>
      </c>
      <c r="K28" s="101">
        <f t="shared" si="2"/>
        <v>-12.575799999999958</v>
      </c>
    </row>
    <row r="29" spans="1:11" ht="12.75" x14ac:dyDescent="0.2">
      <c r="A29" s="92">
        <v>45546</v>
      </c>
      <c r="B29" s="93" t="s">
        <v>37</v>
      </c>
      <c r="C29" s="94">
        <v>0.92069999999999996</v>
      </c>
      <c r="D29" s="95" t="s">
        <v>226</v>
      </c>
      <c r="E29" s="96"/>
      <c r="F29" s="96"/>
      <c r="G29" s="97">
        <v>553</v>
      </c>
      <c r="H29" s="98">
        <f t="shared" si="0"/>
        <v>43.852900000000034</v>
      </c>
      <c r="I29" s="99">
        <f t="shared" si="1"/>
        <v>2411.909500000002</v>
      </c>
      <c r="J29" s="100">
        <f t="shared" si="3"/>
        <v>27.649999999999977</v>
      </c>
      <c r="K29" s="101">
        <f t="shared" si="2"/>
        <v>-16.202900000000056</v>
      </c>
    </row>
    <row r="30" spans="1:11" ht="12.75" x14ac:dyDescent="0.2">
      <c r="A30" s="92">
        <v>45547</v>
      </c>
      <c r="B30" s="93" t="s">
        <v>39</v>
      </c>
      <c r="C30" s="94">
        <v>0.91410000000000002</v>
      </c>
      <c r="D30" s="95" t="s">
        <v>225</v>
      </c>
      <c r="E30" s="96"/>
      <c r="F30" s="96"/>
      <c r="G30" s="97">
        <v>553</v>
      </c>
      <c r="H30" s="98">
        <f t="shared" si="0"/>
        <v>47.502700000000004</v>
      </c>
      <c r="I30" s="99">
        <f t="shared" si="1"/>
        <v>2612.6485000000002</v>
      </c>
      <c r="J30" s="100">
        <f t="shared" si="3"/>
        <v>27.649999999999977</v>
      </c>
      <c r="K30" s="101">
        <f t="shared" si="2"/>
        <v>-19.852700000000027</v>
      </c>
    </row>
    <row r="31" spans="1:11" ht="25.5" x14ac:dyDescent="0.2">
      <c r="A31" s="92">
        <v>45548</v>
      </c>
      <c r="B31" s="93" t="s">
        <v>41</v>
      </c>
      <c r="C31" s="94">
        <v>0.89690000000000003</v>
      </c>
      <c r="D31" s="95" t="s">
        <v>232</v>
      </c>
      <c r="E31" s="96" t="s">
        <v>233</v>
      </c>
      <c r="F31" s="96" t="s">
        <v>234</v>
      </c>
      <c r="G31" s="97">
        <v>554</v>
      </c>
      <c r="H31" s="98">
        <f t="shared" si="0"/>
        <v>57.117399999999975</v>
      </c>
      <c r="I31" s="99">
        <f t="shared" si="1"/>
        <v>3141.4569999999985</v>
      </c>
      <c r="J31" s="100">
        <f t="shared" si="3"/>
        <v>27.700000000000045</v>
      </c>
      <c r="K31" s="101">
        <f t="shared" si="2"/>
        <v>-29.41739999999993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0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0.90010000000000001</v>
      </c>
      <c r="D33" s="95" t="s">
        <v>225</v>
      </c>
      <c r="E33" s="96"/>
      <c r="F33" s="96"/>
      <c r="G33" s="97">
        <v>555</v>
      </c>
      <c r="H33" s="98">
        <f t="shared" si="0"/>
        <v>55.444500000000005</v>
      </c>
      <c r="I33" s="99">
        <f t="shared" si="1"/>
        <v>3049.4475000000002</v>
      </c>
      <c r="J33" s="100">
        <f t="shared" si="3"/>
        <v>27.75</v>
      </c>
      <c r="K33" s="101">
        <f t="shared" si="2"/>
        <v>-27.694500000000005</v>
      </c>
    </row>
    <row r="34" spans="1:11" ht="12.75" x14ac:dyDescent="0.2">
      <c r="A34" s="92">
        <v>45553</v>
      </c>
      <c r="B34" s="93" t="s">
        <v>37</v>
      </c>
      <c r="C34" s="94">
        <v>0.9</v>
      </c>
      <c r="D34" s="95" t="s">
        <v>225</v>
      </c>
      <c r="E34" s="96"/>
      <c r="F34" s="96" t="s">
        <v>235</v>
      </c>
      <c r="G34" s="97">
        <v>555</v>
      </c>
      <c r="H34" s="98">
        <f t="shared" si="0"/>
        <v>55.5</v>
      </c>
      <c r="I34" s="99">
        <f t="shared" si="1"/>
        <v>3052.5</v>
      </c>
      <c r="J34" s="100">
        <f t="shared" si="3"/>
        <v>27.75</v>
      </c>
      <c r="K34" s="101">
        <f t="shared" si="2"/>
        <v>-27.75</v>
      </c>
    </row>
    <row r="35" spans="1:11" ht="12.75" x14ac:dyDescent="0.2">
      <c r="A35" s="92">
        <v>45554</v>
      </c>
      <c r="B35" s="93" t="s">
        <v>39</v>
      </c>
      <c r="C35" s="94">
        <v>0.89580000000000004</v>
      </c>
      <c r="D35" s="95" t="s">
        <v>227</v>
      </c>
      <c r="E35" s="96" t="s">
        <v>233</v>
      </c>
      <c r="F35" s="96" t="s">
        <v>236</v>
      </c>
      <c r="G35" s="97">
        <v>555</v>
      </c>
      <c r="H35" s="98">
        <f t="shared" si="0"/>
        <v>57.83099999999996</v>
      </c>
      <c r="I35" s="99">
        <f t="shared" si="1"/>
        <v>3180.7049999999977</v>
      </c>
      <c r="J35" s="100">
        <f t="shared" si="3"/>
        <v>27.75</v>
      </c>
      <c r="K35" s="101">
        <f t="shared" si="2"/>
        <v>-30.08099999999996</v>
      </c>
    </row>
    <row r="36" spans="1:11" ht="12.75" x14ac:dyDescent="0.2">
      <c r="A36" s="92">
        <v>45555</v>
      </c>
      <c r="B36" s="93" t="s">
        <v>41</v>
      </c>
      <c r="C36" s="94">
        <v>0.89149999999999996</v>
      </c>
      <c r="D36" s="95" t="s">
        <v>227</v>
      </c>
      <c r="E36" s="96" t="s">
        <v>233</v>
      </c>
      <c r="F36" s="96" t="s">
        <v>236</v>
      </c>
      <c r="G36" s="97">
        <v>556</v>
      </c>
      <c r="H36" s="98">
        <f t="shared" si="0"/>
        <v>60.326000000000022</v>
      </c>
      <c r="I36" s="99">
        <f t="shared" si="1"/>
        <v>3317.9300000000012</v>
      </c>
      <c r="J36" s="100">
        <f t="shared" si="3"/>
        <v>27.800000000000068</v>
      </c>
      <c r="K36" s="101">
        <f t="shared" si="2"/>
        <v>-32.525999999999954</v>
      </c>
    </row>
    <row r="37" spans="1:11" ht="12.75" x14ac:dyDescent="0.2">
      <c r="A37" s="92">
        <v>45558</v>
      </c>
      <c r="B37" s="93" t="s">
        <v>33</v>
      </c>
      <c r="C37" s="94">
        <v>0.89149999999999996</v>
      </c>
      <c r="D37" s="95" t="s">
        <v>232</v>
      </c>
      <c r="E37" s="96" t="s">
        <v>233</v>
      </c>
      <c r="F37" s="96" t="s">
        <v>237</v>
      </c>
      <c r="G37" s="97">
        <v>556</v>
      </c>
      <c r="H37" s="98">
        <f t="shared" si="0"/>
        <v>60.326000000000022</v>
      </c>
      <c r="I37" s="99">
        <f t="shared" si="1"/>
        <v>3317.9300000000012</v>
      </c>
      <c r="J37" s="100">
        <f t="shared" si="3"/>
        <v>27.800000000000068</v>
      </c>
      <c r="K37" s="101">
        <f t="shared" si="2"/>
        <v>-32.525999999999954</v>
      </c>
    </row>
    <row r="38" spans="1:11" ht="12.75" x14ac:dyDescent="0.2">
      <c r="A38" s="92">
        <v>45559</v>
      </c>
      <c r="B38" s="93" t="s">
        <v>35</v>
      </c>
      <c r="C38" s="94">
        <v>0.93279999999999996</v>
      </c>
      <c r="D38" s="95" t="s">
        <v>225</v>
      </c>
      <c r="E38" s="96"/>
      <c r="F38" s="96"/>
      <c r="G38" s="97">
        <v>556</v>
      </c>
      <c r="H38" s="98">
        <f t="shared" si="0"/>
        <v>37.363200000000006</v>
      </c>
      <c r="I38" s="99">
        <f t="shared" si="1"/>
        <v>2054.9760000000006</v>
      </c>
      <c r="J38" s="100">
        <f t="shared" si="3"/>
        <v>27.800000000000068</v>
      </c>
      <c r="K38" s="101">
        <f t="shared" si="2"/>
        <v>-9.563199999999938</v>
      </c>
    </row>
    <row r="39" spans="1:11" ht="12.75" x14ac:dyDescent="0.2">
      <c r="A39" s="92">
        <v>45560</v>
      </c>
      <c r="B39" s="93" t="s">
        <v>37</v>
      </c>
      <c r="C39" s="94">
        <v>0.93820000000000003</v>
      </c>
      <c r="D39" s="95" t="s">
        <v>226</v>
      </c>
      <c r="E39" s="96"/>
      <c r="F39" s="96"/>
      <c r="G39" s="97">
        <v>556</v>
      </c>
      <c r="H39" s="98">
        <f t="shared" si="0"/>
        <v>34.360799999999927</v>
      </c>
      <c r="I39" s="99">
        <f t="shared" si="1"/>
        <v>1889.843999999996</v>
      </c>
      <c r="J39" s="100">
        <f t="shared" si="3"/>
        <v>27.800000000000068</v>
      </c>
      <c r="K39" s="101">
        <f t="shared" si="2"/>
        <v>-6.5607999999998583</v>
      </c>
    </row>
    <row r="40" spans="1:11" ht="12.75" x14ac:dyDescent="0.2">
      <c r="A40" s="92">
        <v>45561</v>
      </c>
      <c r="B40" s="93" t="s">
        <v>39</v>
      </c>
      <c r="C40" s="94">
        <v>0.91769999999999996</v>
      </c>
      <c r="D40" s="95" t="s">
        <v>225</v>
      </c>
      <c r="E40" s="96"/>
      <c r="F40" s="96"/>
      <c r="G40" s="97">
        <v>558</v>
      </c>
      <c r="H40" s="98">
        <f t="shared" si="0"/>
        <v>45.923400000000015</v>
      </c>
      <c r="I40" s="99">
        <f t="shared" si="1"/>
        <v>2525.7870000000007</v>
      </c>
      <c r="J40" s="100">
        <f t="shared" si="3"/>
        <v>27.899999999999977</v>
      </c>
      <c r="K40" s="101">
        <f t="shared" si="2"/>
        <v>-18.023400000000038</v>
      </c>
    </row>
    <row r="41" spans="1:11" ht="12.75" x14ac:dyDescent="0.2">
      <c r="A41" s="92">
        <v>45562</v>
      </c>
      <c r="B41" s="93" t="s">
        <v>41</v>
      </c>
      <c r="C41" s="94">
        <v>0.86580000000000001</v>
      </c>
      <c r="D41" s="95" t="s">
        <v>232</v>
      </c>
      <c r="E41" s="96" t="s">
        <v>228</v>
      </c>
      <c r="F41" s="96" t="s">
        <v>235</v>
      </c>
      <c r="G41" s="97">
        <v>557</v>
      </c>
      <c r="H41" s="98">
        <f t="shared" si="0"/>
        <v>74.74939999999998</v>
      </c>
      <c r="I41" s="99">
        <f t="shared" si="1"/>
        <v>4111.2169999999987</v>
      </c>
      <c r="J41" s="100">
        <f t="shared" si="3"/>
        <v>27.850000000000023</v>
      </c>
      <c r="K41" s="101">
        <f t="shared" si="2"/>
        <v>-46.899399999999957</v>
      </c>
    </row>
    <row r="42" spans="1:11" ht="12.75" x14ac:dyDescent="0.2">
      <c r="A42" s="92">
        <v>45565</v>
      </c>
      <c r="B42" s="93" t="s">
        <v>33</v>
      </c>
      <c r="C42" s="94">
        <v>0.91669999999999996</v>
      </c>
      <c r="D42" s="95" t="s">
        <v>225</v>
      </c>
      <c r="E42" s="96"/>
      <c r="F42" s="96"/>
      <c r="G42" s="97">
        <v>558</v>
      </c>
      <c r="H42" s="98">
        <f t="shared" si="0"/>
        <v>46.481400000000008</v>
      </c>
      <c r="I42" s="99">
        <f t="shared" si="1"/>
        <v>2556.4770000000003</v>
      </c>
      <c r="J42" s="100">
        <f t="shared" si="3"/>
        <v>27.899999999999977</v>
      </c>
      <c r="K42" s="101">
        <f t="shared" si="2"/>
        <v>-18.581400000000031</v>
      </c>
    </row>
    <row r="43" spans="1:11" ht="12.75" x14ac:dyDescent="0.2">
      <c r="A43" s="92">
        <v>45566</v>
      </c>
      <c r="B43" s="93" t="s">
        <v>35</v>
      </c>
      <c r="C43" s="94">
        <v>0.93159999999999998</v>
      </c>
      <c r="D43" s="95" t="s">
        <v>225</v>
      </c>
      <c r="E43" s="96"/>
      <c r="F43" s="96"/>
      <c r="G43" s="97">
        <v>559</v>
      </c>
      <c r="H43" s="98">
        <f t="shared" si="0"/>
        <v>38.235599999999977</v>
      </c>
      <c r="I43" s="99">
        <f t="shared" si="1"/>
        <v>2102.9579999999987</v>
      </c>
      <c r="J43" s="100">
        <f t="shared" si="3"/>
        <v>27.950000000000045</v>
      </c>
      <c r="K43" s="101">
        <f t="shared" si="2"/>
        <v>-10.285599999999931</v>
      </c>
    </row>
    <row r="44" spans="1:11" ht="12.75" x14ac:dyDescent="0.2">
      <c r="A44" s="92">
        <v>45567</v>
      </c>
      <c r="B44" s="93" t="s">
        <v>37</v>
      </c>
      <c r="C44" s="94">
        <v>0.93300000000000005</v>
      </c>
      <c r="D44" s="95" t="s">
        <v>225</v>
      </c>
      <c r="E44" s="96"/>
      <c r="F44" s="96"/>
      <c r="G44" s="97">
        <v>559</v>
      </c>
      <c r="H44" s="98">
        <f t="shared" si="0"/>
        <v>37.452999999999975</v>
      </c>
      <c r="I44" s="99">
        <f t="shared" si="1"/>
        <v>2059.9149999999986</v>
      </c>
      <c r="J44" s="100">
        <f t="shared" si="3"/>
        <v>27.950000000000045</v>
      </c>
      <c r="K44" s="101">
        <f t="shared" si="2"/>
        <v>-9.5029999999999291</v>
      </c>
    </row>
    <row r="45" spans="1:11" ht="12.75" x14ac:dyDescent="0.2">
      <c r="A45" s="92">
        <v>45568</v>
      </c>
      <c r="B45" s="93" t="s">
        <v>39</v>
      </c>
      <c r="C45" s="94">
        <v>0.93740000000000001</v>
      </c>
      <c r="D45" s="95" t="s">
        <v>225</v>
      </c>
      <c r="E45" s="96"/>
      <c r="F45" s="96"/>
      <c r="G45" s="97">
        <v>559</v>
      </c>
      <c r="H45" s="98">
        <f t="shared" si="0"/>
        <v>34.993399999999951</v>
      </c>
      <c r="I45" s="99">
        <f t="shared" si="1"/>
        <v>1924.6369999999974</v>
      </c>
      <c r="J45" s="100">
        <f t="shared" si="3"/>
        <v>27.950000000000045</v>
      </c>
      <c r="K45" s="101">
        <f t="shared" si="2"/>
        <v>-7.043399999999906</v>
      </c>
    </row>
    <row r="46" spans="1:11" ht="12.75" x14ac:dyDescent="0.2">
      <c r="A46" s="92">
        <v>45569</v>
      </c>
      <c r="B46" s="93" t="s">
        <v>41</v>
      </c>
      <c r="C46" s="94">
        <v>0.91249999999999998</v>
      </c>
      <c r="D46" s="95" t="s">
        <v>225</v>
      </c>
      <c r="E46" s="96"/>
      <c r="F46" s="96"/>
      <c r="G46" s="97">
        <v>559</v>
      </c>
      <c r="H46" s="98">
        <f t="shared" si="0"/>
        <v>48.912500000000023</v>
      </c>
      <c r="I46" s="99">
        <f t="shared" si="1"/>
        <v>2690.1875000000014</v>
      </c>
      <c r="J46" s="100">
        <f t="shared" si="3"/>
        <v>27.950000000000045</v>
      </c>
      <c r="K46" s="101">
        <f t="shared" si="2"/>
        <v>-20.962499999999977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0"/>
        <v>0</v>
      </c>
      <c r="I47" s="99">
        <f t="shared" si="1"/>
        <v>0</v>
      </c>
      <c r="J47" s="100">
        <f t="shared" si="3"/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0"/>
        <v>0</v>
      </c>
      <c r="I48" s="99">
        <f t="shared" si="1"/>
        <v>0</v>
      </c>
      <c r="J48" s="100">
        <f t="shared" si="3"/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0"/>
        <v>0</v>
      </c>
      <c r="I49" s="99">
        <f t="shared" si="1"/>
        <v>0</v>
      </c>
      <c r="J49" s="100">
        <f t="shared" si="3"/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0"/>
        <v>0</v>
      </c>
      <c r="I50" s="99">
        <f t="shared" si="1"/>
        <v>0</v>
      </c>
      <c r="J50" s="100">
        <f t="shared" si="3"/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0"/>
        <v>0</v>
      </c>
      <c r="I51" s="99">
        <f t="shared" si="1"/>
        <v>0</v>
      </c>
      <c r="J51" s="100">
        <f t="shared" si="3"/>
        <v>0</v>
      </c>
      <c r="K51" s="101">
        <f t="shared" si="2"/>
        <v>0</v>
      </c>
    </row>
    <row r="52" spans="1:11" ht="12.75" x14ac:dyDescent="0.2">
      <c r="A52" s="92">
        <v>45579</v>
      </c>
      <c r="B52" s="93" t="s">
        <v>33</v>
      </c>
      <c r="C52" s="94">
        <v>0.91930000000000001</v>
      </c>
      <c r="D52" s="95" t="s">
        <v>225</v>
      </c>
      <c r="E52" s="96"/>
      <c r="F52" s="96"/>
      <c r="G52" s="97">
        <v>561</v>
      </c>
      <c r="H52" s="98">
        <f t="shared" si="0"/>
        <v>45.272699999999986</v>
      </c>
      <c r="I52" s="99">
        <f t="shared" si="1"/>
        <v>2489.9984999999992</v>
      </c>
      <c r="J52" s="100">
        <f t="shared" si="3"/>
        <v>28.050000000000068</v>
      </c>
      <c r="K52" s="101">
        <f t="shared" si="2"/>
        <v>-17.222699999999918</v>
      </c>
    </row>
    <row r="53" spans="1:11" ht="12.75" x14ac:dyDescent="0.2">
      <c r="A53" s="92">
        <v>45580</v>
      </c>
      <c r="B53" s="93" t="s">
        <v>35</v>
      </c>
      <c r="C53" s="94">
        <v>0.95799999999999996</v>
      </c>
      <c r="D53" s="95" t="s">
        <v>225</v>
      </c>
      <c r="E53" s="96"/>
      <c r="F53" s="96"/>
      <c r="G53" s="97">
        <v>562</v>
      </c>
      <c r="H53" s="98">
        <f t="shared" si="0"/>
        <v>23.604000000000042</v>
      </c>
      <c r="I53" s="99">
        <f t="shared" si="1"/>
        <v>1298.2200000000023</v>
      </c>
      <c r="J53" s="100">
        <f t="shared" si="3"/>
        <v>28.100000000000023</v>
      </c>
      <c r="K53" s="101">
        <f t="shared" si="2"/>
        <v>4.4959999999999809</v>
      </c>
    </row>
    <row r="54" spans="1:11" ht="12.75" x14ac:dyDescent="0.2">
      <c r="A54" s="92">
        <v>45581</v>
      </c>
      <c r="B54" s="93" t="s">
        <v>37</v>
      </c>
      <c r="C54" s="115">
        <v>0.93740000000000001</v>
      </c>
      <c r="D54" s="95" t="s">
        <v>225</v>
      </c>
      <c r="E54" s="96"/>
      <c r="F54" s="116"/>
      <c r="G54" s="97">
        <v>560</v>
      </c>
      <c r="H54" s="98">
        <f t="shared" si="0"/>
        <v>35.05600000000004</v>
      </c>
      <c r="I54" s="99">
        <f t="shared" si="1"/>
        <v>1928.0800000000022</v>
      </c>
      <c r="J54" s="100">
        <f t="shared" si="3"/>
        <v>28</v>
      </c>
      <c r="K54" s="101">
        <f t="shared" si="2"/>
        <v>-7.05600000000004</v>
      </c>
    </row>
    <row r="55" spans="1:11" ht="12.75" x14ac:dyDescent="0.2">
      <c r="A55" s="92">
        <v>45582</v>
      </c>
      <c r="B55" s="93" t="s">
        <v>39</v>
      </c>
      <c r="C55" s="94">
        <v>0.95569999999999999</v>
      </c>
      <c r="D55" s="95" t="s">
        <v>225</v>
      </c>
      <c r="E55" s="96"/>
      <c r="F55" s="96"/>
      <c r="G55" s="97">
        <v>560</v>
      </c>
      <c r="H55" s="98">
        <f t="shared" si="0"/>
        <v>24.807999999999993</v>
      </c>
      <c r="I55" s="99">
        <f t="shared" si="1"/>
        <v>1364.4399999999996</v>
      </c>
      <c r="J55" s="100">
        <f t="shared" si="3"/>
        <v>28</v>
      </c>
      <c r="K55" s="101">
        <f t="shared" si="2"/>
        <v>3.1920000000000073</v>
      </c>
    </row>
    <row r="56" spans="1:11" ht="12.75" x14ac:dyDescent="0.2">
      <c r="A56" s="92">
        <v>45583</v>
      </c>
      <c r="B56" s="93" t="s">
        <v>41</v>
      </c>
      <c r="C56" s="94">
        <v>0.92110000000000003</v>
      </c>
      <c r="D56" s="95" t="s">
        <v>225</v>
      </c>
      <c r="E56" s="96"/>
      <c r="F56" s="96"/>
      <c r="G56" s="97">
        <v>559</v>
      </c>
      <c r="H56" s="98">
        <f t="shared" si="0"/>
        <v>44.105099999999993</v>
      </c>
      <c r="I56" s="99">
        <f t="shared" si="1"/>
        <v>2425.7804999999998</v>
      </c>
      <c r="J56" s="100">
        <f t="shared" si="3"/>
        <v>27.950000000000045</v>
      </c>
      <c r="K56" s="101">
        <f t="shared" si="2"/>
        <v>-16.155099999999948</v>
      </c>
    </row>
    <row r="57" spans="1:11" ht="12.75" x14ac:dyDescent="0.2">
      <c r="A57" s="92">
        <v>45586</v>
      </c>
      <c r="B57" s="93" t="s">
        <v>33</v>
      </c>
      <c r="C57" s="94">
        <v>0.92800000000000005</v>
      </c>
      <c r="D57" s="95" t="s">
        <v>225</v>
      </c>
      <c r="E57" s="96"/>
      <c r="F57" s="96"/>
      <c r="G57" s="97">
        <v>561</v>
      </c>
      <c r="H57" s="98">
        <f t="shared" si="0"/>
        <v>40.391999999999939</v>
      </c>
      <c r="I57" s="99">
        <f t="shared" si="1"/>
        <v>2221.5599999999968</v>
      </c>
      <c r="J57" s="100">
        <f t="shared" si="3"/>
        <v>28.050000000000068</v>
      </c>
      <c r="K57" s="101">
        <f t="shared" si="2"/>
        <v>-12.341999999999871</v>
      </c>
    </row>
    <row r="58" spans="1:11" ht="12.75" x14ac:dyDescent="0.2">
      <c r="A58" s="92">
        <v>45587</v>
      </c>
      <c r="B58" s="93" t="s">
        <v>35</v>
      </c>
      <c r="C58" s="94">
        <v>0.97309999999999997</v>
      </c>
      <c r="D58" s="95" t="s">
        <v>225</v>
      </c>
      <c r="E58" s="96"/>
      <c r="F58" s="96"/>
      <c r="G58" s="97">
        <v>561</v>
      </c>
      <c r="H58" s="98">
        <f t="shared" si="0"/>
        <v>15.090900000000033</v>
      </c>
      <c r="I58" s="99">
        <f t="shared" si="1"/>
        <v>829.99950000000183</v>
      </c>
      <c r="J58" s="100">
        <f t="shared" si="3"/>
        <v>28.050000000000068</v>
      </c>
      <c r="K58" s="101">
        <f t="shared" si="2"/>
        <v>12.959100000000035</v>
      </c>
    </row>
    <row r="59" spans="1:11" ht="12.75" x14ac:dyDescent="0.2">
      <c r="A59" s="92">
        <v>45588</v>
      </c>
      <c r="B59" s="93" t="s">
        <v>37</v>
      </c>
      <c r="C59" s="94">
        <v>0.95489999999999997</v>
      </c>
      <c r="D59" s="95" t="s">
        <v>225</v>
      </c>
      <c r="E59" s="96"/>
      <c r="F59" s="96"/>
      <c r="G59" s="97">
        <v>562</v>
      </c>
      <c r="H59" s="98">
        <f t="shared" si="0"/>
        <v>25.346200000000067</v>
      </c>
      <c r="I59" s="99">
        <f t="shared" si="1"/>
        <v>1394.0410000000038</v>
      </c>
      <c r="J59" s="100">
        <f t="shared" si="3"/>
        <v>28.100000000000023</v>
      </c>
      <c r="K59" s="101">
        <f t="shared" si="2"/>
        <v>2.7537999999999556</v>
      </c>
    </row>
    <row r="60" spans="1:11" ht="12.75" x14ac:dyDescent="0.2">
      <c r="A60" s="92">
        <v>45589</v>
      </c>
      <c r="B60" s="93" t="s">
        <v>39</v>
      </c>
      <c r="C60" s="94">
        <v>0.94840000000000002</v>
      </c>
      <c r="D60" s="95" t="s">
        <v>225</v>
      </c>
      <c r="E60" s="96"/>
      <c r="F60" s="96"/>
      <c r="G60" s="97">
        <v>562</v>
      </c>
      <c r="H60" s="98">
        <f t="shared" si="0"/>
        <v>28.999199999999973</v>
      </c>
      <c r="I60" s="99">
        <f t="shared" si="1"/>
        <v>1594.9559999999985</v>
      </c>
      <c r="J60" s="100">
        <f t="shared" si="3"/>
        <v>28.100000000000023</v>
      </c>
      <c r="K60" s="101">
        <f t="shared" si="2"/>
        <v>-0.89919999999995071</v>
      </c>
    </row>
    <row r="61" spans="1:11" ht="12.75" x14ac:dyDescent="0.2">
      <c r="A61" s="92">
        <v>45590</v>
      </c>
      <c r="B61" s="93" t="s">
        <v>41</v>
      </c>
      <c r="C61" s="94">
        <v>0.92479999999999996</v>
      </c>
      <c r="D61" s="95" t="s">
        <v>225</v>
      </c>
      <c r="E61" s="96"/>
      <c r="F61" s="96"/>
      <c r="G61" s="97">
        <v>562</v>
      </c>
      <c r="H61" s="98">
        <f t="shared" si="0"/>
        <v>42.262400000000071</v>
      </c>
      <c r="I61" s="99">
        <f t="shared" si="1"/>
        <v>2324.4320000000039</v>
      </c>
      <c r="J61" s="100">
        <f t="shared" si="3"/>
        <v>28.100000000000023</v>
      </c>
      <c r="K61" s="101">
        <f t="shared" si="2"/>
        <v>-14.162400000000048</v>
      </c>
    </row>
    <row r="62" spans="1:11" ht="25.5" x14ac:dyDescent="0.2">
      <c r="A62" s="92">
        <v>45593</v>
      </c>
      <c r="B62" s="93" t="s">
        <v>33</v>
      </c>
      <c r="C62" s="94">
        <v>0.8982</v>
      </c>
      <c r="D62" s="95" t="s">
        <v>232</v>
      </c>
      <c r="E62" s="96" t="s">
        <v>233</v>
      </c>
      <c r="F62" s="96" t="s">
        <v>238</v>
      </c>
      <c r="G62" s="97">
        <v>563</v>
      </c>
      <c r="H62" s="98">
        <f t="shared" si="0"/>
        <v>57.313400000000001</v>
      </c>
      <c r="I62" s="99">
        <f t="shared" si="1"/>
        <v>3152.2370000000001</v>
      </c>
      <c r="J62" s="100">
        <f t="shared" si="3"/>
        <v>28.149999999999977</v>
      </c>
      <c r="K62" s="101">
        <f t="shared" si="2"/>
        <v>-29.163400000000024</v>
      </c>
    </row>
    <row r="63" spans="1:11" ht="12.75" x14ac:dyDescent="0.2">
      <c r="A63" s="92">
        <v>45594</v>
      </c>
      <c r="B63" s="93" t="s">
        <v>35</v>
      </c>
      <c r="C63" s="94">
        <v>0.94520000000000004</v>
      </c>
      <c r="D63" s="95" t="s">
        <v>225</v>
      </c>
      <c r="E63" s="96"/>
      <c r="F63" s="96"/>
      <c r="G63" s="97">
        <v>562</v>
      </c>
      <c r="H63" s="98">
        <f t="shared" si="0"/>
        <v>30.797599999999989</v>
      </c>
      <c r="I63" s="99">
        <f t="shared" si="1"/>
        <v>1693.8679999999995</v>
      </c>
      <c r="J63" s="100">
        <f t="shared" si="3"/>
        <v>28.100000000000023</v>
      </c>
      <c r="K63" s="101">
        <f t="shared" si="2"/>
        <v>-2.6975999999999658</v>
      </c>
    </row>
    <row r="64" spans="1:11" ht="12.75" x14ac:dyDescent="0.2">
      <c r="A64" s="92">
        <v>45595</v>
      </c>
      <c r="B64" s="93" t="s">
        <v>37</v>
      </c>
      <c r="C64" s="94">
        <v>0.94220000000000004</v>
      </c>
      <c r="D64" s="95" t="s">
        <v>225</v>
      </c>
      <c r="E64" s="96"/>
      <c r="F64" s="96"/>
      <c r="G64" s="97">
        <v>564</v>
      </c>
      <c r="H64" s="98">
        <f t="shared" si="0"/>
        <v>32.599199999999996</v>
      </c>
      <c r="I64" s="99">
        <f t="shared" si="1"/>
        <v>1792.9559999999997</v>
      </c>
      <c r="J64" s="100">
        <f t="shared" si="3"/>
        <v>28.200000000000045</v>
      </c>
      <c r="K64" s="101">
        <f t="shared" si="2"/>
        <v>-4.3991999999999507</v>
      </c>
    </row>
    <row r="65" spans="1:11" ht="12.75" x14ac:dyDescent="0.2">
      <c r="A65" s="92">
        <v>45596</v>
      </c>
      <c r="B65" s="93" t="s">
        <v>39</v>
      </c>
      <c r="C65" s="94">
        <v>0.92510000000000003</v>
      </c>
      <c r="D65" s="95" t="s">
        <v>225</v>
      </c>
      <c r="E65" s="96"/>
      <c r="F65" s="96"/>
      <c r="G65" s="97">
        <v>565</v>
      </c>
      <c r="H65" s="98">
        <f t="shared" si="0"/>
        <v>42.318499999999972</v>
      </c>
      <c r="I65" s="99">
        <f t="shared" si="1"/>
        <v>2327.5174999999986</v>
      </c>
      <c r="J65" s="100">
        <f t="shared" si="3"/>
        <v>28.25</v>
      </c>
      <c r="K65" s="101">
        <f t="shared" si="2"/>
        <v>-14.068499999999972</v>
      </c>
    </row>
    <row r="66" spans="1:11" ht="25.5" x14ac:dyDescent="0.2">
      <c r="A66" s="92">
        <v>45597</v>
      </c>
      <c r="B66" s="93" t="s">
        <v>41</v>
      </c>
      <c r="C66" s="94">
        <v>0.8952</v>
      </c>
      <c r="D66" s="95" t="s">
        <v>232</v>
      </c>
      <c r="E66" s="96" t="s">
        <v>233</v>
      </c>
      <c r="F66" s="96" t="s">
        <v>239</v>
      </c>
      <c r="G66" s="97">
        <v>565</v>
      </c>
      <c r="H66" s="98">
        <f t="shared" si="0"/>
        <v>59.211999999999989</v>
      </c>
      <c r="I66" s="99">
        <f t="shared" si="1"/>
        <v>3256.6599999999994</v>
      </c>
      <c r="J66" s="100">
        <f t="shared" si="3"/>
        <v>28.25</v>
      </c>
      <c r="K66" s="101">
        <f t="shared" si="2"/>
        <v>-30.961999999999989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0"/>
        <v>0</v>
      </c>
      <c r="I67" s="99">
        <f t="shared" si="1"/>
        <v>0</v>
      </c>
      <c r="J67" s="100">
        <f t="shared" si="3"/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0"/>
        <v>0</v>
      </c>
      <c r="I68" s="99">
        <f t="shared" si="1"/>
        <v>0</v>
      </c>
      <c r="J68" s="100">
        <f t="shared" si="3"/>
        <v>0</v>
      </c>
      <c r="K68" s="101">
        <f t="shared" si="2"/>
        <v>0</v>
      </c>
    </row>
    <row r="69" spans="1:11" ht="12.75" x14ac:dyDescent="0.2">
      <c r="A69" s="92">
        <v>45602</v>
      </c>
      <c r="B69" s="93" t="s">
        <v>37</v>
      </c>
      <c r="C69" s="94">
        <v>0.94</v>
      </c>
      <c r="D69" s="95" t="s">
        <v>225</v>
      </c>
      <c r="E69" s="96"/>
      <c r="F69" s="96"/>
      <c r="G69" s="97">
        <v>565</v>
      </c>
      <c r="H69" s="98">
        <f t="shared" si="0"/>
        <v>33.899999999999977</v>
      </c>
      <c r="I69" s="99">
        <f t="shared" si="1"/>
        <v>1864.4999999999986</v>
      </c>
      <c r="J69" s="100">
        <f t="shared" si="3"/>
        <v>28.25</v>
      </c>
      <c r="K69" s="101">
        <f t="shared" si="2"/>
        <v>-5.6499999999999773</v>
      </c>
    </row>
    <row r="70" spans="1:11" ht="12.75" x14ac:dyDescent="0.2">
      <c r="A70" s="92">
        <v>45603</v>
      </c>
      <c r="B70" s="93" t="s">
        <v>39</v>
      </c>
      <c r="C70" s="94">
        <v>0.93259999999999998</v>
      </c>
      <c r="D70" s="102" t="s">
        <v>225</v>
      </c>
      <c r="E70" s="96"/>
      <c r="F70" s="96"/>
      <c r="G70" s="97">
        <v>566</v>
      </c>
      <c r="H70" s="98">
        <f t="shared" si="0"/>
        <v>38.148400000000038</v>
      </c>
      <c r="I70" s="99">
        <f t="shared" si="1"/>
        <v>2098.1620000000021</v>
      </c>
      <c r="J70" s="100">
        <f t="shared" si="3"/>
        <v>28.300000000000068</v>
      </c>
      <c r="K70" s="101">
        <f t="shared" si="2"/>
        <v>-9.8483999999999696</v>
      </c>
    </row>
    <row r="71" spans="1:11" ht="12.75" x14ac:dyDescent="0.2">
      <c r="A71" s="92">
        <v>45604</v>
      </c>
      <c r="B71" s="93" t="s">
        <v>41</v>
      </c>
      <c r="C71" s="94">
        <v>0.93230000000000002</v>
      </c>
      <c r="D71" s="102" t="s">
        <v>225</v>
      </c>
      <c r="E71" s="96"/>
      <c r="F71" s="96"/>
      <c r="G71" s="97">
        <v>563</v>
      </c>
      <c r="H71" s="98">
        <f t="shared" si="0"/>
        <v>38.115099999999984</v>
      </c>
      <c r="I71" s="99">
        <f t="shared" si="1"/>
        <v>2096.3304999999991</v>
      </c>
      <c r="J71" s="100">
        <f t="shared" si="3"/>
        <v>28.149999999999977</v>
      </c>
      <c r="K71" s="101">
        <f t="shared" si="2"/>
        <v>-9.9651000000000067</v>
      </c>
    </row>
    <row r="72" spans="1:11" ht="12.75" x14ac:dyDescent="0.2">
      <c r="A72" s="92">
        <v>45607</v>
      </c>
      <c r="B72" s="93" t="s">
        <v>33</v>
      </c>
      <c r="C72" s="94">
        <v>0.91300000000000003</v>
      </c>
      <c r="D72" s="102" t="s">
        <v>225</v>
      </c>
      <c r="E72" s="96"/>
      <c r="F72" s="96"/>
      <c r="G72" s="97">
        <v>563</v>
      </c>
      <c r="H72" s="98">
        <f t="shared" si="0"/>
        <v>48.980999999999995</v>
      </c>
      <c r="I72" s="99">
        <f t="shared" si="1"/>
        <v>2693.9549999999999</v>
      </c>
      <c r="J72" s="100">
        <f t="shared" si="3"/>
        <v>28.149999999999977</v>
      </c>
      <c r="K72" s="101">
        <f t="shared" si="2"/>
        <v>-20.831000000000017</v>
      </c>
    </row>
    <row r="73" spans="1:11" ht="12.75" x14ac:dyDescent="0.2">
      <c r="A73" s="92">
        <v>45608</v>
      </c>
      <c r="B73" s="93" t="s">
        <v>35</v>
      </c>
      <c r="C73" s="94">
        <v>0.92759999999999998</v>
      </c>
      <c r="D73" s="95" t="s">
        <v>225</v>
      </c>
      <c r="E73" s="96"/>
      <c r="F73" s="96"/>
      <c r="G73" s="97">
        <v>563</v>
      </c>
      <c r="H73" s="98">
        <f t="shared" si="0"/>
        <v>40.761200000000031</v>
      </c>
      <c r="I73" s="99">
        <f t="shared" si="1"/>
        <v>2241.8660000000018</v>
      </c>
      <c r="J73" s="100">
        <f t="shared" si="3"/>
        <v>28.149999999999977</v>
      </c>
      <c r="K73" s="101">
        <f t="shared" si="2"/>
        <v>-12.611200000000053</v>
      </c>
    </row>
    <row r="74" spans="1:11" ht="12.75" x14ac:dyDescent="0.2">
      <c r="A74" s="92">
        <v>45609</v>
      </c>
      <c r="B74" s="93" t="s">
        <v>37</v>
      </c>
      <c r="C74" s="94">
        <v>0.92100000000000004</v>
      </c>
      <c r="D74" s="95" t="s">
        <v>225</v>
      </c>
      <c r="E74" s="96"/>
      <c r="F74" s="96"/>
      <c r="G74" s="97">
        <v>561</v>
      </c>
      <c r="H74" s="98">
        <f t="shared" si="0"/>
        <v>44.31899999999996</v>
      </c>
      <c r="I74" s="99">
        <f t="shared" si="1"/>
        <v>2437.5449999999978</v>
      </c>
      <c r="J74" s="100">
        <f t="shared" si="3"/>
        <v>28.050000000000068</v>
      </c>
      <c r="K74" s="101">
        <f t="shared" si="2"/>
        <v>-16.268999999999892</v>
      </c>
    </row>
    <row r="75" spans="1:11" ht="25.5" x14ac:dyDescent="0.2">
      <c r="A75" s="92">
        <v>45610</v>
      </c>
      <c r="B75" s="93" t="s">
        <v>39</v>
      </c>
      <c r="C75" s="94">
        <v>0.89380000000000004</v>
      </c>
      <c r="D75" s="95" t="s">
        <v>232</v>
      </c>
      <c r="E75" s="96"/>
      <c r="F75" s="96" t="s">
        <v>240</v>
      </c>
      <c r="G75" s="97">
        <v>562</v>
      </c>
      <c r="H75" s="98">
        <f t="shared" si="0"/>
        <v>59.684399999999982</v>
      </c>
      <c r="I75" s="99">
        <f t="shared" si="1"/>
        <v>3282.6419999999989</v>
      </c>
      <c r="J75" s="100">
        <f t="shared" si="3"/>
        <v>28.100000000000023</v>
      </c>
      <c r="K75" s="101">
        <f t="shared" si="2"/>
        <v>-31.58439999999996</v>
      </c>
    </row>
    <row r="76" spans="1:11" ht="12.75" x14ac:dyDescent="0.2">
      <c r="A76" s="92">
        <v>45611</v>
      </c>
      <c r="B76" s="93" t="s">
        <v>41</v>
      </c>
      <c r="C76" s="94">
        <v>0.89170000000000005</v>
      </c>
      <c r="D76" s="95" t="s">
        <v>232</v>
      </c>
      <c r="E76" s="96"/>
      <c r="F76" s="96" t="s">
        <v>241</v>
      </c>
      <c r="G76" s="97">
        <v>562</v>
      </c>
      <c r="H76" s="98">
        <f t="shared" si="0"/>
        <v>60.864599999999996</v>
      </c>
      <c r="I76" s="99">
        <f t="shared" si="1"/>
        <v>3347.5529999999999</v>
      </c>
      <c r="J76" s="100">
        <f t="shared" si="3"/>
        <v>28.100000000000023</v>
      </c>
      <c r="K76" s="101">
        <f t="shared" si="2"/>
        <v>-32.764599999999973</v>
      </c>
    </row>
    <row r="77" spans="1:11" ht="12.75" x14ac:dyDescent="0.2">
      <c r="A77" s="92">
        <v>45614</v>
      </c>
      <c r="B77" s="93" t="s">
        <v>33</v>
      </c>
      <c r="C77" s="94">
        <v>0.90490000000000004</v>
      </c>
      <c r="D77" s="95"/>
      <c r="E77" s="96"/>
      <c r="F77" s="96"/>
      <c r="G77" s="97">
        <v>563</v>
      </c>
      <c r="H77" s="98">
        <f t="shared" si="0"/>
        <v>53.541299999999978</v>
      </c>
      <c r="I77" s="99">
        <f t="shared" si="1"/>
        <v>2944.7714999999989</v>
      </c>
      <c r="J77" s="100">
        <f t="shared" si="3"/>
        <v>28.149999999999977</v>
      </c>
      <c r="K77" s="101">
        <f t="shared" si="2"/>
        <v>-25.391300000000001</v>
      </c>
    </row>
    <row r="78" spans="1:11" ht="12.75" x14ac:dyDescent="0.2">
      <c r="A78" s="92">
        <v>45615</v>
      </c>
      <c r="B78" s="93" t="s">
        <v>35</v>
      </c>
      <c r="C78" s="94">
        <v>0.92849999999999999</v>
      </c>
      <c r="D78" s="95" t="s">
        <v>225</v>
      </c>
      <c r="E78" s="96"/>
      <c r="F78" s="96"/>
      <c r="G78" s="97">
        <v>562</v>
      </c>
      <c r="H78" s="98">
        <f t="shared" si="0"/>
        <v>40.182999999999993</v>
      </c>
      <c r="I78" s="99">
        <f t="shared" si="1"/>
        <v>2210.0649999999996</v>
      </c>
      <c r="J78" s="100">
        <f t="shared" si="3"/>
        <v>28.100000000000023</v>
      </c>
      <c r="K78" s="101">
        <f t="shared" si="2"/>
        <v>-12.08299999999997</v>
      </c>
    </row>
    <row r="79" spans="1:11" ht="12.75" x14ac:dyDescent="0.2">
      <c r="A79" s="92">
        <v>45616</v>
      </c>
      <c r="B79" s="93" t="s">
        <v>37</v>
      </c>
      <c r="C79" s="94">
        <v>0.94689999999999996</v>
      </c>
      <c r="D79" s="95" t="s">
        <v>225</v>
      </c>
      <c r="E79" s="96"/>
      <c r="F79" s="96"/>
      <c r="G79" s="97">
        <v>562</v>
      </c>
      <c r="H79" s="98">
        <f t="shared" si="0"/>
        <v>29.842200000000048</v>
      </c>
      <c r="I79" s="99">
        <f t="shared" si="1"/>
        <v>1641.3210000000026</v>
      </c>
      <c r="J79" s="100">
        <f t="shared" si="3"/>
        <v>28.100000000000023</v>
      </c>
      <c r="K79" s="101">
        <f t="shared" si="2"/>
        <v>-1.7422000000000253</v>
      </c>
    </row>
    <row r="80" spans="1:11" ht="12.75" x14ac:dyDescent="0.2">
      <c r="A80" s="92">
        <v>45617</v>
      </c>
      <c r="B80" s="93" t="s">
        <v>39</v>
      </c>
      <c r="C80" s="94">
        <v>0.93389999999999995</v>
      </c>
      <c r="D80" s="95" t="s">
        <v>225</v>
      </c>
      <c r="E80" s="96"/>
      <c r="F80" s="96"/>
      <c r="G80" s="97">
        <v>562</v>
      </c>
      <c r="H80" s="98">
        <f t="shared" si="0"/>
        <v>37.148199999999974</v>
      </c>
      <c r="I80" s="99">
        <f t="shared" si="1"/>
        <v>2043.1509999999985</v>
      </c>
      <c r="J80" s="100">
        <f t="shared" si="3"/>
        <v>28.100000000000023</v>
      </c>
      <c r="K80" s="101">
        <f t="shared" si="2"/>
        <v>-9.0481999999999516</v>
      </c>
    </row>
    <row r="81" spans="1:11" ht="12.75" x14ac:dyDescent="0.2">
      <c r="A81" s="92">
        <v>45618</v>
      </c>
      <c r="B81" s="93" t="s">
        <v>41</v>
      </c>
      <c r="C81" s="94">
        <v>0.8992</v>
      </c>
      <c r="D81" s="95" t="s">
        <v>232</v>
      </c>
      <c r="E81" s="96"/>
      <c r="F81" s="96"/>
      <c r="G81" s="97">
        <v>562</v>
      </c>
      <c r="H81" s="98">
        <f t="shared" si="0"/>
        <v>56.649600000000021</v>
      </c>
      <c r="I81" s="99">
        <f t="shared" si="1"/>
        <v>3115.728000000001</v>
      </c>
      <c r="J81" s="100">
        <f t="shared" si="3"/>
        <v>28.100000000000023</v>
      </c>
      <c r="K81" s="101">
        <f t="shared" si="2"/>
        <v>-28.549599999999998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0"/>
        <v>0</v>
      </c>
      <c r="I82" s="99">
        <f t="shared" si="1"/>
        <v>0</v>
      </c>
      <c r="J82" s="100">
        <f t="shared" si="3"/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0"/>
        <v>0</v>
      </c>
      <c r="I83" s="99">
        <f t="shared" si="1"/>
        <v>0</v>
      </c>
      <c r="J83" s="100">
        <f t="shared" si="3"/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0"/>
        <v>0</v>
      </c>
      <c r="I84" s="99">
        <f t="shared" si="1"/>
        <v>0</v>
      </c>
      <c r="J84" s="100">
        <f t="shared" si="3"/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0"/>
        <v>0</v>
      </c>
      <c r="I85" s="99">
        <f t="shared" si="1"/>
        <v>0</v>
      </c>
      <c r="J85" s="100">
        <f t="shared" si="3"/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0"/>
        <v>0</v>
      </c>
      <c r="I86" s="99">
        <f t="shared" si="1"/>
        <v>0</v>
      </c>
      <c r="J86" s="100">
        <f t="shared" si="3"/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0.91120000000000001</v>
      </c>
      <c r="D87" s="95" t="s">
        <v>225</v>
      </c>
      <c r="E87" s="96"/>
      <c r="F87" s="96"/>
      <c r="G87" s="97">
        <v>562</v>
      </c>
      <c r="H87" s="98">
        <f t="shared" si="0"/>
        <v>49.905600000000049</v>
      </c>
      <c r="I87" s="99">
        <f t="shared" si="1"/>
        <v>2744.8080000000027</v>
      </c>
      <c r="J87" s="100">
        <f t="shared" si="3"/>
        <v>28.100000000000023</v>
      </c>
      <c r="K87" s="101">
        <f t="shared" si="2"/>
        <v>-21.805600000000027</v>
      </c>
    </row>
    <row r="88" spans="1:11" ht="12.75" x14ac:dyDescent="0.2">
      <c r="A88" s="92">
        <v>45629</v>
      </c>
      <c r="B88" s="93" t="s">
        <v>35</v>
      </c>
      <c r="C88" s="94">
        <v>0.94789999999999996</v>
      </c>
      <c r="D88" s="95" t="s">
        <v>225</v>
      </c>
      <c r="E88" s="96"/>
      <c r="F88" s="96"/>
      <c r="G88" s="97">
        <v>561</v>
      </c>
      <c r="H88" s="98">
        <f t="shared" si="0"/>
        <v>29.22810000000004</v>
      </c>
      <c r="I88" s="99">
        <f t="shared" si="1"/>
        <v>1607.5455000000022</v>
      </c>
      <c r="J88" s="100">
        <f t="shared" si="3"/>
        <v>28.050000000000068</v>
      </c>
      <c r="K88" s="101">
        <f t="shared" si="2"/>
        <v>-1.1780999999999722</v>
      </c>
    </row>
    <row r="89" spans="1:11" ht="12.75" x14ac:dyDescent="0.2">
      <c r="A89" s="92">
        <v>45630</v>
      </c>
      <c r="B89" s="93" t="s">
        <v>37</v>
      </c>
      <c r="C89" s="94">
        <v>0.94130000000000003</v>
      </c>
      <c r="D89" s="95" t="s">
        <v>225</v>
      </c>
      <c r="E89" s="96"/>
      <c r="F89" s="96"/>
      <c r="G89" s="97">
        <v>561</v>
      </c>
      <c r="H89" s="98">
        <f t="shared" si="0"/>
        <v>32.930700000000002</v>
      </c>
      <c r="I89" s="99">
        <f t="shared" si="1"/>
        <v>1811.1885000000002</v>
      </c>
      <c r="J89" s="100">
        <f t="shared" si="3"/>
        <v>28.050000000000068</v>
      </c>
      <c r="K89" s="101">
        <f t="shared" si="2"/>
        <v>-4.8806999999999334</v>
      </c>
    </row>
    <row r="90" spans="1:11" ht="12.75" x14ac:dyDescent="0.2">
      <c r="A90" s="92">
        <v>45631</v>
      </c>
      <c r="B90" s="93" t="s">
        <v>39</v>
      </c>
      <c r="C90" s="94">
        <v>0.9304</v>
      </c>
      <c r="D90" s="95" t="s">
        <v>225</v>
      </c>
      <c r="E90" s="96"/>
      <c r="F90" s="96"/>
      <c r="G90" s="97">
        <v>561</v>
      </c>
      <c r="H90" s="98">
        <f t="shared" si="0"/>
        <v>39.045600000000036</v>
      </c>
      <c r="I90" s="99">
        <f t="shared" si="1"/>
        <v>2147.5080000000021</v>
      </c>
      <c r="J90" s="100">
        <f t="shared" si="3"/>
        <v>28.050000000000068</v>
      </c>
      <c r="K90" s="101">
        <f t="shared" si="2"/>
        <v>-10.995599999999968</v>
      </c>
    </row>
    <row r="91" spans="1:11" ht="12.75" x14ac:dyDescent="0.2">
      <c r="A91" s="92">
        <v>45632</v>
      </c>
      <c r="B91" s="93" t="s">
        <v>41</v>
      </c>
      <c r="C91" s="94">
        <v>0.90649999999999997</v>
      </c>
      <c r="D91" s="95" t="s">
        <v>225</v>
      </c>
      <c r="E91" s="96"/>
      <c r="F91" s="96"/>
      <c r="G91" s="97">
        <v>561</v>
      </c>
      <c r="H91" s="98">
        <f t="shared" si="0"/>
        <v>52.45350000000002</v>
      </c>
      <c r="I91" s="99">
        <f t="shared" si="1"/>
        <v>2884.942500000001</v>
      </c>
      <c r="J91" s="100">
        <f t="shared" si="3"/>
        <v>28.050000000000068</v>
      </c>
      <c r="K91" s="101">
        <f t="shared" si="2"/>
        <v>-24.403499999999951</v>
      </c>
    </row>
    <row r="92" spans="1:11" ht="12.75" x14ac:dyDescent="0.2">
      <c r="A92" s="92">
        <v>45635</v>
      </c>
      <c r="B92" s="93" t="s">
        <v>33</v>
      </c>
      <c r="C92" s="94">
        <v>0.92069999999999996</v>
      </c>
      <c r="D92" s="95" t="s">
        <v>225</v>
      </c>
      <c r="E92" s="96"/>
      <c r="F92" s="96"/>
      <c r="G92" s="97">
        <v>561</v>
      </c>
      <c r="H92" s="98">
        <f t="shared" si="0"/>
        <v>44.487300000000005</v>
      </c>
      <c r="I92" s="99">
        <f t="shared" si="1"/>
        <v>2446.8015000000005</v>
      </c>
      <c r="J92" s="100">
        <f t="shared" si="3"/>
        <v>28.050000000000068</v>
      </c>
      <c r="K92" s="101">
        <f t="shared" si="2"/>
        <v>-16.437299999999937</v>
      </c>
    </row>
    <row r="93" spans="1:11" ht="12.75" x14ac:dyDescent="0.2">
      <c r="A93" s="92">
        <v>45636</v>
      </c>
      <c r="B93" s="93" t="s">
        <v>35</v>
      </c>
      <c r="C93" s="94">
        <v>0.92169999999999996</v>
      </c>
      <c r="D93" s="95" t="s">
        <v>225</v>
      </c>
      <c r="E93" s="96"/>
      <c r="F93" s="96"/>
      <c r="G93" s="97">
        <v>561</v>
      </c>
      <c r="H93" s="98">
        <f t="shared" si="0"/>
        <v>43.926299999999969</v>
      </c>
      <c r="I93" s="99">
        <f t="shared" si="1"/>
        <v>2415.9464999999982</v>
      </c>
      <c r="J93" s="100">
        <f t="shared" si="3"/>
        <v>28.050000000000068</v>
      </c>
      <c r="K93" s="101">
        <f t="shared" si="2"/>
        <v>-15.876299999999901</v>
      </c>
    </row>
    <row r="94" spans="1:11" ht="12.75" x14ac:dyDescent="0.2">
      <c r="A94" s="92">
        <v>45637</v>
      </c>
      <c r="B94" s="93" t="s">
        <v>37</v>
      </c>
      <c r="C94" s="94">
        <v>0.92610000000000003</v>
      </c>
      <c r="D94" s="95" t="s">
        <v>225</v>
      </c>
      <c r="E94" s="96"/>
      <c r="F94" s="96"/>
      <c r="G94" s="97">
        <v>561</v>
      </c>
      <c r="H94" s="98">
        <f t="shared" si="0"/>
        <v>41.457899999999995</v>
      </c>
      <c r="I94" s="99">
        <f t="shared" si="1"/>
        <v>2280.1844999999998</v>
      </c>
      <c r="J94" s="100">
        <f t="shared" si="3"/>
        <v>28.050000000000068</v>
      </c>
      <c r="K94" s="101">
        <f t="shared" si="2"/>
        <v>-13.407899999999927</v>
      </c>
    </row>
    <row r="95" spans="1:11" ht="12.75" x14ac:dyDescent="0.2">
      <c r="A95" s="92">
        <v>45638</v>
      </c>
      <c r="B95" s="93" t="s">
        <v>39</v>
      </c>
      <c r="C95" s="94">
        <v>0.93700000000000006</v>
      </c>
      <c r="D95" s="95" t="s">
        <v>225</v>
      </c>
      <c r="E95" s="96"/>
      <c r="F95" s="96"/>
      <c r="G95" s="97">
        <v>561</v>
      </c>
      <c r="H95" s="98">
        <f t="shared" si="0"/>
        <v>35.342999999999961</v>
      </c>
      <c r="I95" s="99">
        <f t="shared" si="1"/>
        <v>1943.864999999998</v>
      </c>
      <c r="J95" s="100">
        <f t="shared" si="3"/>
        <v>28.050000000000068</v>
      </c>
      <c r="K95" s="101">
        <f t="shared" si="2"/>
        <v>-7.2929999999998927</v>
      </c>
    </row>
    <row r="96" spans="1:11" ht="38.25" x14ac:dyDescent="0.2">
      <c r="A96" s="92">
        <v>45639</v>
      </c>
      <c r="B96" s="93" t="s">
        <v>41</v>
      </c>
      <c r="C96" s="94">
        <v>0.89239999999999997</v>
      </c>
      <c r="D96" s="95" t="s">
        <v>232</v>
      </c>
      <c r="E96" s="96" t="s">
        <v>228</v>
      </c>
      <c r="F96" s="96" t="s">
        <v>242</v>
      </c>
      <c r="G96" s="97">
        <v>561</v>
      </c>
      <c r="H96" s="98">
        <f t="shared" si="0"/>
        <v>60.363600000000019</v>
      </c>
      <c r="I96" s="99">
        <f t="shared" si="1"/>
        <v>3319.998000000001</v>
      </c>
      <c r="J96" s="100">
        <f t="shared" si="3"/>
        <v>28.050000000000068</v>
      </c>
      <c r="K96" s="101">
        <f t="shared" si="2"/>
        <v>-32.313599999999951</v>
      </c>
    </row>
    <row r="97" spans="1:11" ht="12.75" x14ac:dyDescent="0.2">
      <c r="A97" s="92">
        <v>45642</v>
      </c>
      <c r="B97" s="93" t="s">
        <v>33</v>
      </c>
      <c r="C97" s="94">
        <v>0.87960000000000005</v>
      </c>
      <c r="D97" s="95" t="s">
        <v>232</v>
      </c>
      <c r="E97" s="96" t="s">
        <v>228</v>
      </c>
      <c r="F97" s="96" t="s">
        <v>243</v>
      </c>
      <c r="G97" s="97">
        <v>563</v>
      </c>
      <c r="H97" s="98">
        <f t="shared" si="0"/>
        <v>67.785199999999975</v>
      </c>
      <c r="I97" s="99">
        <f t="shared" si="1"/>
        <v>3728.1859999999988</v>
      </c>
      <c r="J97" s="100">
        <f t="shared" si="3"/>
        <v>28.149999999999977</v>
      </c>
      <c r="K97" s="101">
        <f t="shared" si="2"/>
        <v>-39.635199999999998</v>
      </c>
    </row>
    <row r="98" spans="1:11" ht="12.75" x14ac:dyDescent="0.2">
      <c r="A98" s="92">
        <v>45643</v>
      </c>
      <c r="B98" s="93" t="s">
        <v>35</v>
      </c>
      <c r="C98" s="94">
        <v>0.91</v>
      </c>
      <c r="D98" s="95" t="s">
        <v>225</v>
      </c>
      <c r="E98" s="96"/>
      <c r="F98" s="96"/>
      <c r="G98" s="97">
        <v>563</v>
      </c>
      <c r="H98" s="98">
        <f t="shared" si="0"/>
        <v>50.669999999999959</v>
      </c>
      <c r="I98" s="99">
        <f t="shared" si="1"/>
        <v>2786.8499999999976</v>
      </c>
      <c r="J98" s="100">
        <f t="shared" si="3"/>
        <v>28.149999999999977</v>
      </c>
      <c r="K98" s="101">
        <f t="shared" si="2"/>
        <v>-22.519999999999982</v>
      </c>
    </row>
    <row r="99" spans="1:11" ht="12.75" x14ac:dyDescent="0.2">
      <c r="A99" s="92">
        <v>45644</v>
      </c>
      <c r="B99" s="93" t="s">
        <v>37</v>
      </c>
      <c r="C99" s="94">
        <v>0.93720000000000003</v>
      </c>
      <c r="D99" s="95" t="s">
        <v>225</v>
      </c>
      <c r="E99" s="96"/>
      <c r="F99" s="96"/>
      <c r="G99" s="97">
        <v>564</v>
      </c>
      <c r="H99" s="98">
        <f t="shared" si="0"/>
        <v>35.419199999999933</v>
      </c>
      <c r="I99" s="99">
        <f t="shared" si="1"/>
        <v>1948.0559999999964</v>
      </c>
      <c r="J99" s="100">
        <f t="shared" si="3"/>
        <v>28.200000000000045</v>
      </c>
      <c r="K99" s="101">
        <f t="shared" si="2"/>
        <v>-7.219199999999887</v>
      </c>
    </row>
    <row r="100" spans="1:11" ht="12.75" x14ac:dyDescent="0.2">
      <c r="A100" s="92">
        <v>45645</v>
      </c>
      <c r="B100" s="93" t="s">
        <v>39</v>
      </c>
      <c r="C100" s="94">
        <v>0.95020000000000004</v>
      </c>
      <c r="D100" s="95" t="s">
        <v>225</v>
      </c>
      <c r="E100" s="96"/>
      <c r="F100" s="96" t="s">
        <v>244</v>
      </c>
      <c r="G100" s="97">
        <v>564</v>
      </c>
      <c r="H100" s="98">
        <f t="shared" si="0"/>
        <v>28.087199999999939</v>
      </c>
      <c r="I100" s="99">
        <f t="shared" si="1"/>
        <v>1544.7959999999966</v>
      </c>
      <c r="J100" s="100">
        <f t="shared" si="3"/>
        <v>28.200000000000045</v>
      </c>
      <c r="K100" s="101">
        <f t="shared" si="2"/>
        <v>0.11280000000010659</v>
      </c>
    </row>
    <row r="101" spans="1:11" ht="38.25" x14ac:dyDescent="0.2">
      <c r="A101" s="92">
        <v>45646</v>
      </c>
      <c r="B101" s="93" t="s">
        <v>41</v>
      </c>
      <c r="C101" s="94">
        <v>0.67320000000000002</v>
      </c>
      <c r="D101" s="95" t="s">
        <v>227</v>
      </c>
      <c r="E101" s="96"/>
      <c r="F101" s="96" t="s">
        <v>245</v>
      </c>
      <c r="G101" s="97">
        <v>564</v>
      </c>
      <c r="H101" s="98">
        <f t="shared" si="0"/>
        <v>184.3152</v>
      </c>
      <c r="I101" s="99">
        <f t="shared" si="1"/>
        <v>10137.335999999999</v>
      </c>
      <c r="J101" s="100">
        <f t="shared" si="3"/>
        <v>28.200000000000045</v>
      </c>
      <c r="K101" s="101">
        <f t="shared" si="2"/>
        <v>-156.11519999999996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0"/>
        <v>0</v>
      </c>
      <c r="I102" s="99">
        <f t="shared" si="1"/>
        <v>0</v>
      </c>
      <c r="J102" s="100">
        <f t="shared" si="3"/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0"/>
        <v>0</v>
      </c>
      <c r="I103" s="99">
        <f t="shared" si="1"/>
        <v>0</v>
      </c>
      <c r="J103" s="100">
        <f t="shared" si="3"/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0"/>
        <v>0</v>
      </c>
      <c r="I104" s="99">
        <f t="shared" si="1"/>
        <v>0</v>
      </c>
      <c r="J104" s="100">
        <f t="shared" si="3"/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0"/>
        <v>0</v>
      </c>
      <c r="I105" s="99">
        <f t="shared" si="1"/>
        <v>0</v>
      </c>
      <c r="J105" s="100">
        <f t="shared" si="3"/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0"/>
        <v>0</v>
      </c>
      <c r="I106" s="99">
        <f t="shared" si="1"/>
        <v>0</v>
      </c>
      <c r="J106" s="100">
        <f t="shared" si="3"/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0"/>
        <v>0</v>
      </c>
      <c r="I107" s="99">
        <f t="shared" si="1"/>
        <v>0</v>
      </c>
      <c r="J107" s="100">
        <f t="shared" si="3"/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0"/>
        <v>0</v>
      </c>
      <c r="I108" s="99">
        <f t="shared" si="1"/>
        <v>0</v>
      </c>
      <c r="J108" s="100">
        <f t="shared" si="3"/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0"/>
        <v>0</v>
      </c>
      <c r="I109" s="99">
        <f t="shared" si="1"/>
        <v>0</v>
      </c>
      <c r="J109" s="100">
        <f t="shared" si="3"/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0"/>
        <v>0</v>
      </c>
      <c r="I110" s="99">
        <f t="shared" si="1"/>
        <v>0</v>
      </c>
      <c r="J110" s="100">
        <f t="shared" si="3"/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0"/>
        <v>0</v>
      </c>
      <c r="I111" s="99">
        <f t="shared" si="1"/>
        <v>0</v>
      </c>
      <c r="J111" s="100">
        <f t="shared" si="3"/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0"/>
        <v>0</v>
      </c>
      <c r="I112" s="99">
        <f t="shared" si="1"/>
        <v>0</v>
      </c>
      <c r="J112" s="100">
        <f t="shared" si="3"/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0"/>
        <v>0</v>
      </c>
      <c r="I113" s="99">
        <f t="shared" si="1"/>
        <v>0</v>
      </c>
      <c r="J113" s="100">
        <f t="shared" si="3"/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0.89800000000000002</v>
      </c>
      <c r="D114" s="95" t="s">
        <v>232</v>
      </c>
      <c r="E114" s="96" t="s">
        <v>246</v>
      </c>
      <c r="F114" s="96" t="s">
        <v>247</v>
      </c>
      <c r="G114" s="97">
        <v>561</v>
      </c>
      <c r="H114" s="98">
        <f t="shared" si="0"/>
        <v>57.22199999999998</v>
      </c>
      <c r="I114" s="99">
        <f t="shared" si="1"/>
        <v>3147.2099999999991</v>
      </c>
      <c r="J114" s="100">
        <f t="shared" si="3"/>
        <v>28.050000000000068</v>
      </c>
      <c r="K114" s="101">
        <f t="shared" si="2"/>
        <v>-29.171999999999912</v>
      </c>
    </row>
    <row r="115" spans="1:11" ht="12.75" x14ac:dyDescent="0.2">
      <c r="A115" s="92">
        <v>45666</v>
      </c>
      <c r="B115" s="93" t="s">
        <v>39</v>
      </c>
      <c r="C115" s="94">
        <v>0.91339999999999999</v>
      </c>
      <c r="D115" s="95"/>
      <c r="E115" s="96"/>
      <c r="F115" s="96"/>
      <c r="G115" s="97">
        <v>559</v>
      </c>
      <c r="H115" s="98">
        <f t="shared" si="0"/>
        <v>48.409400000000005</v>
      </c>
      <c r="I115" s="99">
        <f t="shared" si="1"/>
        <v>2662.5170000000003</v>
      </c>
      <c r="J115" s="100">
        <f t="shared" si="3"/>
        <v>27.950000000000045</v>
      </c>
      <c r="K115" s="101">
        <f t="shared" si="2"/>
        <v>-20.45939999999996</v>
      </c>
    </row>
    <row r="116" spans="1:11" ht="12.75" x14ac:dyDescent="0.2">
      <c r="A116" s="92">
        <v>45667</v>
      </c>
      <c r="B116" s="93" t="s">
        <v>41</v>
      </c>
      <c r="C116" s="94">
        <v>0.88460000000000005</v>
      </c>
      <c r="D116" s="95" t="s">
        <v>232</v>
      </c>
      <c r="E116" s="96" t="s">
        <v>246</v>
      </c>
      <c r="F116" s="96" t="s">
        <v>248</v>
      </c>
      <c r="G116" s="97">
        <v>559</v>
      </c>
      <c r="H116" s="98">
        <f t="shared" si="0"/>
        <v>64.508599999999944</v>
      </c>
      <c r="I116" s="99">
        <f t="shared" si="1"/>
        <v>3547.9729999999968</v>
      </c>
      <c r="J116" s="100">
        <f t="shared" si="3"/>
        <v>27.950000000000045</v>
      </c>
      <c r="K116" s="101">
        <f t="shared" si="2"/>
        <v>-36.558599999999899</v>
      </c>
    </row>
    <row r="117" spans="1:11" ht="12.75" x14ac:dyDescent="0.2">
      <c r="A117" s="92">
        <v>45670</v>
      </c>
      <c r="B117" s="93" t="s">
        <v>33</v>
      </c>
      <c r="C117" s="94">
        <v>0.92320000000000002</v>
      </c>
      <c r="D117" s="95" t="s">
        <v>225</v>
      </c>
      <c r="E117" s="96"/>
      <c r="F117" s="96"/>
      <c r="G117" s="97">
        <v>559</v>
      </c>
      <c r="H117" s="98">
        <f t="shared" si="0"/>
        <v>42.93119999999999</v>
      </c>
      <c r="I117" s="99">
        <f t="shared" si="1"/>
        <v>2361.2159999999994</v>
      </c>
      <c r="J117" s="100">
        <f t="shared" si="3"/>
        <v>27.950000000000045</v>
      </c>
      <c r="K117" s="101">
        <f t="shared" si="2"/>
        <v>-14.981199999999944</v>
      </c>
    </row>
    <row r="118" spans="1:11" ht="12.75" x14ac:dyDescent="0.2">
      <c r="A118" s="92">
        <v>45671</v>
      </c>
      <c r="B118" s="93" t="s">
        <v>35</v>
      </c>
      <c r="C118" s="94">
        <v>0.93220000000000003</v>
      </c>
      <c r="D118" s="95" t="s">
        <v>225</v>
      </c>
      <c r="E118" s="96"/>
      <c r="F118" s="96"/>
      <c r="G118" s="97">
        <v>561</v>
      </c>
      <c r="H118" s="98">
        <f t="shared" si="0"/>
        <v>38.035799999999995</v>
      </c>
      <c r="I118" s="99">
        <f t="shared" si="1"/>
        <v>2091.9689999999996</v>
      </c>
      <c r="J118" s="100">
        <f t="shared" si="3"/>
        <v>28.050000000000068</v>
      </c>
      <c r="K118" s="101">
        <f t="shared" si="2"/>
        <v>-9.9857999999999265</v>
      </c>
    </row>
    <row r="119" spans="1:11" ht="12.75" x14ac:dyDescent="0.2">
      <c r="A119" s="92">
        <v>45672</v>
      </c>
      <c r="B119" s="93" t="s">
        <v>37</v>
      </c>
      <c r="C119" s="94">
        <v>0.93110000000000004</v>
      </c>
      <c r="D119" s="95" t="s">
        <v>225</v>
      </c>
      <c r="E119" s="96"/>
      <c r="F119" s="96"/>
      <c r="G119" s="97">
        <v>561</v>
      </c>
      <c r="H119" s="98">
        <f t="shared" si="0"/>
        <v>38.652899999999931</v>
      </c>
      <c r="I119" s="99">
        <f t="shared" si="1"/>
        <v>2125.9094999999961</v>
      </c>
      <c r="J119" s="100">
        <f t="shared" si="3"/>
        <v>28.050000000000068</v>
      </c>
      <c r="K119" s="101">
        <f t="shared" si="2"/>
        <v>-10.602899999999863</v>
      </c>
    </row>
    <row r="120" spans="1:11" ht="12.75" x14ac:dyDescent="0.2">
      <c r="A120" s="92">
        <v>45673</v>
      </c>
      <c r="B120" s="93" t="s">
        <v>39</v>
      </c>
      <c r="C120" s="94">
        <v>0.93540000000000001</v>
      </c>
      <c r="D120" s="95" t="s">
        <v>225</v>
      </c>
      <c r="E120" s="96"/>
      <c r="F120" s="96"/>
      <c r="G120" s="97">
        <v>560</v>
      </c>
      <c r="H120" s="98">
        <f t="shared" si="0"/>
        <v>36.176000000000045</v>
      </c>
      <c r="I120" s="99">
        <f t="shared" si="1"/>
        <v>1989.6800000000026</v>
      </c>
      <c r="J120" s="100">
        <f t="shared" si="3"/>
        <v>28</v>
      </c>
      <c r="K120" s="101">
        <f t="shared" si="2"/>
        <v>-8.1760000000000446</v>
      </c>
    </row>
    <row r="121" spans="1:11" ht="12.75" x14ac:dyDescent="0.2">
      <c r="A121" s="92">
        <v>45674</v>
      </c>
      <c r="B121" s="93" t="s">
        <v>41</v>
      </c>
      <c r="C121" s="94">
        <v>0.91569999999999996</v>
      </c>
      <c r="D121" s="95" t="s">
        <v>225</v>
      </c>
      <c r="E121" s="96"/>
      <c r="F121" s="96"/>
      <c r="G121" s="97">
        <v>560</v>
      </c>
      <c r="H121" s="98">
        <f t="shared" si="0"/>
        <v>47.20799999999997</v>
      </c>
      <c r="I121" s="99">
        <f t="shared" si="1"/>
        <v>2596.4399999999982</v>
      </c>
      <c r="J121" s="100">
        <f t="shared" si="3"/>
        <v>28</v>
      </c>
      <c r="K121" s="101">
        <f t="shared" si="2"/>
        <v>-19.20799999999997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0"/>
        <v>0</v>
      </c>
      <c r="I122" s="99">
        <f t="shared" si="1"/>
        <v>0</v>
      </c>
      <c r="J122" s="100">
        <f t="shared" si="3"/>
        <v>0</v>
      </c>
      <c r="K122" s="101">
        <f t="shared" si="2"/>
        <v>0</v>
      </c>
    </row>
    <row r="123" spans="1:11" ht="25.5" x14ac:dyDescent="0.2">
      <c r="A123" s="92">
        <v>45678</v>
      </c>
      <c r="B123" s="93" t="s">
        <v>35</v>
      </c>
      <c r="C123" s="94"/>
      <c r="D123" s="95"/>
      <c r="E123" s="96"/>
      <c r="F123" s="96" t="s">
        <v>249</v>
      </c>
      <c r="H123" s="98">
        <f t="shared" si="0"/>
        <v>0</v>
      </c>
      <c r="I123" s="99">
        <f t="shared" si="1"/>
        <v>0</v>
      </c>
      <c r="J123" s="100">
        <f t="shared" si="3"/>
        <v>0</v>
      </c>
      <c r="K123" s="101">
        <f t="shared" si="2"/>
        <v>0</v>
      </c>
    </row>
    <row r="124" spans="1:11" ht="25.5" x14ac:dyDescent="0.2">
      <c r="A124" s="92">
        <v>45679</v>
      </c>
      <c r="B124" s="93" t="s">
        <v>37</v>
      </c>
      <c r="C124" s="94"/>
      <c r="D124" s="95"/>
      <c r="E124" s="96"/>
      <c r="F124" s="96" t="s">
        <v>249</v>
      </c>
      <c r="H124" s="98">
        <f t="shared" si="0"/>
        <v>0</v>
      </c>
      <c r="I124" s="99">
        <f t="shared" si="1"/>
        <v>0</v>
      </c>
      <c r="J124" s="100">
        <f t="shared" si="3"/>
        <v>0</v>
      </c>
      <c r="K124" s="101">
        <f t="shared" si="2"/>
        <v>0</v>
      </c>
    </row>
    <row r="125" spans="1:11" ht="25.5" x14ac:dyDescent="0.2">
      <c r="A125" s="92">
        <v>45680</v>
      </c>
      <c r="B125" s="93" t="s">
        <v>39</v>
      </c>
      <c r="C125" s="94">
        <v>0.76339999999999997</v>
      </c>
      <c r="D125" s="95" t="s">
        <v>232</v>
      </c>
      <c r="E125" s="96" t="s">
        <v>246</v>
      </c>
      <c r="F125" s="96" t="s">
        <v>250</v>
      </c>
      <c r="G125" s="97">
        <v>560</v>
      </c>
      <c r="H125" s="98">
        <f t="shared" si="0"/>
        <v>132.49600000000004</v>
      </c>
      <c r="I125" s="99">
        <f t="shared" si="1"/>
        <v>7287.2800000000025</v>
      </c>
      <c r="J125" s="100">
        <f t="shared" si="3"/>
        <v>28</v>
      </c>
      <c r="K125" s="101">
        <f t="shared" si="2"/>
        <v>-104.49600000000004</v>
      </c>
    </row>
    <row r="126" spans="1:11" ht="12.75" x14ac:dyDescent="0.2">
      <c r="A126" s="92">
        <v>45681</v>
      </c>
      <c r="B126" s="93" t="s">
        <v>41</v>
      </c>
      <c r="C126" s="94">
        <v>0.86970000000000003</v>
      </c>
      <c r="D126" s="95" t="s">
        <v>232</v>
      </c>
      <c r="E126" s="96" t="s">
        <v>246</v>
      </c>
      <c r="F126" s="96" t="s">
        <v>251</v>
      </c>
      <c r="G126" s="97">
        <v>560</v>
      </c>
      <c r="H126" s="98">
        <f t="shared" si="0"/>
        <v>72.967999999999961</v>
      </c>
      <c r="I126" s="99">
        <f t="shared" si="1"/>
        <v>4013.239999999998</v>
      </c>
      <c r="J126" s="100">
        <f t="shared" si="3"/>
        <v>28</v>
      </c>
      <c r="K126" s="101">
        <f t="shared" si="2"/>
        <v>-44.967999999999961</v>
      </c>
    </row>
    <row r="127" spans="1:11" ht="12.75" x14ac:dyDescent="0.2">
      <c r="A127" s="92">
        <v>45684</v>
      </c>
      <c r="B127" s="93" t="s">
        <v>33</v>
      </c>
      <c r="C127" s="94">
        <v>0.9234</v>
      </c>
      <c r="D127" s="95" t="s">
        <v>225</v>
      </c>
      <c r="E127" s="96"/>
      <c r="F127" s="96"/>
      <c r="G127" s="97">
        <v>560</v>
      </c>
      <c r="H127" s="98">
        <f t="shared" si="0"/>
        <v>42.895999999999958</v>
      </c>
      <c r="I127" s="99">
        <f t="shared" si="1"/>
        <v>2359.2799999999979</v>
      </c>
      <c r="J127" s="100">
        <f t="shared" si="3"/>
        <v>28</v>
      </c>
      <c r="K127" s="101">
        <f t="shared" si="2"/>
        <v>-14.895999999999958</v>
      </c>
    </row>
    <row r="128" spans="1:11" ht="12.75" x14ac:dyDescent="0.2">
      <c r="A128" s="92">
        <v>45685</v>
      </c>
      <c r="B128" s="93" t="s">
        <v>35</v>
      </c>
      <c r="C128" s="94">
        <v>0.91149999999999998</v>
      </c>
      <c r="D128" s="95" t="s">
        <v>225</v>
      </c>
      <c r="E128" s="96"/>
      <c r="F128" s="96"/>
      <c r="G128" s="97">
        <v>561</v>
      </c>
      <c r="H128" s="98">
        <f t="shared" si="0"/>
        <v>49.648500000000013</v>
      </c>
      <c r="I128" s="99">
        <f t="shared" si="1"/>
        <v>2730.6675000000005</v>
      </c>
      <c r="J128" s="100">
        <f t="shared" si="3"/>
        <v>28.050000000000068</v>
      </c>
      <c r="K128" s="101">
        <f t="shared" si="2"/>
        <v>-21.598499999999945</v>
      </c>
    </row>
    <row r="129" spans="1:11" ht="12.75" x14ac:dyDescent="0.2">
      <c r="A129" s="92">
        <v>45686</v>
      </c>
      <c r="B129" s="93" t="s">
        <v>37</v>
      </c>
      <c r="C129" s="94">
        <v>0.92249999999999999</v>
      </c>
      <c r="D129" s="95" t="s">
        <v>225</v>
      </c>
      <c r="E129" s="96"/>
      <c r="F129" s="96"/>
      <c r="G129" s="97">
        <v>561</v>
      </c>
      <c r="H129" s="98">
        <f t="shared" si="0"/>
        <v>43.477499999999964</v>
      </c>
      <c r="I129" s="99">
        <f t="shared" si="1"/>
        <v>2391.262499999998</v>
      </c>
      <c r="J129" s="100">
        <f t="shared" si="3"/>
        <v>28.050000000000068</v>
      </c>
      <c r="K129" s="101">
        <f t="shared" si="2"/>
        <v>-15.427499999999895</v>
      </c>
    </row>
    <row r="130" spans="1:11" ht="12.75" x14ac:dyDescent="0.2">
      <c r="A130" s="92">
        <v>45687</v>
      </c>
      <c r="B130" s="93" t="s">
        <v>39</v>
      </c>
      <c r="C130" s="94">
        <v>0.92010000000000003</v>
      </c>
      <c r="D130" s="95" t="s">
        <v>225</v>
      </c>
      <c r="E130" s="96"/>
      <c r="F130" s="96"/>
      <c r="G130" s="97">
        <v>561</v>
      </c>
      <c r="H130" s="98">
        <f t="shared" si="0"/>
        <v>44.823899999999981</v>
      </c>
      <c r="I130" s="99">
        <f t="shared" si="1"/>
        <v>2465.314499999999</v>
      </c>
      <c r="J130" s="100">
        <f t="shared" si="3"/>
        <v>28.050000000000068</v>
      </c>
      <c r="K130" s="101">
        <f t="shared" si="2"/>
        <v>-16.773899999999912</v>
      </c>
    </row>
    <row r="131" spans="1:11" ht="12.75" x14ac:dyDescent="0.2">
      <c r="A131" s="92">
        <v>45688</v>
      </c>
      <c r="B131" s="93" t="s">
        <v>41</v>
      </c>
      <c r="C131" s="94">
        <v>0.91669999999999996</v>
      </c>
      <c r="D131" s="95" t="s">
        <v>225</v>
      </c>
      <c r="E131" s="96"/>
      <c r="F131" s="96"/>
      <c r="G131" s="97">
        <v>561</v>
      </c>
      <c r="H131" s="98">
        <f t="shared" si="0"/>
        <v>46.731300000000033</v>
      </c>
      <c r="I131" s="99">
        <f t="shared" si="1"/>
        <v>2570.2215000000019</v>
      </c>
      <c r="J131" s="100">
        <f t="shared" si="3"/>
        <v>28.050000000000068</v>
      </c>
      <c r="K131" s="101">
        <f t="shared" si="2"/>
        <v>-18.681299999999965</v>
      </c>
    </row>
    <row r="132" spans="1:11" ht="12.75" x14ac:dyDescent="0.2">
      <c r="A132" s="92">
        <v>45691</v>
      </c>
      <c r="B132" s="93" t="s">
        <v>33</v>
      </c>
      <c r="C132" s="94">
        <v>0.83220000000000005</v>
      </c>
      <c r="D132" s="95" t="s">
        <v>232</v>
      </c>
      <c r="E132" s="96"/>
      <c r="F132" s="96" t="s">
        <v>252</v>
      </c>
      <c r="G132" s="97">
        <v>560</v>
      </c>
      <c r="H132" s="98">
        <f t="shared" si="0"/>
        <v>93.967999999999961</v>
      </c>
      <c r="I132" s="99">
        <f t="shared" si="1"/>
        <v>5168.239999999998</v>
      </c>
      <c r="J132" s="100">
        <f t="shared" si="3"/>
        <v>28</v>
      </c>
      <c r="K132" s="101">
        <f t="shared" si="2"/>
        <v>-65.967999999999961</v>
      </c>
    </row>
    <row r="133" spans="1:11" ht="12.75" x14ac:dyDescent="0.2">
      <c r="A133" s="92">
        <v>45692</v>
      </c>
      <c r="B133" s="93" t="s">
        <v>35</v>
      </c>
      <c r="C133" s="94">
        <v>0.92210000000000003</v>
      </c>
      <c r="D133" s="95" t="s">
        <v>225</v>
      </c>
      <c r="E133" s="96"/>
      <c r="F133" s="96"/>
      <c r="G133" s="97">
        <v>559</v>
      </c>
      <c r="H133" s="98">
        <f t="shared" si="0"/>
        <v>43.546100000000024</v>
      </c>
      <c r="I133" s="99">
        <f t="shared" si="1"/>
        <v>2395.0355000000013</v>
      </c>
      <c r="J133" s="100">
        <f t="shared" si="3"/>
        <v>27.950000000000045</v>
      </c>
      <c r="K133" s="101">
        <f t="shared" si="2"/>
        <v>-15.596099999999979</v>
      </c>
    </row>
    <row r="134" spans="1:11" ht="12.75" x14ac:dyDescent="0.2">
      <c r="A134" s="92">
        <v>45693</v>
      </c>
      <c r="B134" s="93" t="s">
        <v>37</v>
      </c>
      <c r="C134" s="94">
        <v>0.94410000000000005</v>
      </c>
      <c r="D134" s="95" t="s">
        <v>225</v>
      </c>
      <c r="E134" s="96"/>
      <c r="F134" s="96"/>
      <c r="G134" s="97">
        <v>560</v>
      </c>
      <c r="H134" s="98">
        <f t="shared" si="0"/>
        <v>31.303999999999974</v>
      </c>
      <c r="I134" s="99">
        <f t="shared" si="1"/>
        <v>1721.7199999999984</v>
      </c>
      <c r="J134" s="100">
        <f t="shared" si="3"/>
        <v>28</v>
      </c>
      <c r="K134" s="101">
        <f t="shared" si="2"/>
        <v>-3.3039999999999736</v>
      </c>
    </row>
    <row r="135" spans="1:11" ht="12.75" x14ac:dyDescent="0.2">
      <c r="A135" s="92">
        <v>45694</v>
      </c>
      <c r="B135" s="93" t="s">
        <v>39</v>
      </c>
      <c r="C135" s="94">
        <v>0.92330000000000001</v>
      </c>
      <c r="D135" s="95" t="s">
        <v>225</v>
      </c>
      <c r="E135" s="96"/>
      <c r="F135" s="96"/>
      <c r="G135" s="97">
        <v>560</v>
      </c>
      <c r="H135" s="98">
        <f t="shared" si="0"/>
        <v>42.951999999999998</v>
      </c>
      <c r="I135" s="99">
        <f t="shared" si="1"/>
        <v>2362.3599999999997</v>
      </c>
      <c r="J135" s="100">
        <f t="shared" si="3"/>
        <v>28</v>
      </c>
      <c r="K135" s="101">
        <f t="shared" si="2"/>
        <v>-14.951999999999998</v>
      </c>
    </row>
    <row r="136" spans="1:11" ht="12.75" x14ac:dyDescent="0.2">
      <c r="A136" s="92">
        <v>45695</v>
      </c>
      <c r="B136" s="93" t="s">
        <v>41</v>
      </c>
      <c r="C136" s="94">
        <v>0.88939999999999997</v>
      </c>
      <c r="D136" s="95" t="s">
        <v>226</v>
      </c>
      <c r="E136" s="96"/>
      <c r="F136" s="96"/>
      <c r="G136" s="97">
        <v>560</v>
      </c>
      <c r="H136" s="98">
        <f t="shared" si="0"/>
        <v>61.936000000000035</v>
      </c>
      <c r="I136" s="99">
        <f t="shared" si="1"/>
        <v>3406.4800000000018</v>
      </c>
      <c r="J136" s="100">
        <f t="shared" si="3"/>
        <v>28</v>
      </c>
      <c r="K136" s="101">
        <f t="shared" si="2"/>
        <v>-33.936000000000035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0"/>
        <v>0</v>
      </c>
      <c r="I137" s="99">
        <f t="shared" si="1"/>
        <v>0</v>
      </c>
      <c r="J137" s="100">
        <f t="shared" si="3"/>
        <v>0</v>
      </c>
      <c r="K137" s="101">
        <f t="shared" si="2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0"/>
        <v>0</v>
      </c>
      <c r="I138" s="99">
        <f t="shared" si="1"/>
        <v>0</v>
      </c>
      <c r="J138" s="100">
        <f t="shared" si="3"/>
        <v>0</v>
      </c>
      <c r="K138" s="101">
        <f t="shared" si="2"/>
        <v>0</v>
      </c>
    </row>
    <row r="139" spans="1:11" ht="12.75" x14ac:dyDescent="0.2">
      <c r="A139" s="92">
        <v>45700</v>
      </c>
      <c r="B139" s="93" t="s">
        <v>37</v>
      </c>
      <c r="C139" s="94">
        <v>0.89180000000000004</v>
      </c>
      <c r="D139" s="95" t="s">
        <v>232</v>
      </c>
      <c r="E139" s="96"/>
      <c r="F139" s="96"/>
      <c r="G139" s="97">
        <v>562</v>
      </c>
      <c r="H139" s="98">
        <f t="shared" si="0"/>
        <v>60.808400000000006</v>
      </c>
      <c r="I139" s="99">
        <f t="shared" si="1"/>
        <v>3344.4620000000004</v>
      </c>
      <c r="J139" s="100">
        <f t="shared" si="3"/>
        <v>28.100000000000023</v>
      </c>
      <c r="K139" s="101">
        <f t="shared" si="2"/>
        <v>-32.708399999999983</v>
      </c>
    </row>
    <row r="140" spans="1:11" ht="12.75" x14ac:dyDescent="0.2">
      <c r="A140" s="92">
        <v>45701</v>
      </c>
      <c r="B140" s="93" t="s">
        <v>39</v>
      </c>
      <c r="C140" s="94">
        <v>0.91579999999999995</v>
      </c>
      <c r="D140" s="95" t="s">
        <v>225</v>
      </c>
      <c r="E140" s="96"/>
      <c r="F140" s="96"/>
      <c r="G140" s="97">
        <v>562</v>
      </c>
      <c r="H140" s="98">
        <f t="shared" si="0"/>
        <v>47.320400000000063</v>
      </c>
      <c r="I140" s="99">
        <f t="shared" si="1"/>
        <v>2602.6220000000035</v>
      </c>
      <c r="J140" s="100">
        <f t="shared" si="3"/>
        <v>28.100000000000023</v>
      </c>
      <c r="K140" s="101">
        <f t="shared" si="2"/>
        <v>-19.220400000000041</v>
      </c>
    </row>
    <row r="141" spans="1:11" ht="12.75" x14ac:dyDescent="0.2">
      <c r="A141" s="92">
        <v>45702</v>
      </c>
      <c r="B141" s="93" t="s">
        <v>41</v>
      </c>
      <c r="C141" s="94">
        <v>0.95750000000000002</v>
      </c>
      <c r="D141" s="95" t="s">
        <v>225</v>
      </c>
      <c r="E141" s="96"/>
      <c r="F141" s="96"/>
      <c r="G141" s="97">
        <v>565</v>
      </c>
      <c r="H141" s="98">
        <f t="shared" si="0"/>
        <v>24.012500000000045</v>
      </c>
      <c r="I141" s="99">
        <f t="shared" si="1"/>
        <v>1320.6875000000025</v>
      </c>
      <c r="J141" s="100">
        <f t="shared" si="3"/>
        <v>28.25</v>
      </c>
      <c r="K141" s="101">
        <f t="shared" si="2"/>
        <v>4.2374999999999545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0"/>
        <v>0</v>
      </c>
      <c r="I142" s="99">
        <f t="shared" si="1"/>
        <v>0</v>
      </c>
      <c r="J142" s="100">
        <f t="shared" si="3"/>
        <v>0</v>
      </c>
      <c r="K142" s="101">
        <f t="shared" si="2"/>
        <v>0</v>
      </c>
    </row>
    <row r="143" spans="1:11" ht="12.75" x14ac:dyDescent="0.2">
      <c r="A143" s="92">
        <v>45706</v>
      </c>
      <c r="B143" s="93" t="s">
        <v>35</v>
      </c>
      <c r="C143" s="94">
        <v>0.91379999999999995</v>
      </c>
      <c r="D143" s="95" t="s">
        <v>225</v>
      </c>
      <c r="E143" s="96"/>
      <c r="F143" s="96"/>
      <c r="G143" s="97">
        <v>563</v>
      </c>
      <c r="H143" s="98">
        <f t="shared" si="0"/>
        <v>48.530600000000049</v>
      </c>
      <c r="I143" s="99">
        <f t="shared" si="1"/>
        <v>2669.1830000000027</v>
      </c>
      <c r="J143" s="100">
        <f t="shared" si="3"/>
        <v>28.149999999999977</v>
      </c>
      <c r="K143" s="101">
        <f t="shared" si="2"/>
        <v>-20.380600000000072</v>
      </c>
    </row>
    <row r="144" spans="1:11" ht="12.75" x14ac:dyDescent="0.2">
      <c r="A144" s="92">
        <v>45707</v>
      </c>
      <c r="B144" s="93" t="s">
        <v>37</v>
      </c>
      <c r="C144" s="94">
        <v>0.90069999999999995</v>
      </c>
      <c r="D144" s="95" t="s">
        <v>225</v>
      </c>
      <c r="E144" s="96"/>
      <c r="F144" s="96"/>
      <c r="G144" s="97">
        <v>563</v>
      </c>
      <c r="H144" s="98">
        <f t="shared" si="0"/>
        <v>55.905900000000031</v>
      </c>
      <c r="I144" s="99">
        <f t="shared" si="1"/>
        <v>3074.8245000000015</v>
      </c>
      <c r="J144" s="100">
        <f t="shared" si="3"/>
        <v>28.149999999999977</v>
      </c>
      <c r="K144" s="101">
        <f t="shared" si="2"/>
        <v>-27.755900000000054</v>
      </c>
    </row>
    <row r="145" spans="1:11" ht="12.75" x14ac:dyDescent="0.2">
      <c r="A145" s="92">
        <v>45708</v>
      </c>
      <c r="B145" s="93" t="s">
        <v>39</v>
      </c>
      <c r="C145" s="94">
        <v>0.81220000000000003</v>
      </c>
      <c r="D145" s="95" t="s">
        <v>232</v>
      </c>
      <c r="E145" s="96" t="s">
        <v>246</v>
      </c>
      <c r="F145" s="96"/>
      <c r="G145" s="97">
        <v>563</v>
      </c>
      <c r="H145" s="98">
        <f t="shared" si="0"/>
        <v>105.73140000000001</v>
      </c>
      <c r="I145" s="99">
        <f t="shared" si="1"/>
        <v>5815.2270000000008</v>
      </c>
      <c r="J145" s="100">
        <f t="shared" si="3"/>
        <v>28.149999999999977</v>
      </c>
      <c r="K145" s="101">
        <f t="shared" si="2"/>
        <v>-77.581400000000031</v>
      </c>
    </row>
    <row r="146" spans="1:11" ht="12.75" x14ac:dyDescent="0.2">
      <c r="A146" s="92">
        <v>45709</v>
      </c>
      <c r="B146" s="93" t="s">
        <v>41</v>
      </c>
      <c r="C146" s="94">
        <v>0.85589999999999999</v>
      </c>
      <c r="D146" s="95" t="s">
        <v>232</v>
      </c>
      <c r="E146" s="96" t="s">
        <v>246</v>
      </c>
      <c r="F146" s="96" t="s">
        <v>253</v>
      </c>
      <c r="G146" s="97">
        <v>563</v>
      </c>
      <c r="H146" s="98">
        <f t="shared" si="0"/>
        <v>81.128300000000024</v>
      </c>
      <c r="I146" s="99">
        <f t="shared" si="1"/>
        <v>4462.0565000000015</v>
      </c>
      <c r="J146" s="100">
        <f t="shared" si="3"/>
        <v>28.149999999999977</v>
      </c>
      <c r="K146" s="101">
        <f t="shared" si="2"/>
        <v>-52.978300000000047</v>
      </c>
    </row>
    <row r="147" spans="1:11" ht="25.5" x14ac:dyDescent="0.2">
      <c r="A147" s="92">
        <v>45712</v>
      </c>
      <c r="B147" s="93" t="s">
        <v>33</v>
      </c>
      <c r="C147" s="94">
        <v>0.86850000000000005</v>
      </c>
      <c r="D147" s="95" t="s">
        <v>232</v>
      </c>
      <c r="E147" s="96" t="s">
        <v>233</v>
      </c>
      <c r="F147" s="96" t="s">
        <v>254</v>
      </c>
      <c r="G147" s="97">
        <v>565</v>
      </c>
      <c r="H147" s="98">
        <f t="shared" si="0"/>
        <v>74.297499999999957</v>
      </c>
      <c r="I147" s="99">
        <f t="shared" si="1"/>
        <v>4086.3624999999975</v>
      </c>
      <c r="J147" s="100">
        <f t="shared" si="3"/>
        <v>28.25</v>
      </c>
      <c r="K147" s="101">
        <f t="shared" si="2"/>
        <v>-46.047499999999957</v>
      </c>
    </row>
    <row r="148" spans="1:11" ht="12.75" x14ac:dyDescent="0.2">
      <c r="A148" s="92">
        <v>45713</v>
      </c>
      <c r="B148" s="93" t="s">
        <v>35</v>
      </c>
      <c r="C148" s="94">
        <v>0.877</v>
      </c>
      <c r="D148" s="95" t="s">
        <v>227</v>
      </c>
      <c r="E148" s="96" t="s">
        <v>228</v>
      </c>
      <c r="F148" s="96" t="s">
        <v>255</v>
      </c>
      <c r="G148" s="97">
        <v>565</v>
      </c>
      <c r="H148" s="98">
        <f t="shared" si="0"/>
        <v>69.495000000000005</v>
      </c>
      <c r="I148" s="99">
        <f t="shared" si="1"/>
        <v>3822.2250000000004</v>
      </c>
      <c r="J148" s="100">
        <f t="shared" si="3"/>
        <v>28.25</v>
      </c>
      <c r="K148" s="101">
        <f t="shared" si="2"/>
        <v>-41.245000000000005</v>
      </c>
    </row>
    <row r="149" spans="1:11" ht="12.75" x14ac:dyDescent="0.2">
      <c r="A149" s="92">
        <v>45714</v>
      </c>
      <c r="B149" s="93" t="s">
        <v>37</v>
      </c>
      <c r="C149" s="94">
        <v>0.8931</v>
      </c>
      <c r="D149" s="95" t="s">
        <v>232</v>
      </c>
      <c r="E149" s="96" t="s">
        <v>228</v>
      </c>
      <c r="F149" s="96" t="s">
        <v>256</v>
      </c>
      <c r="G149" s="97">
        <v>565</v>
      </c>
      <c r="H149" s="98">
        <f t="shared" si="0"/>
        <v>60.398500000000013</v>
      </c>
      <c r="I149" s="99">
        <f t="shared" si="1"/>
        <v>3321.9175000000005</v>
      </c>
      <c r="J149" s="100">
        <f t="shared" si="3"/>
        <v>28.25</v>
      </c>
      <c r="K149" s="101">
        <f t="shared" si="2"/>
        <v>-32.148500000000013</v>
      </c>
    </row>
    <row r="150" spans="1:11" ht="12.75" x14ac:dyDescent="0.2">
      <c r="A150" s="92">
        <v>45715</v>
      </c>
      <c r="B150" s="93" t="s">
        <v>39</v>
      </c>
      <c r="C150" s="94">
        <v>0.89949999999999997</v>
      </c>
      <c r="D150" s="95" t="s">
        <v>232</v>
      </c>
      <c r="E150" s="96" t="s">
        <v>228</v>
      </c>
      <c r="F150" s="96" t="s">
        <v>257</v>
      </c>
      <c r="G150" s="97">
        <v>563</v>
      </c>
      <c r="H150" s="98">
        <f t="shared" si="0"/>
        <v>56.581500000000005</v>
      </c>
      <c r="I150" s="99">
        <f t="shared" si="1"/>
        <v>3111.9825000000001</v>
      </c>
      <c r="J150" s="100">
        <f t="shared" si="3"/>
        <v>28.149999999999977</v>
      </c>
      <c r="K150" s="101">
        <f t="shared" si="2"/>
        <v>-28.431500000000028</v>
      </c>
    </row>
    <row r="151" spans="1:11" ht="12.75" x14ac:dyDescent="0.2">
      <c r="A151" s="92">
        <v>45716</v>
      </c>
      <c r="B151" s="93" t="s">
        <v>41</v>
      </c>
      <c r="C151" s="94">
        <v>0.87319999999999998</v>
      </c>
      <c r="D151" s="95" t="s">
        <v>227</v>
      </c>
      <c r="E151" s="96" t="s">
        <v>228</v>
      </c>
      <c r="F151" s="96" t="s">
        <v>256</v>
      </c>
      <c r="G151" s="97">
        <v>563</v>
      </c>
      <c r="H151" s="98">
        <f t="shared" si="0"/>
        <v>71.38839999999999</v>
      </c>
      <c r="I151" s="99">
        <f t="shared" si="1"/>
        <v>3926.3619999999996</v>
      </c>
      <c r="J151" s="100">
        <f t="shared" si="3"/>
        <v>28.149999999999977</v>
      </c>
      <c r="K151" s="101">
        <f t="shared" si="2"/>
        <v>-43.238400000000013</v>
      </c>
    </row>
    <row r="152" spans="1:11" ht="12.75" x14ac:dyDescent="0.2">
      <c r="A152" s="92">
        <v>45719</v>
      </c>
      <c r="B152" s="93" t="s">
        <v>33</v>
      </c>
      <c r="C152" s="94">
        <v>0.9294</v>
      </c>
      <c r="D152" s="95" t="s">
        <v>225</v>
      </c>
      <c r="E152" s="96"/>
      <c r="F152" s="96"/>
      <c r="G152" s="97">
        <v>566</v>
      </c>
      <c r="H152" s="98">
        <f t="shared" si="0"/>
        <v>39.959600000000023</v>
      </c>
      <c r="I152" s="99">
        <f t="shared" si="1"/>
        <v>2197.7780000000012</v>
      </c>
      <c r="J152" s="100">
        <f t="shared" si="3"/>
        <v>28.300000000000068</v>
      </c>
      <c r="K152" s="101">
        <f t="shared" si="2"/>
        <v>-11.659599999999955</v>
      </c>
    </row>
    <row r="153" spans="1:11" ht="12.75" x14ac:dyDescent="0.2">
      <c r="A153" s="92">
        <v>45720</v>
      </c>
      <c r="B153" s="93" t="s">
        <v>35</v>
      </c>
      <c r="C153" s="94">
        <v>0.90880000000000005</v>
      </c>
      <c r="D153" s="95" t="s">
        <v>225</v>
      </c>
      <c r="E153" s="96"/>
      <c r="F153" s="96"/>
      <c r="G153" s="97">
        <v>566</v>
      </c>
      <c r="H153" s="98">
        <f t="shared" si="0"/>
        <v>51.619199999999978</v>
      </c>
      <c r="I153" s="99">
        <f t="shared" si="1"/>
        <v>2839.0559999999987</v>
      </c>
      <c r="J153" s="100">
        <f t="shared" si="3"/>
        <v>28.300000000000068</v>
      </c>
      <c r="K153" s="101">
        <f t="shared" si="2"/>
        <v>-23.31919999999991</v>
      </c>
    </row>
    <row r="154" spans="1:11" ht="12.75" x14ac:dyDescent="0.2">
      <c r="A154" s="92">
        <v>45721</v>
      </c>
      <c r="B154" s="93" t="s">
        <v>37</v>
      </c>
      <c r="C154" s="94">
        <v>0.92630000000000001</v>
      </c>
      <c r="D154" s="95" t="s">
        <v>225</v>
      </c>
      <c r="E154" s="96"/>
      <c r="F154" s="96"/>
      <c r="G154" s="97">
        <v>567</v>
      </c>
      <c r="H154" s="98">
        <f t="shared" si="0"/>
        <v>41.787900000000036</v>
      </c>
      <c r="I154" s="99">
        <f t="shared" si="1"/>
        <v>2298.3345000000018</v>
      </c>
      <c r="J154" s="100">
        <f t="shared" si="3"/>
        <v>28.350000000000023</v>
      </c>
      <c r="K154" s="101">
        <f t="shared" si="2"/>
        <v>-13.437900000000013</v>
      </c>
    </row>
    <row r="155" spans="1:11" ht="12.75" x14ac:dyDescent="0.2">
      <c r="A155" s="92">
        <v>45722</v>
      </c>
      <c r="B155" s="93" t="s">
        <v>39</v>
      </c>
      <c r="C155" s="94">
        <v>0.9284</v>
      </c>
      <c r="D155" s="95" t="s">
        <v>225</v>
      </c>
      <c r="E155" s="96"/>
      <c r="F155" s="96"/>
      <c r="G155" s="97">
        <v>567</v>
      </c>
      <c r="H155" s="98">
        <f t="shared" si="0"/>
        <v>40.597200000000043</v>
      </c>
      <c r="I155" s="99">
        <f t="shared" si="1"/>
        <v>2232.8460000000023</v>
      </c>
      <c r="J155" s="100">
        <f t="shared" si="3"/>
        <v>28.350000000000023</v>
      </c>
      <c r="K155" s="101">
        <f t="shared" si="2"/>
        <v>-12.247200000000021</v>
      </c>
    </row>
    <row r="156" spans="1:11" ht="12.75" x14ac:dyDescent="0.2">
      <c r="A156" s="92">
        <v>45723</v>
      </c>
      <c r="B156" s="93" t="s">
        <v>41</v>
      </c>
      <c r="C156" s="94">
        <v>0.90239999999999998</v>
      </c>
      <c r="D156" s="95" t="s">
        <v>225</v>
      </c>
      <c r="E156" s="96"/>
      <c r="F156" s="96"/>
      <c r="G156" s="97">
        <v>567</v>
      </c>
      <c r="H156" s="98">
        <f t="shared" si="0"/>
        <v>55.339200000000005</v>
      </c>
      <c r="I156" s="99">
        <f t="shared" si="1"/>
        <v>3043.6560000000004</v>
      </c>
      <c r="J156" s="100">
        <f t="shared" si="3"/>
        <v>28.350000000000023</v>
      </c>
      <c r="K156" s="101">
        <f t="shared" si="2"/>
        <v>-26.989199999999983</v>
      </c>
    </row>
    <row r="157" spans="1:11" ht="25.5" x14ac:dyDescent="0.2">
      <c r="A157" s="123">
        <v>45726</v>
      </c>
      <c r="B157" s="124" t="s">
        <v>33</v>
      </c>
      <c r="C157" s="94">
        <v>0.86519999999999997</v>
      </c>
      <c r="D157" s="95" t="s">
        <v>232</v>
      </c>
      <c r="E157" s="96"/>
      <c r="F157" s="96" t="s">
        <v>258</v>
      </c>
      <c r="G157" s="97">
        <v>566</v>
      </c>
      <c r="H157" s="98">
        <f t="shared" si="0"/>
        <v>76.296800000000019</v>
      </c>
      <c r="I157" s="99">
        <f t="shared" si="1"/>
        <v>4196.3240000000014</v>
      </c>
      <c r="J157" s="100">
        <f t="shared" si="3"/>
        <v>28.300000000000068</v>
      </c>
      <c r="K157" s="101">
        <f t="shared" si="2"/>
        <v>-47.996799999999951</v>
      </c>
    </row>
    <row r="158" spans="1:11" ht="12.75" x14ac:dyDescent="0.2">
      <c r="A158" s="123">
        <v>45727</v>
      </c>
      <c r="B158" s="124" t="s">
        <v>35</v>
      </c>
      <c r="C158" s="94">
        <v>0.90780000000000005</v>
      </c>
      <c r="D158" s="95" t="s">
        <v>225</v>
      </c>
      <c r="E158" s="96"/>
      <c r="F158" s="96"/>
      <c r="G158" s="97">
        <v>567</v>
      </c>
      <c r="H158" s="98">
        <f t="shared" si="0"/>
        <v>52.277399999999943</v>
      </c>
      <c r="I158" s="99">
        <f t="shared" si="1"/>
        <v>2875.2569999999969</v>
      </c>
      <c r="J158" s="100">
        <f t="shared" si="3"/>
        <v>28.350000000000023</v>
      </c>
      <c r="K158" s="101">
        <f t="shared" si="2"/>
        <v>-23.927399999999921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0"/>
        <v>0</v>
      </c>
      <c r="I159" s="99">
        <f t="shared" si="1"/>
        <v>0</v>
      </c>
      <c r="J159" s="100">
        <f t="shared" si="3"/>
        <v>0</v>
      </c>
      <c r="K159" s="101">
        <f t="shared" si="2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0"/>
        <v>0</v>
      </c>
      <c r="I160" s="99">
        <f t="shared" si="1"/>
        <v>0</v>
      </c>
      <c r="J160" s="100">
        <f t="shared" si="3"/>
        <v>0</v>
      </c>
      <c r="K160" s="101">
        <f t="shared" si="2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0"/>
        <v>0</v>
      </c>
      <c r="I161" s="99">
        <f t="shared" si="1"/>
        <v>0</v>
      </c>
      <c r="J161" s="100">
        <f t="shared" si="3"/>
        <v>0</v>
      </c>
      <c r="K161" s="101">
        <f t="shared" si="2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0"/>
        <v>0</v>
      </c>
      <c r="I162" s="99">
        <f t="shared" si="1"/>
        <v>0</v>
      </c>
      <c r="J162" s="100">
        <f t="shared" si="3"/>
        <v>0</v>
      </c>
      <c r="K162" s="101">
        <f t="shared" si="2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0"/>
        <v>0</v>
      </c>
      <c r="I163" s="99">
        <f t="shared" si="1"/>
        <v>0</v>
      </c>
      <c r="J163" s="100">
        <f t="shared" si="3"/>
        <v>0</v>
      </c>
      <c r="K163" s="101">
        <f t="shared" si="2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0"/>
        <v>0</v>
      </c>
      <c r="I164" s="99">
        <f t="shared" si="1"/>
        <v>0</v>
      </c>
      <c r="J164" s="100">
        <f t="shared" si="3"/>
        <v>0</v>
      </c>
      <c r="K164" s="101">
        <f t="shared" si="2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0"/>
        <v>0</v>
      </c>
      <c r="I165" s="99">
        <f t="shared" si="1"/>
        <v>0</v>
      </c>
      <c r="J165" s="100">
        <f t="shared" si="3"/>
        <v>0</v>
      </c>
      <c r="K165" s="101">
        <f t="shared" si="2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0"/>
        <v>0</v>
      </c>
      <c r="I166" s="99">
        <f t="shared" si="1"/>
        <v>0</v>
      </c>
      <c r="J166" s="100">
        <f t="shared" si="3"/>
        <v>0</v>
      </c>
      <c r="K166" s="101">
        <f t="shared" si="2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0"/>
        <v>0</v>
      </c>
      <c r="I167" s="99">
        <f t="shared" si="1"/>
        <v>0</v>
      </c>
      <c r="J167" s="100">
        <f t="shared" si="3"/>
        <v>0</v>
      </c>
      <c r="K167" s="101">
        <f t="shared" si="2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0"/>
        <v>0</v>
      </c>
      <c r="I168" s="99">
        <f t="shared" si="1"/>
        <v>0</v>
      </c>
      <c r="J168" s="100">
        <f t="shared" si="3"/>
        <v>0</v>
      </c>
      <c r="K168" s="101">
        <f t="shared" si="2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0"/>
        <v>0</v>
      </c>
      <c r="I169" s="99">
        <f t="shared" si="1"/>
        <v>0</v>
      </c>
      <c r="J169" s="100">
        <f t="shared" si="3"/>
        <v>0</v>
      </c>
      <c r="K169" s="101">
        <f t="shared" si="2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0"/>
        <v>0</v>
      </c>
      <c r="I170" s="99">
        <f t="shared" si="1"/>
        <v>0</v>
      </c>
      <c r="J170" s="100">
        <f t="shared" si="3"/>
        <v>0</v>
      </c>
      <c r="K170" s="101">
        <f t="shared" si="2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0"/>
        <v>0</v>
      </c>
      <c r="I171" s="99">
        <f t="shared" si="1"/>
        <v>0</v>
      </c>
      <c r="J171" s="100">
        <f t="shared" si="3"/>
        <v>0</v>
      </c>
      <c r="K171" s="101">
        <f t="shared" si="2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0"/>
        <v>0</v>
      </c>
      <c r="I172" s="99">
        <f t="shared" si="1"/>
        <v>0</v>
      </c>
      <c r="J172" s="100">
        <f t="shared" si="3"/>
        <v>0</v>
      </c>
      <c r="K172" s="101">
        <f t="shared" si="2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0"/>
        <v>0</v>
      </c>
      <c r="I173" s="99">
        <f t="shared" si="1"/>
        <v>0</v>
      </c>
      <c r="J173" s="100">
        <f t="shared" si="3"/>
        <v>0</v>
      </c>
      <c r="K173" s="101">
        <f t="shared" si="2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0"/>
        <v>0</v>
      </c>
      <c r="I174" s="99">
        <f t="shared" si="1"/>
        <v>0</v>
      </c>
      <c r="J174" s="100">
        <f t="shared" si="3"/>
        <v>0</v>
      </c>
      <c r="K174" s="101">
        <f t="shared" si="2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0"/>
        <v>0</v>
      </c>
      <c r="I175" s="99">
        <f t="shared" si="1"/>
        <v>0</v>
      </c>
      <c r="J175" s="100">
        <f t="shared" si="3"/>
        <v>0</v>
      </c>
      <c r="K175" s="101">
        <f t="shared" si="2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0"/>
        <v>0</v>
      </c>
      <c r="I176" s="99">
        <f t="shared" si="1"/>
        <v>0</v>
      </c>
      <c r="J176" s="100">
        <f t="shared" si="3"/>
        <v>0</v>
      </c>
      <c r="K176" s="101">
        <f t="shared" si="2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0"/>
        <v>0</v>
      </c>
      <c r="I177" s="99">
        <f t="shared" si="1"/>
        <v>0</v>
      </c>
      <c r="J177" s="100">
        <f t="shared" si="3"/>
        <v>0</v>
      </c>
      <c r="K177" s="101">
        <f t="shared" si="2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0"/>
        <v>0</v>
      </c>
      <c r="I178" s="99">
        <f t="shared" si="1"/>
        <v>0</v>
      </c>
      <c r="J178" s="100">
        <f t="shared" si="3"/>
        <v>0</v>
      </c>
      <c r="K178" s="101">
        <f t="shared" si="2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0"/>
        <v>0</v>
      </c>
      <c r="I179" s="99">
        <f t="shared" si="1"/>
        <v>0</v>
      </c>
      <c r="J179" s="100">
        <f t="shared" si="3"/>
        <v>0</v>
      </c>
      <c r="K179" s="101">
        <f t="shared" si="2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0"/>
        <v>0</v>
      </c>
      <c r="I180" s="99">
        <f t="shared" si="1"/>
        <v>0</v>
      </c>
      <c r="J180" s="100">
        <f t="shared" si="3"/>
        <v>0</v>
      </c>
      <c r="K180" s="101">
        <f t="shared" si="2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0"/>
        <v>0</v>
      </c>
      <c r="I181" s="99">
        <f t="shared" si="1"/>
        <v>0</v>
      </c>
      <c r="J181" s="100">
        <f t="shared" si="3"/>
        <v>0</v>
      </c>
      <c r="K181" s="101">
        <f t="shared" si="2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0"/>
        <v>0</v>
      </c>
      <c r="I182" s="99">
        <f t="shared" si="1"/>
        <v>0</v>
      </c>
      <c r="J182" s="100">
        <f t="shared" si="3"/>
        <v>0</v>
      </c>
      <c r="K182" s="101">
        <f t="shared" si="2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0"/>
        <v>0</v>
      </c>
      <c r="I183" s="99">
        <f t="shared" si="1"/>
        <v>0</v>
      </c>
      <c r="J183" s="100">
        <f t="shared" si="3"/>
        <v>0</v>
      </c>
      <c r="K183" s="101">
        <f t="shared" si="2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0"/>
        <v>0</v>
      </c>
      <c r="I184" s="99">
        <f t="shared" si="1"/>
        <v>0</v>
      </c>
      <c r="J184" s="100">
        <f t="shared" si="3"/>
        <v>0</v>
      </c>
      <c r="K184" s="101">
        <f t="shared" si="2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0"/>
        <v>0</v>
      </c>
      <c r="I185" s="99">
        <f t="shared" si="1"/>
        <v>0</v>
      </c>
      <c r="J185" s="100">
        <f t="shared" si="3"/>
        <v>0</v>
      </c>
      <c r="K185" s="101">
        <f t="shared" si="2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0"/>
        <v>0</v>
      </c>
      <c r="I186" s="99">
        <f t="shared" si="1"/>
        <v>0</v>
      </c>
      <c r="J186" s="100">
        <f t="shared" si="3"/>
        <v>0</v>
      </c>
      <c r="K186" s="101">
        <f t="shared" si="2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0"/>
        <v>0</v>
      </c>
      <c r="I187" s="99">
        <f t="shared" si="1"/>
        <v>0</v>
      </c>
      <c r="J187" s="100">
        <f t="shared" si="3"/>
        <v>0</v>
      </c>
      <c r="K187" s="101">
        <f t="shared" si="2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0"/>
        <v>0</v>
      </c>
      <c r="I188" s="99">
        <f t="shared" si="1"/>
        <v>0</v>
      </c>
      <c r="J188" s="100">
        <f t="shared" si="3"/>
        <v>0</v>
      </c>
      <c r="K188" s="101">
        <f t="shared" si="2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0"/>
        <v>0</v>
      </c>
      <c r="I189" s="99">
        <f t="shared" si="1"/>
        <v>0</v>
      </c>
      <c r="J189" s="100">
        <f t="shared" si="3"/>
        <v>0</v>
      </c>
      <c r="K189" s="101">
        <f t="shared" si="2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0"/>
        <v>0</v>
      </c>
      <c r="I190" s="99">
        <f t="shared" si="1"/>
        <v>0</v>
      </c>
      <c r="J190" s="100">
        <f t="shared" si="3"/>
        <v>0</v>
      </c>
      <c r="K190" s="101">
        <f t="shared" si="2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0"/>
        <v>0</v>
      </c>
      <c r="I191" s="99">
        <f t="shared" si="1"/>
        <v>0</v>
      </c>
      <c r="J191" s="100">
        <f t="shared" si="3"/>
        <v>0</v>
      </c>
      <c r="K191" s="101">
        <f t="shared" si="2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0"/>
        <v>0</v>
      </c>
      <c r="I192" s="99">
        <f t="shared" si="1"/>
        <v>0</v>
      </c>
      <c r="J192" s="100">
        <f t="shared" si="3"/>
        <v>0</v>
      </c>
      <c r="K192" s="101">
        <f t="shared" si="2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0"/>
        <v>0</v>
      </c>
      <c r="I193" s="99">
        <f t="shared" si="1"/>
        <v>0</v>
      </c>
      <c r="J193" s="100">
        <f t="shared" si="3"/>
        <v>0</v>
      </c>
      <c r="K193" s="101">
        <f t="shared" si="2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0"/>
        <v>0</v>
      </c>
      <c r="I194" s="99">
        <f t="shared" si="1"/>
        <v>0</v>
      </c>
      <c r="J194" s="100">
        <f t="shared" si="3"/>
        <v>0</v>
      </c>
      <c r="K194" s="101">
        <f t="shared" si="2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0"/>
        <v>0</v>
      </c>
      <c r="I195" s="99">
        <f t="shared" si="1"/>
        <v>0</v>
      </c>
      <c r="J195" s="100">
        <f t="shared" si="3"/>
        <v>0</v>
      </c>
      <c r="K195" s="101">
        <f t="shared" si="2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0"/>
        <v>0</v>
      </c>
      <c r="I196" s="99">
        <f t="shared" si="1"/>
        <v>0</v>
      </c>
      <c r="J196" s="100">
        <f t="shared" si="3"/>
        <v>0</v>
      </c>
      <c r="K196" s="101">
        <f t="shared" si="2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0"/>
        <v>0</v>
      </c>
      <c r="I197" s="99">
        <f t="shared" si="1"/>
        <v>0</v>
      </c>
      <c r="J197" s="100">
        <f t="shared" si="3"/>
        <v>0</v>
      </c>
      <c r="K197" s="101">
        <f t="shared" si="2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0"/>
        <v>0</v>
      </c>
      <c r="I198" s="99">
        <f t="shared" si="1"/>
        <v>0</v>
      </c>
      <c r="J198" s="100">
        <f t="shared" si="3"/>
        <v>0</v>
      </c>
      <c r="K198" s="101">
        <f t="shared" si="2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0"/>
        <v>0</v>
      </c>
      <c r="I199" s="99">
        <f t="shared" si="1"/>
        <v>0</v>
      </c>
      <c r="J199" s="100">
        <f t="shared" si="3"/>
        <v>0</v>
      </c>
      <c r="K199" s="101">
        <f t="shared" si="2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0"/>
        <v>0</v>
      </c>
      <c r="I200" s="99">
        <f t="shared" si="1"/>
        <v>0</v>
      </c>
      <c r="J200" s="100">
        <f t="shared" si="3"/>
        <v>0</v>
      </c>
      <c r="K200" s="101">
        <f t="shared" si="2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0"/>
        <v>0</v>
      </c>
      <c r="I201" s="99">
        <f t="shared" si="1"/>
        <v>0</v>
      </c>
      <c r="J201" s="100">
        <f t="shared" si="3"/>
        <v>0</v>
      </c>
      <c r="K201" s="101">
        <f t="shared" si="2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v>0</v>
      </c>
      <c r="I202" s="99">
        <f t="shared" si="1"/>
        <v>0</v>
      </c>
      <c r="J202" s="100">
        <f t="shared" si="3"/>
        <v>0</v>
      </c>
      <c r="K202" s="101">
        <f t="shared" si="2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>G203-(C202*G203)</f>
        <v>0</v>
      </c>
      <c r="I203" s="99">
        <f t="shared" si="1"/>
        <v>0</v>
      </c>
      <c r="J203" s="100">
        <f t="shared" si="3"/>
        <v>0</v>
      </c>
      <c r="K203" s="101">
        <f t="shared" si="2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ref="H204:H215" si="4">G204-(C204*G204)</f>
        <v>0</v>
      </c>
      <c r="I204" s="99">
        <f t="shared" si="1"/>
        <v>0</v>
      </c>
      <c r="J204" s="100">
        <f t="shared" si="3"/>
        <v>0</v>
      </c>
      <c r="K204" s="101">
        <f t="shared" si="2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4"/>
        <v>0</v>
      </c>
      <c r="I205" s="99">
        <f t="shared" si="1"/>
        <v>0</v>
      </c>
      <c r="J205" s="100">
        <f t="shared" si="3"/>
        <v>0</v>
      </c>
      <c r="K205" s="101">
        <f t="shared" si="2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4"/>
        <v>0</v>
      </c>
      <c r="I206" s="99">
        <f t="shared" si="1"/>
        <v>0</v>
      </c>
      <c r="J206" s="100">
        <f t="shared" si="3"/>
        <v>0</v>
      </c>
      <c r="K206" s="101">
        <f t="shared" si="2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4"/>
        <v>0</v>
      </c>
      <c r="I207" s="99">
        <f t="shared" si="1"/>
        <v>0</v>
      </c>
      <c r="J207" s="100">
        <f t="shared" si="3"/>
        <v>0</v>
      </c>
      <c r="K207" s="101">
        <f t="shared" si="2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4"/>
        <v>0</v>
      </c>
      <c r="I208" s="99">
        <f t="shared" si="1"/>
        <v>0</v>
      </c>
      <c r="J208" s="100">
        <f t="shared" si="3"/>
        <v>0</v>
      </c>
      <c r="K208" s="101">
        <f t="shared" si="2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4"/>
        <v>0</v>
      </c>
      <c r="I209" s="99">
        <f t="shared" si="1"/>
        <v>0</v>
      </c>
      <c r="J209" s="100">
        <f t="shared" si="3"/>
        <v>0</v>
      </c>
      <c r="K209" s="101">
        <f t="shared" si="2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4"/>
        <v>0</v>
      </c>
      <c r="I210" s="99">
        <f t="shared" si="1"/>
        <v>0</v>
      </c>
      <c r="J210" s="100">
        <f t="shared" si="3"/>
        <v>0</v>
      </c>
      <c r="K210" s="101">
        <f t="shared" si="2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4"/>
        <v>0</v>
      </c>
      <c r="I211" s="99">
        <f t="shared" si="1"/>
        <v>0</v>
      </c>
      <c r="J211" s="100">
        <f t="shared" si="3"/>
        <v>0</v>
      </c>
      <c r="K211" s="101">
        <f t="shared" si="2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4"/>
        <v>0</v>
      </c>
      <c r="I212" s="99">
        <f t="shared" si="1"/>
        <v>0</v>
      </c>
      <c r="J212" s="100">
        <f t="shared" si="3"/>
        <v>0</v>
      </c>
      <c r="K212" s="101">
        <f t="shared" si="2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4"/>
        <v>0</v>
      </c>
      <c r="I213" s="99">
        <f t="shared" si="1"/>
        <v>0</v>
      </c>
      <c r="J213" s="100">
        <f t="shared" si="3"/>
        <v>0</v>
      </c>
      <c r="K213" s="101">
        <f t="shared" si="2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4"/>
        <v>0</v>
      </c>
      <c r="I214" s="99">
        <f t="shared" si="1"/>
        <v>0</v>
      </c>
      <c r="J214" s="100">
        <f t="shared" si="3"/>
        <v>0</v>
      </c>
      <c r="K214" s="101">
        <f t="shared" si="2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4"/>
        <v>0</v>
      </c>
      <c r="I215" s="99">
        <f t="shared" si="1"/>
        <v>0</v>
      </c>
      <c r="J215" s="100">
        <f t="shared" si="3"/>
        <v>0</v>
      </c>
      <c r="K215" s="101">
        <f t="shared" si="2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1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55" priority="4" operator="lessThan">
      <formula>"92%"</formula>
    </cfRule>
  </conditionalFormatting>
  <conditionalFormatting sqref="C7:C215">
    <cfRule type="cellIs" dxfId="54" priority="1" operator="lessThan">
      <formula>"90%"</formula>
    </cfRule>
    <cfRule type="cellIs" dxfId="53" priority="2" operator="lessThan">
      <formula>"94%"</formula>
    </cfRule>
  </conditionalFormatting>
  <conditionalFormatting sqref="K1:K853">
    <cfRule type="cellIs" dxfId="52" priority="3" operator="lessThan">
      <formula>0</formula>
    </cfRule>
  </conditionalFormatting>
  <dataValidations count="1">
    <dataValidation type="list" allowBlank="1" sqref="E7:E215" xr:uid="{00000000-0002-0000-01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  <pageSetUpPr fitToPage="1"/>
  </sheetPr>
  <dimension ref="A1:K853"/>
  <sheetViews>
    <sheetView workbookViewId="0">
      <pane ySplit="6" topLeftCell="A148" activePane="bottomLeft" state="frozen"/>
      <selection pane="bottomLeft" activeCell="H158" sqref="H15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8" width="11.7109375" customWidth="1"/>
    <col min="9" max="10" width="16.28515625" customWidth="1"/>
    <col min="11" max="11" width="17.42578125" customWidth="1"/>
  </cols>
  <sheetData>
    <row r="1" spans="1:11" ht="26.25" x14ac:dyDescent="0.35">
      <c r="A1" s="80"/>
      <c r="B1" s="80"/>
      <c r="C1" s="80"/>
      <c r="D1" s="80"/>
      <c r="E1" s="80"/>
      <c r="F1" s="80"/>
      <c r="G1" s="80"/>
      <c r="H1" s="81"/>
      <c r="I1" s="81"/>
      <c r="J1" s="82"/>
      <c r="K1" s="83">
        <f>SUM(K7:K215)</f>
        <v>-2074.8578999999972</v>
      </c>
    </row>
    <row r="2" spans="1:11" x14ac:dyDescent="0.25">
      <c r="A2" s="242" t="s">
        <v>259</v>
      </c>
      <c r="B2" s="206"/>
      <c r="C2" s="206"/>
      <c r="D2" s="206"/>
      <c r="E2" s="206"/>
      <c r="F2" s="206"/>
      <c r="G2" s="206"/>
      <c r="H2" s="251" t="s">
        <v>2</v>
      </c>
      <c r="I2" s="223"/>
      <c r="J2" s="84" t="s">
        <v>212</v>
      </c>
      <c r="K2" s="245" t="s">
        <v>260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52">
        <f>SUM(I7:I128)</f>
        <v>219810.99799999991</v>
      </c>
      <c r="I3" s="244"/>
      <c r="J3" s="247">
        <v>0.95</v>
      </c>
      <c r="K3" s="244"/>
    </row>
    <row r="4" spans="1:11" ht="13.5" x14ac:dyDescent="0.25">
      <c r="A4" s="206"/>
      <c r="B4" s="206"/>
      <c r="C4" s="206"/>
      <c r="D4" s="206"/>
      <c r="E4" s="206"/>
      <c r="F4" s="206"/>
      <c r="G4" s="206"/>
      <c r="H4" s="253" t="s">
        <v>214</v>
      </c>
      <c r="I4" s="244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4">
        <v>55</v>
      </c>
      <c r="I5" s="255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133" t="s">
        <v>222</v>
      </c>
      <c r="I6" s="133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261</v>
      </c>
      <c r="E7" s="96"/>
      <c r="F7" s="96"/>
      <c r="G7" s="97">
        <v>472</v>
      </c>
      <c r="H7" s="98">
        <f t="shared" ref="H7:H37" si="0">G7-(C7*G7)</f>
        <v>0</v>
      </c>
      <c r="I7" s="99">
        <f t="shared" ref="I7:I215" si="1">H7*$H$5</f>
        <v>0</v>
      </c>
      <c r="J7" s="100">
        <v>0</v>
      </c>
      <c r="K7" s="101">
        <f t="shared" ref="K7:K32" si="2">J7-H7</f>
        <v>0</v>
      </c>
    </row>
    <row r="8" spans="1:11" ht="12.75" x14ac:dyDescent="0.2">
      <c r="A8" s="92">
        <v>45517</v>
      </c>
      <c r="B8" s="93" t="s">
        <v>35</v>
      </c>
      <c r="C8" s="94">
        <v>0.98729999999999996</v>
      </c>
      <c r="D8" s="95" t="s">
        <v>261</v>
      </c>
      <c r="E8" s="96"/>
      <c r="F8" s="96"/>
      <c r="G8" s="97">
        <v>485</v>
      </c>
      <c r="H8" s="98">
        <f t="shared" si="0"/>
        <v>6.1595000000000368</v>
      </c>
      <c r="I8" s="99">
        <f t="shared" si="1"/>
        <v>338.77250000000203</v>
      </c>
      <c r="J8" s="100">
        <f t="shared" ref="J8:J37" si="3">G8-(G8*J$3)</f>
        <v>24.25</v>
      </c>
      <c r="K8" s="101">
        <f t="shared" si="2"/>
        <v>18.090499999999963</v>
      </c>
    </row>
    <row r="9" spans="1:11" ht="12.75" x14ac:dyDescent="0.2">
      <c r="A9" s="92">
        <v>45518</v>
      </c>
      <c r="B9" s="93" t="s">
        <v>37</v>
      </c>
      <c r="C9" s="94">
        <v>0.98880000000000001</v>
      </c>
      <c r="D9" s="95" t="s">
        <v>261</v>
      </c>
      <c r="E9" s="96"/>
      <c r="F9" s="96"/>
      <c r="G9" s="97">
        <v>493</v>
      </c>
      <c r="H9" s="98">
        <f t="shared" si="0"/>
        <v>5.5215999999999781</v>
      </c>
      <c r="I9" s="99">
        <f t="shared" si="1"/>
        <v>303.68799999999879</v>
      </c>
      <c r="J9" s="100">
        <f t="shared" si="3"/>
        <v>24.650000000000034</v>
      </c>
      <c r="K9" s="101">
        <f t="shared" si="2"/>
        <v>19.128400000000056</v>
      </c>
    </row>
    <row r="10" spans="1:11" ht="12.75" x14ac:dyDescent="0.2">
      <c r="A10" s="92">
        <v>45519</v>
      </c>
      <c r="B10" s="93" t="s">
        <v>39</v>
      </c>
      <c r="C10" s="94">
        <v>0.9667</v>
      </c>
      <c r="D10" s="95" t="s">
        <v>261</v>
      </c>
      <c r="E10" s="96"/>
      <c r="F10" s="96"/>
      <c r="G10" s="97">
        <v>501</v>
      </c>
      <c r="H10" s="98">
        <f t="shared" si="0"/>
        <v>16.683299999999974</v>
      </c>
      <c r="I10" s="99">
        <f t="shared" si="1"/>
        <v>917.58149999999864</v>
      </c>
      <c r="J10" s="100">
        <f t="shared" si="3"/>
        <v>25.050000000000011</v>
      </c>
      <c r="K10" s="101">
        <f t="shared" si="2"/>
        <v>8.3667000000000371</v>
      </c>
    </row>
    <row r="11" spans="1:11" ht="12.75" x14ac:dyDescent="0.2">
      <c r="A11" s="92">
        <v>45520</v>
      </c>
      <c r="B11" s="93" t="s">
        <v>41</v>
      </c>
      <c r="C11" s="94">
        <v>0.94069999999999998</v>
      </c>
      <c r="D11" s="95" t="s">
        <v>261</v>
      </c>
      <c r="E11" s="96"/>
      <c r="F11" s="96"/>
      <c r="G11" s="97">
        <v>503</v>
      </c>
      <c r="H11" s="98">
        <f t="shared" si="0"/>
        <v>29.8279</v>
      </c>
      <c r="I11" s="99">
        <f t="shared" si="1"/>
        <v>1640.5345</v>
      </c>
      <c r="J11" s="100">
        <f t="shared" si="3"/>
        <v>25.150000000000034</v>
      </c>
      <c r="K11" s="101">
        <f t="shared" si="2"/>
        <v>-4.6778999999999655</v>
      </c>
    </row>
    <row r="12" spans="1:11" ht="12.75" x14ac:dyDescent="0.2">
      <c r="A12" s="92">
        <v>45523</v>
      </c>
      <c r="B12" s="93" t="s">
        <v>33</v>
      </c>
      <c r="C12" s="94">
        <v>0.93289999999999995</v>
      </c>
      <c r="D12" s="95" t="s">
        <v>261</v>
      </c>
      <c r="E12" s="96"/>
      <c r="F12" s="96"/>
      <c r="G12" s="97">
        <v>509</v>
      </c>
      <c r="H12" s="98">
        <f t="shared" si="0"/>
        <v>34.153900000000021</v>
      </c>
      <c r="I12" s="99">
        <f t="shared" si="1"/>
        <v>1878.4645000000012</v>
      </c>
      <c r="J12" s="100">
        <f t="shared" si="3"/>
        <v>25.450000000000045</v>
      </c>
      <c r="K12" s="101">
        <f t="shared" si="2"/>
        <v>-8.703899999999976</v>
      </c>
    </row>
    <row r="13" spans="1:11" ht="12.75" x14ac:dyDescent="0.2">
      <c r="A13" s="92">
        <v>45524</v>
      </c>
      <c r="B13" s="93" t="s">
        <v>35</v>
      </c>
      <c r="C13" s="94">
        <v>0.93589999999999995</v>
      </c>
      <c r="D13" s="95" t="s">
        <v>261</v>
      </c>
      <c r="E13" s="96"/>
      <c r="F13" s="96"/>
      <c r="G13" s="97">
        <v>514</v>
      </c>
      <c r="H13" s="98">
        <f t="shared" si="0"/>
        <v>32.947400000000016</v>
      </c>
      <c r="I13" s="99">
        <f t="shared" si="1"/>
        <v>1812.1070000000009</v>
      </c>
      <c r="J13" s="100">
        <f t="shared" si="3"/>
        <v>25.700000000000045</v>
      </c>
      <c r="K13" s="101">
        <f t="shared" si="2"/>
        <v>-7.2473999999999705</v>
      </c>
    </row>
    <row r="14" spans="1:11" ht="12.75" x14ac:dyDescent="0.2">
      <c r="A14" s="92">
        <v>45525</v>
      </c>
      <c r="B14" s="93" t="s">
        <v>37</v>
      </c>
      <c r="C14" s="94">
        <v>0.92930000000000001</v>
      </c>
      <c r="D14" s="95" t="s">
        <v>261</v>
      </c>
      <c r="E14" s="96"/>
      <c r="F14" s="96"/>
      <c r="G14" s="97">
        <v>519</v>
      </c>
      <c r="H14" s="98">
        <f t="shared" si="0"/>
        <v>36.693299999999965</v>
      </c>
      <c r="I14" s="99">
        <f t="shared" si="1"/>
        <v>2018.1314999999981</v>
      </c>
      <c r="J14" s="100">
        <f t="shared" si="3"/>
        <v>25.950000000000045</v>
      </c>
      <c r="K14" s="101">
        <f t="shared" si="2"/>
        <v>-10.74329999999992</v>
      </c>
    </row>
    <row r="15" spans="1:11" ht="12.75" x14ac:dyDescent="0.2">
      <c r="A15" s="92">
        <v>45526</v>
      </c>
      <c r="B15" s="93" t="s">
        <v>39</v>
      </c>
      <c r="C15" s="94">
        <v>0.94010000000000005</v>
      </c>
      <c r="D15" s="95" t="s">
        <v>261</v>
      </c>
      <c r="E15" s="96"/>
      <c r="F15" s="96"/>
      <c r="G15" s="97">
        <v>520</v>
      </c>
      <c r="H15" s="98">
        <f t="shared" si="0"/>
        <v>31.147999999999968</v>
      </c>
      <c r="I15" s="99">
        <f t="shared" si="1"/>
        <v>1713.1399999999983</v>
      </c>
      <c r="J15" s="100">
        <f t="shared" si="3"/>
        <v>26</v>
      </c>
      <c r="K15" s="101">
        <f t="shared" si="2"/>
        <v>-5.1479999999999677</v>
      </c>
    </row>
    <row r="16" spans="1:11" ht="12.75" x14ac:dyDescent="0.2">
      <c r="A16" s="92">
        <v>45527</v>
      </c>
      <c r="B16" s="93" t="s">
        <v>41</v>
      </c>
      <c r="C16" s="94">
        <v>0.92</v>
      </c>
      <c r="D16" s="95" t="s">
        <v>261</v>
      </c>
      <c r="E16" s="96"/>
      <c r="F16" s="96"/>
      <c r="G16" s="97">
        <v>523</v>
      </c>
      <c r="H16" s="98">
        <f t="shared" si="0"/>
        <v>41.839999999999975</v>
      </c>
      <c r="I16" s="99">
        <f t="shared" si="1"/>
        <v>2301.1999999999985</v>
      </c>
      <c r="J16" s="100">
        <f t="shared" si="3"/>
        <v>26.150000000000034</v>
      </c>
      <c r="K16" s="101">
        <f t="shared" si="2"/>
        <v>-15.689999999999941</v>
      </c>
    </row>
    <row r="17" spans="1:11" ht="12.75" x14ac:dyDescent="0.2">
      <c r="A17" s="92">
        <v>45530</v>
      </c>
      <c r="B17" s="93" t="s">
        <v>33</v>
      </c>
      <c r="C17" s="94">
        <v>0.93079999999999996</v>
      </c>
      <c r="D17" s="95" t="s">
        <v>261</v>
      </c>
      <c r="E17" s="96"/>
      <c r="F17" s="96"/>
      <c r="G17" s="97">
        <v>532</v>
      </c>
      <c r="H17" s="98">
        <f t="shared" si="0"/>
        <v>36.814400000000035</v>
      </c>
      <c r="I17" s="99">
        <f t="shared" si="1"/>
        <v>2024.792000000002</v>
      </c>
      <c r="J17" s="100">
        <f t="shared" si="3"/>
        <v>26.600000000000023</v>
      </c>
      <c r="K17" s="101">
        <f t="shared" si="2"/>
        <v>-10.214400000000012</v>
      </c>
    </row>
    <row r="18" spans="1:11" ht="12.75" x14ac:dyDescent="0.2">
      <c r="A18" s="92">
        <v>45531</v>
      </c>
      <c r="B18" s="93" t="s">
        <v>35</v>
      </c>
      <c r="C18" s="94">
        <v>0.94130000000000003</v>
      </c>
      <c r="D18" s="95" t="s">
        <v>261</v>
      </c>
      <c r="E18" s="96"/>
      <c r="F18" s="96"/>
      <c r="G18" s="97">
        <v>531</v>
      </c>
      <c r="H18" s="98">
        <f t="shared" si="0"/>
        <v>31.169699999999978</v>
      </c>
      <c r="I18" s="99">
        <f t="shared" si="1"/>
        <v>1714.3334999999988</v>
      </c>
      <c r="J18" s="100">
        <f t="shared" si="3"/>
        <v>26.550000000000011</v>
      </c>
      <c r="K18" s="101">
        <f t="shared" si="2"/>
        <v>-4.6196999999999662</v>
      </c>
    </row>
    <row r="19" spans="1:11" ht="12.75" x14ac:dyDescent="0.2">
      <c r="A19" s="92">
        <v>45532</v>
      </c>
      <c r="B19" s="93" t="s">
        <v>37</v>
      </c>
      <c r="C19" s="94">
        <v>0.93940000000000001</v>
      </c>
      <c r="D19" s="95" t="s">
        <v>261</v>
      </c>
      <c r="E19" s="96"/>
      <c r="F19" s="102"/>
      <c r="G19" s="97">
        <v>535</v>
      </c>
      <c r="H19" s="98">
        <f t="shared" si="0"/>
        <v>32.420999999999992</v>
      </c>
      <c r="I19" s="99">
        <f t="shared" si="1"/>
        <v>1783.1549999999995</v>
      </c>
      <c r="J19" s="100">
        <f t="shared" si="3"/>
        <v>26.75</v>
      </c>
      <c r="K19" s="101">
        <f t="shared" si="2"/>
        <v>-5.6709999999999923</v>
      </c>
    </row>
    <row r="20" spans="1:11" ht="12.75" x14ac:dyDescent="0.2">
      <c r="A20" s="92">
        <v>45533</v>
      </c>
      <c r="B20" s="93" t="s">
        <v>39</v>
      </c>
      <c r="C20" s="94">
        <v>0.92649999999999999</v>
      </c>
      <c r="D20" s="95" t="s">
        <v>261</v>
      </c>
      <c r="E20" s="96"/>
      <c r="F20" s="96"/>
      <c r="G20" s="97">
        <v>534</v>
      </c>
      <c r="H20" s="98">
        <f t="shared" si="0"/>
        <v>39.249000000000024</v>
      </c>
      <c r="I20" s="99">
        <f t="shared" si="1"/>
        <v>2158.6950000000015</v>
      </c>
      <c r="J20" s="100">
        <f t="shared" si="3"/>
        <v>26.700000000000045</v>
      </c>
      <c r="K20" s="101">
        <f t="shared" si="2"/>
        <v>-12.548999999999978</v>
      </c>
    </row>
    <row r="21" spans="1:11" ht="12.75" x14ac:dyDescent="0.2">
      <c r="A21" s="92">
        <v>45534</v>
      </c>
      <c r="B21" s="93" t="s">
        <v>41</v>
      </c>
      <c r="C21" s="94">
        <v>0.90900000000000003</v>
      </c>
      <c r="D21" s="95" t="s">
        <v>261</v>
      </c>
      <c r="E21" s="96"/>
      <c r="F21" s="96"/>
      <c r="G21" s="97">
        <v>535</v>
      </c>
      <c r="H21" s="98">
        <f t="shared" si="0"/>
        <v>48.685000000000002</v>
      </c>
      <c r="I21" s="99">
        <f t="shared" si="1"/>
        <v>2677.6750000000002</v>
      </c>
      <c r="J21" s="100">
        <f t="shared" si="3"/>
        <v>26.75</v>
      </c>
      <c r="K21" s="101">
        <f t="shared" si="2"/>
        <v>-21.935000000000002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0.91569999999999996</v>
      </c>
      <c r="D23" s="95" t="s">
        <v>261</v>
      </c>
      <c r="E23" s="96"/>
      <c r="F23" s="96"/>
      <c r="G23" s="97">
        <v>542</v>
      </c>
      <c r="H23" s="98">
        <f t="shared" si="0"/>
        <v>45.690600000000018</v>
      </c>
      <c r="I23" s="99">
        <f t="shared" si="1"/>
        <v>2512.9830000000011</v>
      </c>
      <c r="J23" s="100">
        <f t="shared" si="3"/>
        <v>27.100000000000023</v>
      </c>
      <c r="K23" s="101">
        <f t="shared" si="2"/>
        <v>-18.590599999999995</v>
      </c>
    </row>
    <row r="24" spans="1:11" ht="12.75" x14ac:dyDescent="0.2">
      <c r="A24" s="92">
        <v>45539</v>
      </c>
      <c r="B24" s="93" t="s">
        <v>37</v>
      </c>
      <c r="C24" s="94">
        <v>0.91990000000000005</v>
      </c>
      <c r="D24" s="95" t="s">
        <v>261</v>
      </c>
      <c r="E24" s="96"/>
      <c r="F24" s="96"/>
      <c r="G24" s="97">
        <v>547</v>
      </c>
      <c r="H24" s="98">
        <f t="shared" si="0"/>
        <v>43.814699999999959</v>
      </c>
      <c r="I24" s="99">
        <f t="shared" si="1"/>
        <v>2409.8084999999978</v>
      </c>
      <c r="J24" s="100">
        <f t="shared" si="3"/>
        <v>27.350000000000023</v>
      </c>
      <c r="K24" s="101">
        <f t="shared" si="2"/>
        <v>-16.464699999999937</v>
      </c>
    </row>
    <row r="25" spans="1:11" ht="12.75" x14ac:dyDescent="0.2">
      <c r="A25" s="92">
        <v>45540</v>
      </c>
      <c r="B25" s="93" t="s">
        <v>39</v>
      </c>
      <c r="C25" s="94">
        <v>0.94410000000000005</v>
      </c>
      <c r="D25" s="95" t="s">
        <v>261</v>
      </c>
      <c r="E25" s="96"/>
      <c r="F25" s="96"/>
      <c r="G25" s="97">
        <v>547</v>
      </c>
      <c r="H25" s="98">
        <f t="shared" si="0"/>
        <v>30.577299999999923</v>
      </c>
      <c r="I25" s="99">
        <f t="shared" si="1"/>
        <v>1681.7514999999958</v>
      </c>
      <c r="J25" s="100">
        <f t="shared" si="3"/>
        <v>27.350000000000023</v>
      </c>
      <c r="K25" s="101">
        <f t="shared" si="2"/>
        <v>-3.2272999999999001</v>
      </c>
    </row>
    <row r="26" spans="1:11" ht="12.75" x14ac:dyDescent="0.2">
      <c r="A26" s="92">
        <v>45541</v>
      </c>
      <c r="B26" s="93" t="s">
        <v>41</v>
      </c>
      <c r="C26" s="94">
        <v>0.91459999999999997</v>
      </c>
      <c r="D26" s="95" t="s">
        <v>261</v>
      </c>
      <c r="E26" s="96"/>
      <c r="F26" s="96"/>
      <c r="G26" s="97">
        <v>548</v>
      </c>
      <c r="H26" s="98">
        <f t="shared" si="0"/>
        <v>46.799200000000042</v>
      </c>
      <c r="I26" s="99">
        <f t="shared" si="1"/>
        <v>2573.9560000000024</v>
      </c>
      <c r="J26" s="100">
        <f t="shared" si="3"/>
        <v>27.399999999999977</v>
      </c>
      <c r="K26" s="101">
        <f t="shared" si="2"/>
        <v>-19.399200000000064</v>
      </c>
    </row>
    <row r="27" spans="1:11" ht="12.75" x14ac:dyDescent="0.2">
      <c r="A27" s="92">
        <v>45544</v>
      </c>
      <c r="B27" s="93" t="s">
        <v>33</v>
      </c>
      <c r="C27" s="94">
        <v>0.93620000000000003</v>
      </c>
      <c r="D27" s="95" t="s">
        <v>261</v>
      </c>
      <c r="E27" s="96"/>
      <c r="F27" s="96"/>
      <c r="G27" s="97">
        <v>548</v>
      </c>
      <c r="H27" s="98">
        <f t="shared" si="0"/>
        <v>34.962400000000002</v>
      </c>
      <c r="I27" s="99">
        <f t="shared" si="1"/>
        <v>1922.9320000000002</v>
      </c>
      <c r="J27" s="100">
        <f t="shared" si="3"/>
        <v>27.399999999999977</v>
      </c>
      <c r="K27" s="101">
        <f t="shared" si="2"/>
        <v>-7.5624000000000251</v>
      </c>
    </row>
    <row r="28" spans="1:11" ht="12.75" x14ac:dyDescent="0.2">
      <c r="A28" s="92">
        <v>45545</v>
      </c>
      <c r="B28" s="93" t="s">
        <v>35</v>
      </c>
      <c r="C28" s="94">
        <v>0.93400000000000005</v>
      </c>
      <c r="D28" s="95" t="s">
        <v>261</v>
      </c>
      <c r="E28" s="96"/>
      <c r="F28" s="96"/>
      <c r="G28" s="97">
        <v>549</v>
      </c>
      <c r="H28" s="98">
        <f t="shared" si="0"/>
        <v>36.233999999999924</v>
      </c>
      <c r="I28" s="99">
        <f t="shared" si="1"/>
        <v>1992.8699999999958</v>
      </c>
      <c r="J28" s="100">
        <f t="shared" si="3"/>
        <v>27.450000000000045</v>
      </c>
      <c r="K28" s="101">
        <f t="shared" si="2"/>
        <v>-8.7839999999998781</v>
      </c>
    </row>
    <row r="29" spans="1:11" ht="12.75" x14ac:dyDescent="0.2">
      <c r="A29" s="92">
        <v>45546</v>
      </c>
      <c r="B29" s="93" t="s">
        <v>37</v>
      </c>
      <c r="C29" s="94">
        <v>0.92779999999999996</v>
      </c>
      <c r="D29" s="95" t="s">
        <v>261</v>
      </c>
      <c r="E29" s="96"/>
      <c r="F29" s="96"/>
      <c r="G29" s="97">
        <v>554</v>
      </c>
      <c r="H29" s="98">
        <f t="shared" si="0"/>
        <v>39.998800000000074</v>
      </c>
      <c r="I29" s="99">
        <f t="shared" si="1"/>
        <v>2199.9340000000038</v>
      </c>
      <c r="J29" s="100">
        <f t="shared" si="3"/>
        <v>27.700000000000045</v>
      </c>
      <c r="K29" s="101">
        <f t="shared" si="2"/>
        <v>-12.298800000000028</v>
      </c>
    </row>
    <row r="30" spans="1:11" ht="12.75" x14ac:dyDescent="0.2">
      <c r="A30" s="92">
        <v>45547</v>
      </c>
      <c r="B30" s="93" t="s">
        <v>39</v>
      </c>
      <c r="C30" s="94">
        <v>0.94379999999999997</v>
      </c>
      <c r="D30" s="95" t="s">
        <v>261</v>
      </c>
      <c r="E30" s="96"/>
      <c r="F30" s="96"/>
      <c r="G30" s="97">
        <v>555</v>
      </c>
      <c r="H30" s="98">
        <f t="shared" si="0"/>
        <v>31.191000000000031</v>
      </c>
      <c r="I30" s="99">
        <f t="shared" si="1"/>
        <v>1715.5050000000017</v>
      </c>
      <c r="J30" s="100">
        <f t="shared" si="3"/>
        <v>27.75</v>
      </c>
      <c r="K30" s="101">
        <f t="shared" si="2"/>
        <v>-3.4410000000000309</v>
      </c>
    </row>
    <row r="31" spans="1:11" ht="12.75" x14ac:dyDescent="0.2">
      <c r="A31" s="92">
        <v>45548</v>
      </c>
      <c r="B31" s="93" t="s">
        <v>41</v>
      </c>
      <c r="C31" s="94">
        <v>0.91310000000000002</v>
      </c>
      <c r="D31" s="95" t="s">
        <v>261</v>
      </c>
      <c r="E31" s="96"/>
      <c r="F31" s="96"/>
      <c r="G31" s="97">
        <v>553</v>
      </c>
      <c r="H31" s="98">
        <f t="shared" si="0"/>
        <v>48.055700000000002</v>
      </c>
      <c r="I31" s="99">
        <f t="shared" si="1"/>
        <v>2643.0635000000002</v>
      </c>
      <c r="J31" s="100">
        <f t="shared" si="3"/>
        <v>27.649999999999977</v>
      </c>
      <c r="K31" s="101">
        <f t="shared" si="2"/>
        <v>-20.405700000000024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0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0.94379999999999997</v>
      </c>
      <c r="D33" s="95" t="s">
        <v>261</v>
      </c>
      <c r="E33" s="96"/>
      <c r="F33" s="96"/>
      <c r="G33" s="97">
        <v>554</v>
      </c>
      <c r="H33" s="98">
        <f t="shared" si="0"/>
        <v>31.134800000000041</v>
      </c>
      <c r="I33" s="99">
        <f t="shared" si="1"/>
        <v>1712.4140000000023</v>
      </c>
      <c r="J33" s="100">
        <f t="shared" si="3"/>
        <v>27.700000000000045</v>
      </c>
      <c r="K33" s="101" t="s">
        <v>262</v>
      </c>
    </row>
    <row r="34" spans="1:11" ht="12.75" x14ac:dyDescent="0.2">
      <c r="A34" s="92">
        <v>45553</v>
      </c>
      <c r="B34" s="93" t="s">
        <v>37</v>
      </c>
      <c r="C34" s="94">
        <v>0.92449999999999999</v>
      </c>
      <c r="D34" s="95" t="s">
        <v>261</v>
      </c>
      <c r="E34" s="96"/>
      <c r="F34" s="96"/>
      <c r="G34" s="97">
        <v>554</v>
      </c>
      <c r="H34" s="98">
        <f t="shared" si="0"/>
        <v>41.826999999999998</v>
      </c>
      <c r="I34" s="99">
        <f t="shared" si="1"/>
        <v>2300.4849999999997</v>
      </c>
      <c r="J34" s="100">
        <f t="shared" si="3"/>
        <v>27.700000000000045</v>
      </c>
      <c r="K34" s="101">
        <f t="shared" ref="K34:K215" si="4">J34-H34</f>
        <v>-14.126999999999953</v>
      </c>
    </row>
    <row r="35" spans="1:11" ht="12.75" x14ac:dyDescent="0.2">
      <c r="A35" s="92">
        <v>45554</v>
      </c>
      <c r="B35" s="93" t="s">
        <v>39</v>
      </c>
      <c r="C35" s="94">
        <v>0.91220000000000001</v>
      </c>
      <c r="D35" s="95" t="s">
        <v>261</v>
      </c>
      <c r="E35" s="96"/>
      <c r="F35" s="96"/>
      <c r="G35" s="97">
        <v>554</v>
      </c>
      <c r="H35" s="98">
        <f t="shared" si="0"/>
        <v>48.641199999999969</v>
      </c>
      <c r="I35" s="99">
        <f t="shared" si="1"/>
        <v>2675.2659999999983</v>
      </c>
      <c r="J35" s="100">
        <f t="shared" si="3"/>
        <v>27.700000000000045</v>
      </c>
      <c r="K35" s="101">
        <f t="shared" si="4"/>
        <v>-20.941199999999924</v>
      </c>
    </row>
    <row r="36" spans="1:11" ht="12.75" x14ac:dyDescent="0.2">
      <c r="A36" s="92">
        <v>45555</v>
      </c>
      <c r="B36" s="93" t="s">
        <v>41</v>
      </c>
      <c r="C36" s="94">
        <v>0.92920000000000003</v>
      </c>
      <c r="D36" s="95" t="s">
        <v>261</v>
      </c>
      <c r="E36" s="96"/>
      <c r="F36" s="96"/>
      <c r="G36" s="97">
        <v>555</v>
      </c>
      <c r="H36" s="98">
        <f t="shared" si="0"/>
        <v>39.293999999999983</v>
      </c>
      <c r="I36" s="99">
        <f t="shared" si="1"/>
        <v>2161.1699999999992</v>
      </c>
      <c r="J36" s="100">
        <f t="shared" si="3"/>
        <v>27.75</v>
      </c>
      <c r="K36" s="101">
        <f t="shared" si="4"/>
        <v>-11.543999999999983</v>
      </c>
    </row>
    <row r="37" spans="1:11" ht="12.75" x14ac:dyDescent="0.2">
      <c r="A37" s="92">
        <v>45558</v>
      </c>
      <c r="B37" s="93" t="s">
        <v>33</v>
      </c>
      <c r="C37" s="94">
        <v>0.91249999999999998</v>
      </c>
      <c r="D37" s="95" t="s">
        <v>261</v>
      </c>
      <c r="E37" s="96"/>
      <c r="F37" s="96"/>
      <c r="G37" s="97">
        <v>557</v>
      </c>
      <c r="H37" s="98">
        <f t="shared" si="0"/>
        <v>48.737500000000011</v>
      </c>
      <c r="I37" s="99">
        <f t="shared" si="1"/>
        <v>2680.5625000000005</v>
      </c>
      <c r="J37" s="100">
        <f t="shared" si="3"/>
        <v>27.850000000000023</v>
      </c>
      <c r="K37" s="101">
        <f t="shared" si="4"/>
        <v>-20.887499999999989</v>
      </c>
    </row>
    <row r="38" spans="1:11" ht="12.75" x14ac:dyDescent="0.2">
      <c r="A38" s="92">
        <v>45559</v>
      </c>
      <c r="B38" s="93" t="s">
        <v>35</v>
      </c>
      <c r="C38" s="94">
        <v>0.94289999999999996</v>
      </c>
      <c r="D38" s="95" t="s">
        <v>261</v>
      </c>
      <c r="E38" s="96"/>
      <c r="F38" s="96"/>
      <c r="G38" s="97">
        <v>558</v>
      </c>
      <c r="H38" s="98">
        <f>G37-(C38*G37)</f>
        <v>31.804700000000025</v>
      </c>
      <c r="I38" s="99">
        <f t="shared" si="1"/>
        <v>1749.2585000000013</v>
      </c>
      <c r="J38" s="100">
        <f>G37-(G37*J$3)</f>
        <v>27.850000000000023</v>
      </c>
      <c r="K38" s="101">
        <f t="shared" si="4"/>
        <v>-3.9547000000000025</v>
      </c>
    </row>
    <row r="39" spans="1:11" ht="12.75" x14ac:dyDescent="0.2">
      <c r="A39" s="92">
        <v>45560</v>
      </c>
      <c r="B39" s="93" t="s">
        <v>37</v>
      </c>
      <c r="C39" s="94">
        <v>0.93620000000000003</v>
      </c>
      <c r="D39" s="95" t="s">
        <v>261</v>
      </c>
      <c r="E39" s="96"/>
      <c r="F39" s="96"/>
      <c r="G39" s="97">
        <v>558</v>
      </c>
      <c r="H39" s="98">
        <f t="shared" ref="H39:H215" si="5">G39-(C39*G39)</f>
        <v>35.600400000000036</v>
      </c>
      <c r="I39" s="99">
        <f t="shared" si="1"/>
        <v>1958.022000000002</v>
      </c>
      <c r="J39" s="100">
        <f t="shared" ref="J39:J215" si="6">G39-(G39*J$3)</f>
        <v>27.899999999999977</v>
      </c>
      <c r="K39" s="101">
        <f t="shared" si="4"/>
        <v>-7.7004000000000588</v>
      </c>
    </row>
    <row r="40" spans="1:11" ht="12.75" x14ac:dyDescent="0.2">
      <c r="A40" s="92">
        <v>45561</v>
      </c>
      <c r="B40" s="93" t="s">
        <v>39</v>
      </c>
      <c r="C40" s="94">
        <v>0.95520000000000005</v>
      </c>
      <c r="D40" s="95" t="s">
        <v>261</v>
      </c>
      <c r="E40" s="96"/>
      <c r="F40" s="96"/>
      <c r="G40" s="97">
        <v>558</v>
      </c>
      <c r="H40" s="98">
        <f t="shared" si="5"/>
        <v>24.998399999999947</v>
      </c>
      <c r="I40" s="99">
        <f t="shared" si="1"/>
        <v>1374.9119999999971</v>
      </c>
      <c r="J40" s="100">
        <f t="shared" si="6"/>
        <v>27.899999999999977</v>
      </c>
      <c r="K40" s="101">
        <f t="shared" si="4"/>
        <v>2.9016000000000304</v>
      </c>
    </row>
    <row r="41" spans="1:11" ht="12.75" x14ac:dyDescent="0.2">
      <c r="A41" s="92">
        <v>45562</v>
      </c>
      <c r="B41" s="93" t="s">
        <v>41</v>
      </c>
      <c r="C41" s="94">
        <v>0.9194</v>
      </c>
      <c r="D41" s="95" t="s">
        <v>261</v>
      </c>
      <c r="E41" s="96"/>
      <c r="F41" s="96"/>
      <c r="G41" s="97">
        <v>558</v>
      </c>
      <c r="H41" s="98">
        <f t="shared" si="5"/>
        <v>44.974799999999959</v>
      </c>
      <c r="I41" s="99">
        <f t="shared" si="1"/>
        <v>2473.6139999999978</v>
      </c>
      <c r="J41" s="100">
        <f t="shared" si="6"/>
        <v>27.899999999999977</v>
      </c>
      <c r="K41" s="101">
        <f t="shared" si="4"/>
        <v>-17.074799999999982</v>
      </c>
    </row>
    <row r="42" spans="1:11" ht="12.75" x14ac:dyDescent="0.2">
      <c r="A42" s="92">
        <v>45565</v>
      </c>
      <c r="B42" s="93" t="s">
        <v>33</v>
      </c>
      <c r="C42" s="94">
        <v>0.92830000000000001</v>
      </c>
      <c r="D42" s="95" t="s">
        <v>261</v>
      </c>
      <c r="E42" s="96"/>
      <c r="F42" s="96"/>
      <c r="G42" s="97">
        <v>558</v>
      </c>
      <c r="H42" s="98">
        <f t="shared" si="5"/>
        <v>40.008600000000001</v>
      </c>
      <c r="I42" s="99">
        <f t="shared" si="1"/>
        <v>2200.473</v>
      </c>
      <c r="J42" s="100">
        <f t="shared" si="6"/>
        <v>27.899999999999977</v>
      </c>
      <c r="K42" s="101">
        <f t="shared" si="4"/>
        <v>-12.108600000000024</v>
      </c>
    </row>
    <row r="43" spans="1:11" ht="12.75" x14ac:dyDescent="0.2">
      <c r="A43" s="92">
        <v>45566</v>
      </c>
      <c r="B43" s="93" t="s">
        <v>35</v>
      </c>
      <c r="C43" s="94">
        <v>0.92579999999999996</v>
      </c>
      <c r="D43" s="95" t="s">
        <v>261</v>
      </c>
      <c r="E43" s="96"/>
      <c r="F43" s="96"/>
      <c r="G43" s="97">
        <v>558</v>
      </c>
      <c r="H43" s="98">
        <f t="shared" si="5"/>
        <v>41.403599999999983</v>
      </c>
      <c r="I43" s="99">
        <f t="shared" si="1"/>
        <v>2277.197999999999</v>
      </c>
      <c r="J43" s="100">
        <f t="shared" si="6"/>
        <v>27.899999999999977</v>
      </c>
      <c r="K43" s="101">
        <f t="shared" si="4"/>
        <v>-13.503600000000006</v>
      </c>
    </row>
    <row r="44" spans="1:11" ht="12.75" x14ac:dyDescent="0.2">
      <c r="A44" s="92">
        <v>45567</v>
      </c>
      <c r="B44" s="93" t="s">
        <v>37</v>
      </c>
      <c r="C44" s="94">
        <v>0.91930000000000001</v>
      </c>
      <c r="D44" s="95" t="s">
        <v>261</v>
      </c>
      <c r="E44" s="96"/>
      <c r="F44" s="96"/>
      <c r="G44" s="97">
        <v>558</v>
      </c>
      <c r="H44" s="98">
        <f t="shared" si="5"/>
        <v>45.030600000000049</v>
      </c>
      <c r="I44" s="99">
        <f t="shared" si="1"/>
        <v>2476.6830000000027</v>
      </c>
      <c r="J44" s="100">
        <f t="shared" si="6"/>
        <v>27.899999999999977</v>
      </c>
      <c r="K44" s="101">
        <f t="shared" si="4"/>
        <v>-17.130600000000072</v>
      </c>
    </row>
    <row r="45" spans="1:11" ht="12.75" x14ac:dyDescent="0.2">
      <c r="A45" s="92">
        <v>45568</v>
      </c>
      <c r="B45" s="93" t="s">
        <v>39</v>
      </c>
      <c r="C45" s="94">
        <v>0.91479999999999995</v>
      </c>
      <c r="D45" s="95" t="s">
        <v>261</v>
      </c>
      <c r="E45" s="96"/>
      <c r="F45" s="96"/>
      <c r="G45" s="97">
        <v>558</v>
      </c>
      <c r="H45" s="98">
        <f t="shared" si="5"/>
        <v>47.541600000000017</v>
      </c>
      <c r="I45" s="99">
        <f t="shared" si="1"/>
        <v>2614.7880000000009</v>
      </c>
      <c r="J45" s="100">
        <f t="shared" si="6"/>
        <v>27.899999999999977</v>
      </c>
      <c r="K45" s="101">
        <f t="shared" si="4"/>
        <v>-19.641600000000039</v>
      </c>
    </row>
    <row r="46" spans="1:11" ht="25.5" x14ac:dyDescent="0.2">
      <c r="A46" s="92">
        <v>45569</v>
      </c>
      <c r="B46" s="93" t="s">
        <v>41</v>
      </c>
      <c r="C46" s="94">
        <v>0.88180000000000003</v>
      </c>
      <c r="D46" s="95" t="s">
        <v>263</v>
      </c>
      <c r="E46" s="96" t="s">
        <v>233</v>
      </c>
      <c r="F46" s="96" t="s">
        <v>264</v>
      </c>
      <c r="G46" s="97">
        <v>558</v>
      </c>
      <c r="H46" s="98">
        <f t="shared" si="5"/>
        <v>65.955600000000004</v>
      </c>
      <c r="I46" s="99">
        <f t="shared" si="1"/>
        <v>3627.558</v>
      </c>
      <c r="J46" s="100">
        <f t="shared" si="6"/>
        <v>27.899999999999977</v>
      </c>
      <c r="K46" s="101">
        <f t="shared" si="4"/>
        <v>-38.055600000000027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5"/>
        <v>0</v>
      </c>
      <c r="I47" s="99">
        <f t="shared" si="1"/>
        <v>0</v>
      </c>
      <c r="J47" s="100">
        <f t="shared" si="6"/>
        <v>0</v>
      </c>
      <c r="K47" s="101">
        <f t="shared" si="4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5"/>
        <v>0</v>
      </c>
      <c r="I48" s="99">
        <f t="shared" si="1"/>
        <v>0</v>
      </c>
      <c r="J48" s="100">
        <f t="shared" si="6"/>
        <v>0</v>
      </c>
      <c r="K48" s="101">
        <f t="shared" si="4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5"/>
        <v>0</v>
      </c>
      <c r="I49" s="99">
        <f t="shared" si="1"/>
        <v>0</v>
      </c>
      <c r="J49" s="100">
        <f t="shared" si="6"/>
        <v>0</v>
      </c>
      <c r="K49" s="101">
        <f t="shared" si="4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5"/>
        <v>0</v>
      </c>
      <c r="I50" s="99">
        <f t="shared" si="1"/>
        <v>0</v>
      </c>
      <c r="J50" s="100">
        <f t="shared" si="6"/>
        <v>0</v>
      </c>
      <c r="K50" s="101">
        <f t="shared" si="4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5"/>
        <v>0</v>
      </c>
      <c r="I51" s="99">
        <f t="shared" si="1"/>
        <v>0</v>
      </c>
      <c r="J51" s="100">
        <f t="shared" si="6"/>
        <v>0</v>
      </c>
      <c r="K51" s="101">
        <f t="shared" si="4"/>
        <v>0</v>
      </c>
    </row>
    <row r="52" spans="1:11" ht="12.75" x14ac:dyDescent="0.2">
      <c r="A52" s="92">
        <v>45579</v>
      </c>
      <c r="B52" s="93" t="s">
        <v>33</v>
      </c>
      <c r="C52" s="94">
        <v>0.91269999999999996</v>
      </c>
      <c r="D52" s="95" t="s">
        <v>261</v>
      </c>
      <c r="E52" s="96"/>
      <c r="F52" s="96"/>
      <c r="G52" s="97">
        <v>559</v>
      </c>
      <c r="H52" s="98">
        <f t="shared" si="5"/>
        <v>48.800700000000006</v>
      </c>
      <c r="I52" s="99">
        <f t="shared" si="1"/>
        <v>2684.0385000000006</v>
      </c>
      <c r="J52" s="100">
        <f t="shared" si="6"/>
        <v>27.950000000000045</v>
      </c>
      <c r="K52" s="101">
        <f t="shared" si="4"/>
        <v>-20.850699999999961</v>
      </c>
    </row>
    <row r="53" spans="1:11" ht="12.75" x14ac:dyDescent="0.2">
      <c r="A53" s="92">
        <v>45580</v>
      </c>
      <c r="B53" s="93" t="s">
        <v>35</v>
      </c>
      <c r="C53" s="94">
        <v>0.94310000000000005</v>
      </c>
      <c r="D53" s="95" t="s">
        <v>261</v>
      </c>
      <c r="E53" s="96"/>
      <c r="F53" s="96"/>
      <c r="G53" s="97">
        <v>557</v>
      </c>
      <c r="H53" s="98">
        <f t="shared" si="5"/>
        <v>31.693300000000022</v>
      </c>
      <c r="I53" s="99">
        <f t="shared" si="1"/>
        <v>1743.1315000000013</v>
      </c>
      <c r="J53" s="100">
        <f t="shared" si="6"/>
        <v>27.850000000000023</v>
      </c>
      <c r="K53" s="101">
        <f t="shared" si="4"/>
        <v>-3.8432999999999993</v>
      </c>
    </row>
    <row r="54" spans="1:11" ht="12.75" x14ac:dyDescent="0.2">
      <c r="A54" s="92">
        <v>45581</v>
      </c>
      <c r="B54" s="93" t="s">
        <v>37</v>
      </c>
      <c r="C54" s="115">
        <v>0.95450000000000002</v>
      </c>
      <c r="D54" s="95" t="s">
        <v>261</v>
      </c>
      <c r="E54" s="96"/>
      <c r="F54" s="116"/>
      <c r="G54" s="97">
        <v>557</v>
      </c>
      <c r="H54" s="98">
        <f t="shared" si="5"/>
        <v>25.343499999999949</v>
      </c>
      <c r="I54" s="99">
        <f t="shared" si="1"/>
        <v>1393.8924999999972</v>
      </c>
      <c r="J54" s="100">
        <f t="shared" si="6"/>
        <v>27.850000000000023</v>
      </c>
      <c r="K54" s="101">
        <f t="shared" si="4"/>
        <v>2.5065000000000737</v>
      </c>
    </row>
    <row r="55" spans="1:11" ht="12.75" x14ac:dyDescent="0.2">
      <c r="A55" s="92">
        <v>45582</v>
      </c>
      <c r="B55" s="93" t="s">
        <v>39</v>
      </c>
      <c r="C55" s="94">
        <v>0.94989999999999997</v>
      </c>
      <c r="D55" s="95" t="s">
        <v>261</v>
      </c>
      <c r="E55" s="96"/>
      <c r="F55" s="96"/>
      <c r="G55" s="97">
        <v>557</v>
      </c>
      <c r="H55" s="98">
        <f t="shared" si="5"/>
        <v>27.905700000000024</v>
      </c>
      <c r="I55" s="99">
        <f t="shared" si="1"/>
        <v>1534.8135000000013</v>
      </c>
      <c r="J55" s="100">
        <f t="shared" si="6"/>
        <v>27.850000000000023</v>
      </c>
      <c r="K55" s="101">
        <f t="shared" si="4"/>
        <v>-5.5700000000001637E-2</v>
      </c>
    </row>
    <row r="56" spans="1:11" ht="12.75" x14ac:dyDescent="0.2">
      <c r="A56" s="92">
        <v>45583</v>
      </c>
      <c r="B56" s="93" t="s">
        <v>41</v>
      </c>
      <c r="C56" s="94">
        <v>0.9214</v>
      </c>
      <c r="D56" s="95" t="s">
        <v>261</v>
      </c>
      <c r="E56" s="96"/>
      <c r="F56" s="96"/>
      <c r="G56" s="97">
        <v>557</v>
      </c>
      <c r="H56" s="98">
        <f t="shared" si="5"/>
        <v>43.780200000000036</v>
      </c>
      <c r="I56" s="99">
        <f t="shared" si="1"/>
        <v>2407.9110000000019</v>
      </c>
      <c r="J56" s="100">
        <f t="shared" si="6"/>
        <v>27.850000000000023</v>
      </c>
      <c r="K56" s="101">
        <f t="shared" si="4"/>
        <v>-15.930200000000013</v>
      </c>
    </row>
    <row r="57" spans="1:11" ht="12.75" x14ac:dyDescent="0.2">
      <c r="A57" s="92">
        <v>45586</v>
      </c>
      <c r="B57" s="93" t="s">
        <v>33</v>
      </c>
      <c r="C57" s="94">
        <v>0.93959999999999999</v>
      </c>
      <c r="D57" s="95" t="s">
        <v>261</v>
      </c>
      <c r="E57" s="96"/>
      <c r="F57" s="96"/>
      <c r="G57" s="97">
        <v>557</v>
      </c>
      <c r="H57" s="98">
        <f t="shared" si="5"/>
        <v>33.642799999999966</v>
      </c>
      <c r="I57" s="99">
        <f t="shared" si="1"/>
        <v>1850.353999999998</v>
      </c>
      <c r="J57" s="100">
        <f t="shared" si="6"/>
        <v>27.850000000000023</v>
      </c>
      <c r="K57" s="101">
        <f t="shared" si="4"/>
        <v>-5.7927999999999429</v>
      </c>
    </row>
    <row r="58" spans="1:11" ht="12.75" x14ac:dyDescent="0.2">
      <c r="A58" s="92">
        <v>45587</v>
      </c>
      <c r="B58" s="93" t="s">
        <v>35</v>
      </c>
      <c r="C58" s="94">
        <v>0.94089999999999996</v>
      </c>
      <c r="D58" s="95" t="s">
        <v>261</v>
      </c>
      <c r="E58" s="96"/>
      <c r="F58" s="96"/>
      <c r="G58" s="97">
        <v>558</v>
      </c>
      <c r="H58" s="98">
        <f t="shared" si="5"/>
        <v>32.977800000000002</v>
      </c>
      <c r="I58" s="99">
        <f t="shared" si="1"/>
        <v>1813.779</v>
      </c>
      <c r="J58" s="100">
        <f t="shared" si="6"/>
        <v>27.899999999999977</v>
      </c>
      <c r="K58" s="101">
        <f t="shared" si="4"/>
        <v>-5.0778000000000247</v>
      </c>
    </row>
    <row r="59" spans="1:11" ht="12.75" x14ac:dyDescent="0.2">
      <c r="A59" s="92">
        <v>45588</v>
      </c>
      <c r="B59" s="93" t="s">
        <v>37</v>
      </c>
      <c r="C59" s="94">
        <v>0.92730000000000001</v>
      </c>
      <c r="D59" s="95" t="s">
        <v>261</v>
      </c>
      <c r="E59" s="96"/>
      <c r="F59" s="96"/>
      <c r="G59" s="97">
        <v>558</v>
      </c>
      <c r="H59" s="98">
        <f t="shared" si="5"/>
        <v>40.566599999999994</v>
      </c>
      <c r="I59" s="99">
        <f t="shared" si="1"/>
        <v>2231.1629999999996</v>
      </c>
      <c r="J59" s="100">
        <f t="shared" si="6"/>
        <v>27.899999999999977</v>
      </c>
      <c r="K59" s="101">
        <f t="shared" si="4"/>
        <v>-12.666600000000017</v>
      </c>
    </row>
    <row r="60" spans="1:11" ht="12.75" x14ac:dyDescent="0.2">
      <c r="A60" s="92">
        <v>45589</v>
      </c>
      <c r="B60" s="93" t="s">
        <v>39</v>
      </c>
      <c r="C60" s="94">
        <v>0.94320000000000004</v>
      </c>
      <c r="D60" s="95" t="s">
        <v>261</v>
      </c>
      <c r="E60" s="96"/>
      <c r="F60" s="96"/>
      <c r="G60" s="97">
        <v>558</v>
      </c>
      <c r="H60" s="98">
        <f t="shared" si="5"/>
        <v>31.694399999999973</v>
      </c>
      <c r="I60" s="99">
        <f t="shared" si="1"/>
        <v>1743.1919999999986</v>
      </c>
      <c r="J60" s="100">
        <f t="shared" si="6"/>
        <v>27.899999999999977</v>
      </c>
      <c r="K60" s="101">
        <f t="shared" si="4"/>
        <v>-3.794399999999996</v>
      </c>
    </row>
    <row r="61" spans="1:11" ht="12.75" x14ac:dyDescent="0.2">
      <c r="A61" s="92">
        <v>45590</v>
      </c>
      <c r="B61" s="93" t="s">
        <v>41</v>
      </c>
      <c r="C61" s="94">
        <v>0.90800000000000003</v>
      </c>
      <c r="D61" s="95" t="s">
        <v>261</v>
      </c>
      <c r="E61" s="96"/>
      <c r="F61" s="96"/>
      <c r="G61" s="97">
        <v>558</v>
      </c>
      <c r="H61" s="98">
        <f t="shared" si="5"/>
        <v>51.335999999999956</v>
      </c>
      <c r="I61" s="99">
        <f t="shared" si="1"/>
        <v>2823.4799999999977</v>
      </c>
      <c r="J61" s="100">
        <f t="shared" si="6"/>
        <v>27.899999999999977</v>
      </c>
      <c r="K61" s="101">
        <f t="shared" si="4"/>
        <v>-23.435999999999979</v>
      </c>
    </row>
    <row r="62" spans="1:11" ht="12.75" x14ac:dyDescent="0.2">
      <c r="A62" s="92">
        <v>45593</v>
      </c>
      <c r="B62" s="93" t="s">
        <v>33</v>
      </c>
      <c r="C62" s="94">
        <v>0.90859999999999996</v>
      </c>
      <c r="D62" s="95" t="s">
        <v>261</v>
      </c>
      <c r="E62" s="96"/>
      <c r="F62" s="96"/>
      <c r="G62" s="97">
        <v>555</v>
      </c>
      <c r="H62" s="98">
        <f t="shared" si="5"/>
        <v>50.727000000000032</v>
      </c>
      <c r="I62" s="99">
        <f t="shared" si="1"/>
        <v>2789.9850000000019</v>
      </c>
      <c r="J62" s="100">
        <f t="shared" si="6"/>
        <v>27.75</v>
      </c>
      <c r="K62" s="101">
        <f t="shared" si="4"/>
        <v>-22.977000000000032</v>
      </c>
    </row>
    <row r="63" spans="1:11" ht="12.75" x14ac:dyDescent="0.2">
      <c r="A63" s="92">
        <v>45594</v>
      </c>
      <c r="B63" s="93" t="s">
        <v>35</v>
      </c>
      <c r="C63" s="94">
        <v>0.91900000000000004</v>
      </c>
      <c r="D63" s="95" t="s">
        <v>261</v>
      </c>
      <c r="E63" s="96"/>
      <c r="F63" s="96"/>
      <c r="G63" s="97">
        <v>556</v>
      </c>
      <c r="H63" s="98">
        <f t="shared" si="5"/>
        <v>45.036000000000001</v>
      </c>
      <c r="I63" s="99">
        <f t="shared" si="1"/>
        <v>2476.98</v>
      </c>
      <c r="J63" s="100">
        <f t="shared" si="6"/>
        <v>27.800000000000068</v>
      </c>
      <c r="K63" s="101">
        <f t="shared" si="4"/>
        <v>-17.235999999999933</v>
      </c>
    </row>
    <row r="64" spans="1:11" ht="12.75" x14ac:dyDescent="0.2">
      <c r="A64" s="92">
        <v>45595</v>
      </c>
      <c r="B64" s="93" t="s">
        <v>37</v>
      </c>
      <c r="C64" s="94">
        <v>0.93589999999999995</v>
      </c>
      <c r="D64" s="95" t="s">
        <v>261</v>
      </c>
      <c r="E64" s="96"/>
      <c r="F64" s="96"/>
      <c r="G64" s="97">
        <v>556</v>
      </c>
      <c r="H64" s="98">
        <f t="shared" si="5"/>
        <v>35.639599999999973</v>
      </c>
      <c r="I64" s="99">
        <f t="shared" si="1"/>
        <v>1960.1779999999985</v>
      </c>
      <c r="J64" s="100">
        <f t="shared" si="6"/>
        <v>27.800000000000068</v>
      </c>
      <c r="K64" s="101">
        <f t="shared" si="4"/>
        <v>-7.8395999999999049</v>
      </c>
    </row>
    <row r="65" spans="1:11" ht="12.75" x14ac:dyDescent="0.2">
      <c r="A65" s="92">
        <v>45596</v>
      </c>
      <c r="B65" s="93" t="s">
        <v>39</v>
      </c>
      <c r="C65" s="94">
        <v>0.91669999999999996</v>
      </c>
      <c r="D65" s="95" t="s">
        <v>261</v>
      </c>
      <c r="E65" s="96"/>
      <c r="F65" s="96"/>
      <c r="G65" s="97">
        <v>555</v>
      </c>
      <c r="H65" s="98">
        <f t="shared" si="5"/>
        <v>46.23150000000004</v>
      </c>
      <c r="I65" s="99">
        <f t="shared" si="1"/>
        <v>2542.7325000000023</v>
      </c>
      <c r="J65" s="100">
        <f t="shared" si="6"/>
        <v>27.75</v>
      </c>
      <c r="K65" s="101">
        <f t="shared" si="4"/>
        <v>-18.48150000000004</v>
      </c>
    </row>
    <row r="66" spans="1:11" ht="25.5" x14ac:dyDescent="0.2">
      <c r="A66" s="92">
        <v>45597</v>
      </c>
      <c r="B66" s="93" t="s">
        <v>41</v>
      </c>
      <c r="C66" s="94">
        <v>0.87809999999999999</v>
      </c>
      <c r="D66" s="95" t="s">
        <v>263</v>
      </c>
      <c r="E66" s="96" t="s">
        <v>265</v>
      </c>
      <c r="F66" s="96"/>
      <c r="G66" s="97">
        <v>556</v>
      </c>
      <c r="H66" s="98">
        <f t="shared" si="5"/>
        <v>67.776400000000024</v>
      </c>
      <c r="I66" s="99">
        <f t="shared" si="1"/>
        <v>3727.7020000000011</v>
      </c>
      <c r="J66" s="100">
        <f t="shared" si="6"/>
        <v>27.800000000000068</v>
      </c>
      <c r="K66" s="101">
        <f t="shared" si="4"/>
        <v>-39.976399999999956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5"/>
        <v>0</v>
      </c>
      <c r="I67" s="99">
        <f t="shared" si="1"/>
        <v>0</v>
      </c>
      <c r="J67" s="100">
        <f t="shared" si="6"/>
        <v>0</v>
      </c>
      <c r="K67" s="101">
        <f t="shared" si="4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5"/>
        <v>0</v>
      </c>
      <c r="I68" s="99">
        <f t="shared" si="1"/>
        <v>0</v>
      </c>
      <c r="J68" s="100">
        <f t="shared" si="6"/>
        <v>0</v>
      </c>
      <c r="K68" s="101">
        <f t="shared" si="4"/>
        <v>0</v>
      </c>
    </row>
    <row r="69" spans="1:11" ht="12.75" x14ac:dyDescent="0.2">
      <c r="A69" s="92">
        <v>45602</v>
      </c>
      <c r="B69" s="93" t="s">
        <v>37</v>
      </c>
      <c r="C69" s="94">
        <v>0.92210000000000003</v>
      </c>
      <c r="D69" s="95" t="s">
        <v>261</v>
      </c>
      <c r="E69" s="96"/>
      <c r="F69" s="96"/>
      <c r="G69" s="97">
        <v>560</v>
      </c>
      <c r="H69" s="98">
        <f t="shared" si="5"/>
        <v>43.624000000000024</v>
      </c>
      <c r="I69" s="99">
        <f t="shared" si="1"/>
        <v>2399.3200000000015</v>
      </c>
      <c r="J69" s="100">
        <f t="shared" si="6"/>
        <v>28</v>
      </c>
      <c r="K69" s="101">
        <f t="shared" si="4"/>
        <v>-15.624000000000024</v>
      </c>
    </row>
    <row r="70" spans="1:11" ht="12.75" x14ac:dyDescent="0.2">
      <c r="A70" s="92">
        <v>45603</v>
      </c>
      <c r="B70" s="93" t="s">
        <v>39</v>
      </c>
      <c r="C70" s="94">
        <v>0.91669999999999996</v>
      </c>
      <c r="D70" s="102" t="s">
        <v>261</v>
      </c>
      <c r="E70" s="96"/>
      <c r="F70" s="96"/>
      <c r="G70" s="97">
        <v>561</v>
      </c>
      <c r="H70" s="98">
        <f t="shared" si="5"/>
        <v>46.731300000000033</v>
      </c>
      <c r="I70" s="99">
        <f t="shared" si="1"/>
        <v>2570.2215000000019</v>
      </c>
      <c r="J70" s="100">
        <f t="shared" si="6"/>
        <v>28.050000000000068</v>
      </c>
      <c r="K70" s="101">
        <f t="shared" si="4"/>
        <v>-18.681299999999965</v>
      </c>
    </row>
    <row r="71" spans="1:11" ht="38.25" x14ac:dyDescent="0.2">
      <c r="A71" s="92">
        <v>45604</v>
      </c>
      <c r="B71" s="93" t="s">
        <v>41</v>
      </c>
      <c r="C71" s="94">
        <v>0.89190000000000003</v>
      </c>
      <c r="D71" s="102" t="s">
        <v>263</v>
      </c>
      <c r="E71" s="96" t="s">
        <v>266</v>
      </c>
      <c r="F71" s="96"/>
      <c r="G71" s="97">
        <v>561</v>
      </c>
      <c r="H71" s="98">
        <f t="shared" si="5"/>
        <v>60.64409999999998</v>
      </c>
      <c r="I71" s="99">
        <f t="shared" si="1"/>
        <v>3335.4254999999989</v>
      </c>
      <c r="J71" s="100">
        <f t="shared" si="6"/>
        <v>28.050000000000068</v>
      </c>
      <c r="K71" s="101">
        <f t="shared" si="4"/>
        <v>-32.594099999999912</v>
      </c>
    </row>
    <row r="72" spans="1:11" ht="12.75" x14ac:dyDescent="0.2">
      <c r="A72" s="92">
        <v>45607</v>
      </c>
      <c r="B72" s="93" t="s">
        <v>33</v>
      </c>
      <c r="C72" s="94">
        <v>0.92789999999999995</v>
      </c>
      <c r="D72" s="102" t="s">
        <v>261</v>
      </c>
      <c r="E72" s="96"/>
      <c r="F72" s="96"/>
      <c r="G72" s="97">
        <v>561</v>
      </c>
      <c r="H72" s="98">
        <f t="shared" si="5"/>
        <v>40.448100000000068</v>
      </c>
      <c r="I72" s="99">
        <f t="shared" si="1"/>
        <v>2224.6455000000037</v>
      </c>
      <c r="J72" s="100">
        <f t="shared" si="6"/>
        <v>28.050000000000068</v>
      </c>
      <c r="K72" s="101">
        <f t="shared" si="4"/>
        <v>-12.398099999999999</v>
      </c>
    </row>
    <row r="73" spans="1:11" ht="12.75" x14ac:dyDescent="0.2">
      <c r="A73" s="92">
        <v>45608</v>
      </c>
      <c r="B73" s="93" t="s">
        <v>35</v>
      </c>
      <c r="C73" s="94">
        <v>0.94469999999999998</v>
      </c>
      <c r="D73" s="95" t="s">
        <v>261</v>
      </c>
      <c r="E73" s="96"/>
      <c r="F73" s="96"/>
      <c r="G73" s="97">
        <v>560</v>
      </c>
      <c r="H73" s="98">
        <f t="shared" si="5"/>
        <v>30.967999999999961</v>
      </c>
      <c r="I73" s="99">
        <f t="shared" si="1"/>
        <v>1703.239999999998</v>
      </c>
      <c r="J73" s="100">
        <f t="shared" si="6"/>
        <v>28</v>
      </c>
      <c r="K73" s="101">
        <f t="shared" si="4"/>
        <v>-2.9679999999999609</v>
      </c>
    </row>
    <row r="74" spans="1:11" ht="12.75" x14ac:dyDescent="0.2">
      <c r="A74" s="92">
        <v>45609</v>
      </c>
      <c r="B74" s="93" t="s">
        <v>37</v>
      </c>
      <c r="C74" s="94">
        <v>0.92549999999999999</v>
      </c>
      <c r="D74" s="95" t="s">
        <v>261</v>
      </c>
      <c r="E74" s="96"/>
      <c r="F74" s="96"/>
      <c r="G74" s="97">
        <v>560</v>
      </c>
      <c r="H74" s="98">
        <f t="shared" si="5"/>
        <v>41.720000000000027</v>
      </c>
      <c r="I74" s="99">
        <f t="shared" si="1"/>
        <v>2294.6000000000013</v>
      </c>
      <c r="J74" s="100">
        <f t="shared" si="6"/>
        <v>28</v>
      </c>
      <c r="K74" s="101">
        <f t="shared" si="4"/>
        <v>-13.720000000000027</v>
      </c>
    </row>
    <row r="75" spans="1:11" ht="25.5" x14ac:dyDescent="0.2">
      <c r="A75" s="92">
        <v>45610</v>
      </c>
      <c r="B75" s="93" t="s">
        <v>39</v>
      </c>
      <c r="C75" s="94">
        <v>0.92</v>
      </c>
      <c r="D75" s="95" t="s">
        <v>261</v>
      </c>
      <c r="E75" s="96" t="s">
        <v>228</v>
      </c>
      <c r="F75" s="96" t="s">
        <v>267</v>
      </c>
      <c r="G75" s="97">
        <v>560</v>
      </c>
      <c r="H75" s="98">
        <f t="shared" si="5"/>
        <v>44.799999999999955</v>
      </c>
      <c r="I75" s="99">
        <f t="shared" si="1"/>
        <v>2463.9999999999973</v>
      </c>
      <c r="J75" s="100">
        <f t="shared" si="6"/>
        <v>28</v>
      </c>
      <c r="K75" s="101">
        <f t="shared" si="4"/>
        <v>-16.799999999999955</v>
      </c>
    </row>
    <row r="76" spans="1:11" ht="25.5" x14ac:dyDescent="0.2">
      <c r="A76" s="92">
        <v>45611</v>
      </c>
      <c r="B76" s="93" t="s">
        <v>41</v>
      </c>
      <c r="C76" s="94">
        <v>0.91100000000000003</v>
      </c>
      <c r="D76" s="95" t="s">
        <v>261</v>
      </c>
      <c r="E76" s="96" t="s">
        <v>228</v>
      </c>
      <c r="F76" s="96" t="s">
        <v>267</v>
      </c>
      <c r="G76" s="97">
        <v>560</v>
      </c>
      <c r="H76" s="98">
        <f t="shared" si="5"/>
        <v>49.839999999999975</v>
      </c>
      <c r="I76" s="99">
        <f t="shared" si="1"/>
        <v>2741.1999999999985</v>
      </c>
      <c r="J76" s="100">
        <f t="shared" si="6"/>
        <v>28</v>
      </c>
      <c r="K76" s="101">
        <f t="shared" si="4"/>
        <v>-21.839999999999975</v>
      </c>
    </row>
    <row r="77" spans="1:11" ht="25.5" x14ac:dyDescent="0.2">
      <c r="A77" s="92">
        <v>45614</v>
      </c>
      <c r="B77" s="93" t="s">
        <v>33</v>
      </c>
      <c r="C77" s="94">
        <v>0.91830000000000001</v>
      </c>
      <c r="D77" s="95" t="s">
        <v>261</v>
      </c>
      <c r="E77" s="96" t="s">
        <v>228</v>
      </c>
      <c r="F77" s="96" t="s">
        <v>267</v>
      </c>
      <c r="G77" s="97">
        <v>556</v>
      </c>
      <c r="H77" s="98">
        <f t="shared" si="5"/>
        <v>45.425200000000018</v>
      </c>
      <c r="I77" s="99">
        <f t="shared" si="1"/>
        <v>2498.3860000000009</v>
      </c>
      <c r="J77" s="100">
        <f t="shared" si="6"/>
        <v>27.800000000000068</v>
      </c>
      <c r="K77" s="101">
        <f t="shared" si="4"/>
        <v>-17.62519999999995</v>
      </c>
    </row>
    <row r="78" spans="1:11" ht="25.5" x14ac:dyDescent="0.2">
      <c r="A78" s="92">
        <v>45615</v>
      </c>
      <c r="B78" s="93" t="s">
        <v>35</v>
      </c>
      <c r="C78" s="94">
        <v>0.91710000000000003</v>
      </c>
      <c r="D78" s="95" t="s">
        <v>261</v>
      </c>
      <c r="E78" s="96" t="s">
        <v>228</v>
      </c>
      <c r="F78" s="96" t="s">
        <v>267</v>
      </c>
      <c r="G78" s="97">
        <v>556</v>
      </c>
      <c r="H78" s="98">
        <f t="shared" si="5"/>
        <v>46.092399999999998</v>
      </c>
      <c r="I78" s="99">
        <f t="shared" si="1"/>
        <v>2535.0819999999999</v>
      </c>
      <c r="J78" s="100">
        <f t="shared" si="6"/>
        <v>27.800000000000068</v>
      </c>
      <c r="K78" s="101">
        <f t="shared" si="4"/>
        <v>-18.29239999999993</v>
      </c>
    </row>
    <row r="79" spans="1:11" ht="25.5" x14ac:dyDescent="0.2">
      <c r="A79" s="92">
        <v>45616</v>
      </c>
      <c r="B79" s="93" t="s">
        <v>37</v>
      </c>
      <c r="C79" s="94">
        <v>0.90010000000000001</v>
      </c>
      <c r="D79" s="95" t="s">
        <v>261</v>
      </c>
      <c r="E79" s="96" t="s">
        <v>228</v>
      </c>
      <c r="F79" s="96" t="s">
        <v>267</v>
      </c>
      <c r="G79" s="97">
        <v>556</v>
      </c>
      <c r="H79" s="98">
        <f t="shared" si="5"/>
        <v>55.544399999999996</v>
      </c>
      <c r="I79" s="99">
        <f t="shared" si="1"/>
        <v>3054.942</v>
      </c>
      <c r="J79" s="100">
        <f t="shared" si="6"/>
        <v>27.800000000000068</v>
      </c>
      <c r="K79" s="101">
        <f t="shared" si="4"/>
        <v>-27.744399999999928</v>
      </c>
    </row>
    <row r="80" spans="1:11" ht="12.75" x14ac:dyDescent="0.2">
      <c r="A80" s="92">
        <v>45617</v>
      </c>
      <c r="B80" s="93" t="s">
        <v>39</v>
      </c>
      <c r="C80" s="94">
        <v>0.92279999999999995</v>
      </c>
      <c r="D80" s="95" t="s">
        <v>261</v>
      </c>
      <c r="E80" s="96"/>
      <c r="F80" s="96"/>
      <c r="G80" s="97">
        <v>556</v>
      </c>
      <c r="H80" s="98">
        <f t="shared" si="5"/>
        <v>42.923200000000065</v>
      </c>
      <c r="I80" s="99">
        <f t="shared" si="1"/>
        <v>2360.7760000000035</v>
      </c>
      <c r="J80" s="100">
        <f t="shared" si="6"/>
        <v>27.800000000000068</v>
      </c>
      <c r="K80" s="101">
        <f t="shared" si="4"/>
        <v>-15.123199999999997</v>
      </c>
    </row>
    <row r="81" spans="1:11" ht="38.25" x14ac:dyDescent="0.2">
      <c r="A81" s="92">
        <v>45618</v>
      </c>
      <c r="B81" s="93" t="s">
        <v>41</v>
      </c>
      <c r="C81" s="94">
        <v>0.86199999999999999</v>
      </c>
      <c r="D81" s="95" t="s">
        <v>263</v>
      </c>
      <c r="E81" s="96"/>
      <c r="F81" s="96" t="s">
        <v>268</v>
      </c>
      <c r="G81" s="97">
        <v>556</v>
      </c>
      <c r="H81" s="98">
        <f t="shared" si="5"/>
        <v>76.728000000000009</v>
      </c>
      <c r="I81" s="99">
        <f t="shared" si="1"/>
        <v>4220.0400000000009</v>
      </c>
      <c r="J81" s="100">
        <f t="shared" si="6"/>
        <v>27.800000000000068</v>
      </c>
      <c r="K81" s="101">
        <f t="shared" si="4"/>
        <v>-48.92799999999994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5"/>
        <v>0</v>
      </c>
      <c r="I82" s="99">
        <f t="shared" si="1"/>
        <v>0</v>
      </c>
      <c r="J82" s="100">
        <f t="shared" si="6"/>
        <v>0</v>
      </c>
      <c r="K82" s="101">
        <f t="shared" si="4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5"/>
        <v>0</v>
      </c>
      <c r="I83" s="99">
        <f t="shared" si="1"/>
        <v>0</v>
      </c>
      <c r="J83" s="100">
        <f t="shared" si="6"/>
        <v>0</v>
      </c>
      <c r="K83" s="101">
        <f t="shared" si="4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5"/>
        <v>0</v>
      </c>
      <c r="I84" s="99">
        <f t="shared" si="1"/>
        <v>0</v>
      </c>
      <c r="J84" s="100">
        <f t="shared" si="6"/>
        <v>0</v>
      </c>
      <c r="K84" s="101">
        <f t="shared" si="4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5"/>
        <v>0</v>
      </c>
      <c r="I85" s="99">
        <f t="shared" si="1"/>
        <v>0</v>
      </c>
      <c r="J85" s="100">
        <f t="shared" si="6"/>
        <v>0</v>
      </c>
      <c r="K85" s="101">
        <f t="shared" si="4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5"/>
        <v>0</v>
      </c>
      <c r="I86" s="99">
        <f t="shared" si="1"/>
        <v>0</v>
      </c>
      <c r="J86" s="100">
        <f t="shared" si="6"/>
        <v>0</v>
      </c>
      <c r="K86" s="101">
        <f t="shared" si="4"/>
        <v>0</v>
      </c>
    </row>
    <row r="87" spans="1:11" ht="12.75" x14ac:dyDescent="0.2">
      <c r="A87" s="92">
        <v>45628</v>
      </c>
      <c r="B87" s="93" t="s">
        <v>33</v>
      </c>
      <c r="C87" s="94">
        <v>0.91120000000000001</v>
      </c>
      <c r="D87" s="95" t="s">
        <v>261</v>
      </c>
      <c r="E87" s="96"/>
      <c r="F87" s="96"/>
      <c r="G87" s="97">
        <v>560</v>
      </c>
      <c r="H87" s="98">
        <f t="shared" si="5"/>
        <v>49.728000000000009</v>
      </c>
      <c r="I87" s="99">
        <f t="shared" si="1"/>
        <v>2735.0400000000004</v>
      </c>
      <c r="J87" s="100">
        <f t="shared" si="6"/>
        <v>28</v>
      </c>
      <c r="K87" s="101">
        <f t="shared" si="4"/>
        <v>-21.728000000000009</v>
      </c>
    </row>
    <row r="88" spans="1:11" ht="12.75" x14ac:dyDescent="0.2">
      <c r="A88" s="92">
        <v>45629</v>
      </c>
      <c r="B88" s="93" t="s">
        <v>35</v>
      </c>
      <c r="C88" s="94">
        <v>0.96419999999999995</v>
      </c>
      <c r="D88" s="95" t="s">
        <v>261</v>
      </c>
      <c r="E88" s="96"/>
      <c r="F88" s="96"/>
      <c r="G88" s="97">
        <v>563</v>
      </c>
      <c r="H88" s="98">
        <f t="shared" si="5"/>
        <v>20.155399999999986</v>
      </c>
      <c r="I88" s="99">
        <f t="shared" si="1"/>
        <v>1108.5469999999991</v>
      </c>
      <c r="J88" s="100">
        <f t="shared" si="6"/>
        <v>28.149999999999977</v>
      </c>
      <c r="K88" s="101">
        <f t="shared" si="4"/>
        <v>7.9945999999999913</v>
      </c>
    </row>
    <row r="89" spans="1:11" ht="12.75" x14ac:dyDescent="0.2">
      <c r="A89" s="92">
        <v>45630</v>
      </c>
      <c r="B89" s="93" t="s">
        <v>37</v>
      </c>
      <c r="C89" s="94">
        <v>0.95199999999999996</v>
      </c>
      <c r="D89" s="95" t="s">
        <v>261</v>
      </c>
      <c r="E89" s="96"/>
      <c r="F89" s="96"/>
      <c r="G89" s="97">
        <v>564</v>
      </c>
      <c r="H89" s="98">
        <f t="shared" si="5"/>
        <v>27.072000000000003</v>
      </c>
      <c r="I89" s="99">
        <f t="shared" si="1"/>
        <v>1488.96</v>
      </c>
      <c r="J89" s="100">
        <f t="shared" si="6"/>
        <v>28.200000000000045</v>
      </c>
      <c r="K89" s="101">
        <f t="shared" si="4"/>
        <v>1.1280000000000427</v>
      </c>
    </row>
    <row r="90" spans="1:11" ht="12.75" x14ac:dyDescent="0.2">
      <c r="A90" s="92">
        <v>45631</v>
      </c>
      <c r="B90" s="93" t="s">
        <v>39</v>
      </c>
      <c r="C90" s="94">
        <v>0.95760000000000001</v>
      </c>
      <c r="D90" s="95" t="s">
        <v>261</v>
      </c>
      <c r="E90" s="96"/>
      <c r="F90" s="96"/>
      <c r="G90" s="97">
        <v>564</v>
      </c>
      <c r="H90" s="98">
        <f t="shared" si="5"/>
        <v>23.913599999999974</v>
      </c>
      <c r="I90" s="99">
        <f t="shared" si="1"/>
        <v>1315.2479999999987</v>
      </c>
      <c r="J90" s="100">
        <f t="shared" si="6"/>
        <v>28.200000000000045</v>
      </c>
      <c r="K90" s="101">
        <f t="shared" si="4"/>
        <v>4.2864000000000715</v>
      </c>
    </row>
    <row r="91" spans="1:11" ht="12.75" x14ac:dyDescent="0.2">
      <c r="A91" s="92">
        <v>45632</v>
      </c>
      <c r="B91" s="93" t="s">
        <v>41</v>
      </c>
      <c r="C91" s="94">
        <v>0.92630000000000001</v>
      </c>
      <c r="D91" s="95" t="s">
        <v>261</v>
      </c>
      <c r="E91" s="96"/>
      <c r="F91" s="96"/>
      <c r="G91" s="97">
        <v>564</v>
      </c>
      <c r="H91" s="98">
        <f t="shared" si="5"/>
        <v>41.566799999999944</v>
      </c>
      <c r="I91" s="99">
        <f t="shared" si="1"/>
        <v>2286.1739999999968</v>
      </c>
      <c r="J91" s="100">
        <f t="shared" si="6"/>
        <v>28.200000000000045</v>
      </c>
      <c r="K91" s="101">
        <f t="shared" si="4"/>
        <v>-13.366799999999898</v>
      </c>
    </row>
    <row r="92" spans="1:11" ht="25.5" x14ac:dyDescent="0.2">
      <c r="A92" s="92">
        <v>45635</v>
      </c>
      <c r="B92" s="93" t="s">
        <v>33</v>
      </c>
      <c r="C92" s="94">
        <v>0.90300000000000002</v>
      </c>
      <c r="D92" s="95" t="s">
        <v>261</v>
      </c>
      <c r="E92" s="96" t="s">
        <v>228</v>
      </c>
      <c r="F92" s="96" t="s">
        <v>269</v>
      </c>
      <c r="G92" s="97">
        <v>566</v>
      </c>
      <c r="H92" s="98">
        <f t="shared" si="5"/>
        <v>54.901999999999987</v>
      </c>
      <c r="I92" s="99">
        <f t="shared" si="1"/>
        <v>3019.6099999999992</v>
      </c>
      <c r="J92" s="100">
        <f t="shared" si="6"/>
        <v>28.300000000000068</v>
      </c>
      <c r="K92" s="101">
        <f t="shared" si="4"/>
        <v>-26.601999999999919</v>
      </c>
    </row>
    <row r="93" spans="1:11" ht="12.75" x14ac:dyDescent="0.2">
      <c r="A93" s="92">
        <v>45636</v>
      </c>
      <c r="B93" s="93" t="s">
        <v>35</v>
      </c>
      <c r="C93" s="94">
        <v>0.90859999999999996</v>
      </c>
      <c r="D93" s="95" t="s">
        <v>261</v>
      </c>
      <c r="E93" s="96" t="s">
        <v>228</v>
      </c>
      <c r="F93" s="96"/>
      <c r="G93" s="97">
        <v>567</v>
      </c>
      <c r="H93" s="98">
        <f t="shared" si="5"/>
        <v>51.823800000000006</v>
      </c>
      <c r="I93" s="99">
        <f t="shared" si="1"/>
        <v>2850.3090000000002</v>
      </c>
      <c r="J93" s="100">
        <f t="shared" si="6"/>
        <v>28.350000000000023</v>
      </c>
      <c r="K93" s="101">
        <f t="shared" si="4"/>
        <v>-23.473799999999983</v>
      </c>
    </row>
    <row r="94" spans="1:11" ht="12.75" x14ac:dyDescent="0.2">
      <c r="A94" s="92">
        <v>45637</v>
      </c>
      <c r="B94" s="93" t="s">
        <v>37</v>
      </c>
      <c r="C94" s="94">
        <v>0.91769999999999996</v>
      </c>
      <c r="D94" s="95" t="s">
        <v>261</v>
      </c>
      <c r="E94" s="96"/>
      <c r="F94" s="96"/>
      <c r="G94" s="97">
        <v>568</v>
      </c>
      <c r="H94" s="98">
        <f t="shared" si="5"/>
        <v>46.746399999999994</v>
      </c>
      <c r="I94" s="99">
        <f t="shared" si="1"/>
        <v>2571.0519999999997</v>
      </c>
      <c r="J94" s="100">
        <f t="shared" si="6"/>
        <v>28.399999999999977</v>
      </c>
      <c r="K94" s="101">
        <f t="shared" si="4"/>
        <v>-18.346400000000017</v>
      </c>
    </row>
    <row r="95" spans="1:11" ht="12.75" x14ac:dyDescent="0.2">
      <c r="A95" s="92">
        <v>45638</v>
      </c>
      <c r="B95" s="93" t="s">
        <v>39</v>
      </c>
      <c r="C95" s="94">
        <v>0.91659999999999997</v>
      </c>
      <c r="D95" s="95" t="s">
        <v>261</v>
      </c>
      <c r="E95" s="96"/>
      <c r="F95" s="96"/>
      <c r="G95" s="97">
        <v>568</v>
      </c>
      <c r="H95" s="98">
        <f t="shared" si="5"/>
        <v>47.371200000000044</v>
      </c>
      <c r="I95" s="99">
        <f t="shared" si="1"/>
        <v>2605.4160000000024</v>
      </c>
      <c r="J95" s="100">
        <f t="shared" si="6"/>
        <v>28.399999999999977</v>
      </c>
      <c r="K95" s="101">
        <f t="shared" si="4"/>
        <v>-18.971200000000067</v>
      </c>
    </row>
    <row r="96" spans="1:11" ht="63.75" x14ac:dyDescent="0.2">
      <c r="A96" s="92">
        <v>45639</v>
      </c>
      <c r="B96" s="93" t="s">
        <v>41</v>
      </c>
      <c r="C96" s="94">
        <v>0.89659999999999995</v>
      </c>
      <c r="D96" s="95" t="s">
        <v>263</v>
      </c>
      <c r="E96" s="96" t="s">
        <v>233</v>
      </c>
      <c r="F96" s="96" t="s">
        <v>270</v>
      </c>
      <c r="G96" s="97">
        <v>568</v>
      </c>
      <c r="H96" s="98">
        <f t="shared" si="5"/>
        <v>58.731200000000001</v>
      </c>
      <c r="I96" s="99">
        <f t="shared" si="1"/>
        <v>3230.2159999999999</v>
      </c>
      <c r="J96" s="100">
        <f t="shared" si="6"/>
        <v>28.399999999999977</v>
      </c>
      <c r="K96" s="101">
        <f t="shared" si="4"/>
        <v>-30.331200000000024</v>
      </c>
    </row>
    <row r="97" spans="1:11" ht="76.5" x14ac:dyDescent="0.2">
      <c r="A97" s="92">
        <v>45642</v>
      </c>
      <c r="B97" s="93" t="s">
        <v>33</v>
      </c>
      <c r="C97" s="94">
        <v>0.89070000000000005</v>
      </c>
      <c r="D97" s="95" t="s">
        <v>263</v>
      </c>
      <c r="E97" s="96" t="s">
        <v>228</v>
      </c>
      <c r="F97" s="96" t="s">
        <v>271</v>
      </c>
      <c r="G97" s="97">
        <v>567</v>
      </c>
      <c r="H97" s="98">
        <f t="shared" si="5"/>
        <v>61.973099999999988</v>
      </c>
      <c r="I97" s="99">
        <f t="shared" si="1"/>
        <v>3408.5204999999992</v>
      </c>
      <c r="J97" s="100">
        <f t="shared" si="6"/>
        <v>28.350000000000023</v>
      </c>
      <c r="K97" s="101">
        <f t="shared" si="4"/>
        <v>-33.623099999999965</v>
      </c>
    </row>
    <row r="98" spans="1:11" ht="51" x14ac:dyDescent="0.2">
      <c r="A98" s="92">
        <v>45643</v>
      </c>
      <c r="B98" s="93" t="s">
        <v>35</v>
      </c>
      <c r="C98" s="94">
        <v>0.91080000000000005</v>
      </c>
      <c r="D98" s="95" t="s">
        <v>261</v>
      </c>
      <c r="E98" s="96" t="s">
        <v>228</v>
      </c>
      <c r="F98" s="96" t="s">
        <v>272</v>
      </c>
      <c r="G98" s="97">
        <v>567</v>
      </c>
      <c r="H98" s="98">
        <f t="shared" si="5"/>
        <v>50.576399999999921</v>
      </c>
      <c r="I98" s="99">
        <f t="shared" si="1"/>
        <v>2781.7019999999957</v>
      </c>
      <c r="J98" s="100">
        <f t="shared" si="6"/>
        <v>28.350000000000023</v>
      </c>
      <c r="K98" s="101">
        <f t="shared" si="4"/>
        <v>-22.226399999999899</v>
      </c>
    </row>
    <row r="99" spans="1:11" ht="51" x14ac:dyDescent="0.2">
      <c r="A99" s="92">
        <v>45644</v>
      </c>
      <c r="B99" s="93" t="s">
        <v>37</v>
      </c>
      <c r="C99" s="94">
        <v>0.91520000000000001</v>
      </c>
      <c r="D99" s="95" t="s">
        <v>261</v>
      </c>
      <c r="E99" s="96"/>
      <c r="F99" s="96" t="s">
        <v>272</v>
      </c>
      <c r="G99" s="97">
        <v>566</v>
      </c>
      <c r="H99" s="98">
        <f t="shared" si="5"/>
        <v>47.996800000000007</v>
      </c>
      <c r="I99" s="99">
        <f t="shared" si="1"/>
        <v>2639.8240000000005</v>
      </c>
      <c r="J99" s="100">
        <f t="shared" si="6"/>
        <v>28.300000000000068</v>
      </c>
      <c r="K99" s="101">
        <f t="shared" si="4"/>
        <v>-19.696799999999939</v>
      </c>
    </row>
    <row r="100" spans="1:11" ht="12.75" x14ac:dyDescent="0.2">
      <c r="A100" s="92">
        <v>45645</v>
      </c>
      <c r="B100" s="93" t="s">
        <v>39</v>
      </c>
      <c r="C100" s="94">
        <v>0.93640000000000001</v>
      </c>
      <c r="D100" s="95" t="s">
        <v>261</v>
      </c>
      <c r="E100" s="96"/>
      <c r="F100" s="96" t="s">
        <v>273</v>
      </c>
      <c r="G100" s="97">
        <v>566</v>
      </c>
      <c r="H100" s="98">
        <f t="shared" si="5"/>
        <v>35.997600000000034</v>
      </c>
      <c r="I100" s="99">
        <f t="shared" si="1"/>
        <v>1979.8680000000018</v>
      </c>
      <c r="J100" s="100">
        <f t="shared" si="6"/>
        <v>28.300000000000068</v>
      </c>
      <c r="K100" s="101">
        <f t="shared" si="4"/>
        <v>-7.6975999999999658</v>
      </c>
    </row>
    <row r="101" spans="1:11" ht="25.5" x14ac:dyDescent="0.2">
      <c r="A101" s="92">
        <v>45646</v>
      </c>
      <c r="B101" s="93" t="s">
        <v>41</v>
      </c>
      <c r="C101" s="94">
        <v>0.66739999999999999</v>
      </c>
      <c r="D101" s="95"/>
      <c r="E101" s="96"/>
      <c r="F101" s="96" t="s">
        <v>274</v>
      </c>
      <c r="G101" s="97">
        <v>566</v>
      </c>
      <c r="H101" s="98">
        <f t="shared" si="5"/>
        <v>188.2516</v>
      </c>
      <c r="I101" s="99">
        <f t="shared" si="1"/>
        <v>10353.838</v>
      </c>
      <c r="J101" s="100">
        <f t="shared" si="6"/>
        <v>28.300000000000068</v>
      </c>
      <c r="K101" s="101">
        <f t="shared" si="4"/>
        <v>-159.95159999999993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5"/>
        <v>0</v>
      </c>
      <c r="I102" s="99">
        <f t="shared" si="1"/>
        <v>0</v>
      </c>
      <c r="J102" s="100">
        <f t="shared" si="6"/>
        <v>0</v>
      </c>
      <c r="K102" s="101">
        <f t="shared" si="4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5"/>
        <v>0</v>
      </c>
      <c r="I103" s="99">
        <f t="shared" si="1"/>
        <v>0</v>
      </c>
      <c r="J103" s="100">
        <f t="shared" si="6"/>
        <v>0</v>
      </c>
      <c r="K103" s="101">
        <f t="shared" si="4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5"/>
        <v>0</v>
      </c>
      <c r="I104" s="99">
        <f t="shared" si="1"/>
        <v>0</v>
      </c>
      <c r="J104" s="100">
        <f t="shared" si="6"/>
        <v>0</v>
      </c>
      <c r="K104" s="101">
        <f t="shared" si="4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5"/>
        <v>0</v>
      </c>
      <c r="I105" s="99">
        <f t="shared" si="1"/>
        <v>0</v>
      </c>
      <c r="J105" s="100">
        <f t="shared" si="6"/>
        <v>0</v>
      </c>
      <c r="K105" s="101">
        <f t="shared" si="4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5"/>
        <v>0</v>
      </c>
      <c r="I106" s="99">
        <f t="shared" si="1"/>
        <v>0</v>
      </c>
      <c r="J106" s="100">
        <f t="shared" si="6"/>
        <v>0</v>
      </c>
      <c r="K106" s="101">
        <f t="shared" si="4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5"/>
        <v>0</v>
      </c>
      <c r="I107" s="99">
        <f t="shared" si="1"/>
        <v>0</v>
      </c>
      <c r="J107" s="100">
        <f t="shared" si="6"/>
        <v>0</v>
      </c>
      <c r="K107" s="101">
        <f t="shared" si="4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5"/>
        <v>0</v>
      </c>
      <c r="I108" s="99">
        <f t="shared" si="1"/>
        <v>0</v>
      </c>
      <c r="J108" s="100">
        <f t="shared" si="6"/>
        <v>0</v>
      </c>
      <c r="K108" s="101">
        <f t="shared" si="4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5"/>
        <v>0</v>
      </c>
      <c r="I109" s="99">
        <f t="shared" si="1"/>
        <v>0</v>
      </c>
      <c r="J109" s="100">
        <f t="shared" si="6"/>
        <v>0</v>
      </c>
      <c r="K109" s="101">
        <f t="shared" si="4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5"/>
        <v>0</v>
      </c>
      <c r="I110" s="99">
        <f t="shared" si="1"/>
        <v>0</v>
      </c>
      <c r="J110" s="100">
        <f t="shared" si="6"/>
        <v>0</v>
      </c>
      <c r="K110" s="101">
        <f t="shared" si="4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5"/>
        <v>0</v>
      </c>
      <c r="I111" s="99">
        <f t="shared" si="1"/>
        <v>0</v>
      </c>
      <c r="J111" s="100">
        <f t="shared" si="6"/>
        <v>0</v>
      </c>
      <c r="K111" s="101">
        <f t="shared" si="4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5"/>
        <v>0</v>
      </c>
      <c r="I112" s="99">
        <f t="shared" si="1"/>
        <v>0</v>
      </c>
      <c r="J112" s="100">
        <f t="shared" si="6"/>
        <v>0</v>
      </c>
      <c r="K112" s="101">
        <f t="shared" si="4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5"/>
        <v>0</v>
      </c>
      <c r="I113" s="99">
        <f t="shared" si="1"/>
        <v>0</v>
      </c>
      <c r="J113" s="100">
        <f t="shared" si="6"/>
        <v>0</v>
      </c>
      <c r="K113" s="101">
        <f t="shared" si="4"/>
        <v>0</v>
      </c>
    </row>
    <row r="114" spans="1:11" ht="38.25" x14ac:dyDescent="0.2">
      <c r="A114" s="92">
        <v>45665</v>
      </c>
      <c r="B114" s="93" t="s">
        <v>37</v>
      </c>
      <c r="C114" s="94">
        <v>0.90749999999999997</v>
      </c>
      <c r="D114" s="95"/>
      <c r="E114" s="96"/>
      <c r="F114" s="96" t="s">
        <v>275</v>
      </c>
      <c r="G114" s="97">
        <v>567</v>
      </c>
      <c r="H114" s="98">
        <f t="shared" si="5"/>
        <v>52.447499999999991</v>
      </c>
      <c r="I114" s="99">
        <f t="shared" si="1"/>
        <v>2884.6124999999993</v>
      </c>
      <c r="J114" s="100">
        <f t="shared" si="6"/>
        <v>28.350000000000023</v>
      </c>
      <c r="K114" s="101">
        <f t="shared" si="4"/>
        <v>-24.097499999999968</v>
      </c>
    </row>
    <row r="115" spans="1:11" ht="12.75" x14ac:dyDescent="0.2">
      <c r="A115" s="92">
        <v>45666</v>
      </c>
      <c r="B115" s="93" t="s">
        <v>39</v>
      </c>
      <c r="C115" s="94">
        <v>0.89880000000000004</v>
      </c>
      <c r="D115" s="95"/>
      <c r="E115" s="96"/>
      <c r="F115" s="96" t="s">
        <v>251</v>
      </c>
      <c r="G115" s="97">
        <v>568</v>
      </c>
      <c r="H115" s="98">
        <f t="shared" si="5"/>
        <v>57.481599999999958</v>
      </c>
      <c r="I115" s="99">
        <f t="shared" si="1"/>
        <v>3161.4879999999976</v>
      </c>
      <c r="J115" s="100">
        <f t="shared" si="6"/>
        <v>28.399999999999977</v>
      </c>
      <c r="K115" s="101">
        <f t="shared" si="4"/>
        <v>-29.08159999999998</v>
      </c>
    </row>
    <row r="116" spans="1:11" ht="63.75" x14ac:dyDescent="0.2">
      <c r="A116" s="92">
        <v>45667</v>
      </c>
      <c r="B116" s="93" t="s">
        <v>41</v>
      </c>
      <c r="C116" s="94">
        <v>0.88429999999999997</v>
      </c>
      <c r="D116" s="95"/>
      <c r="E116" s="96"/>
      <c r="F116" s="96" t="s">
        <v>276</v>
      </c>
      <c r="G116" s="97">
        <v>568</v>
      </c>
      <c r="H116" s="98">
        <f t="shared" si="5"/>
        <v>65.717600000000004</v>
      </c>
      <c r="I116" s="99">
        <f t="shared" si="1"/>
        <v>3614.4680000000003</v>
      </c>
      <c r="J116" s="100">
        <f t="shared" si="6"/>
        <v>28.399999999999977</v>
      </c>
      <c r="K116" s="101">
        <f t="shared" si="4"/>
        <v>-37.317600000000027</v>
      </c>
    </row>
    <row r="117" spans="1:11" ht="12.75" x14ac:dyDescent="0.2">
      <c r="A117" s="92">
        <v>45670</v>
      </c>
      <c r="B117" s="93" t="s">
        <v>33</v>
      </c>
      <c r="C117" s="94">
        <v>0.94799999999999995</v>
      </c>
      <c r="D117" s="95" t="s">
        <v>225</v>
      </c>
      <c r="E117" s="96"/>
      <c r="F117" s="96"/>
      <c r="G117" s="97">
        <v>571</v>
      </c>
      <c r="H117" s="98">
        <f t="shared" si="5"/>
        <v>29.692000000000007</v>
      </c>
      <c r="I117" s="99">
        <f t="shared" si="1"/>
        <v>1633.0600000000004</v>
      </c>
      <c r="J117" s="100">
        <f t="shared" si="6"/>
        <v>28.550000000000068</v>
      </c>
      <c r="K117" s="101">
        <f t="shared" si="4"/>
        <v>-1.1419999999999391</v>
      </c>
    </row>
    <row r="118" spans="1:11" ht="12.75" x14ac:dyDescent="0.2">
      <c r="A118" s="92">
        <v>45671</v>
      </c>
      <c r="B118" s="93" t="s">
        <v>35</v>
      </c>
      <c r="C118" s="94">
        <v>0.95240000000000002</v>
      </c>
      <c r="D118" s="95" t="s">
        <v>225</v>
      </c>
      <c r="E118" s="96"/>
      <c r="F118" s="96"/>
      <c r="G118" s="97">
        <v>572</v>
      </c>
      <c r="H118" s="98">
        <f t="shared" si="5"/>
        <v>27.227200000000039</v>
      </c>
      <c r="I118" s="99">
        <f t="shared" si="1"/>
        <v>1497.4960000000021</v>
      </c>
      <c r="J118" s="100">
        <f t="shared" si="6"/>
        <v>28.600000000000023</v>
      </c>
      <c r="K118" s="101">
        <f t="shared" si="4"/>
        <v>1.3727999999999838</v>
      </c>
    </row>
    <row r="119" spans="1:11" ht="12.75" x14ac:dyDescent="0.2">
      <c r="A119" s="92">
        <v>45672</v>
      </c>
      <c r="B119" s="93" t="s">
        <v>37</v>
      </c>
      <c r="C119" s="94">
        <v>0.9446</v>
      </c>
      <c r="D119" s="95" t="s">
        <v>225</v>
      </c>
      <c r="E119" s="96"/>
      <c r="F119" s="96"/>
      <c r="G119" s="97">
        <v>571</v>
      </c>
      <c r="H119" s="98">
        <f t="shared" si="5"/>
        <v>31.633400000000051</v>
      </c>
      <c r="I119" s="99">
        <f t="shared" si="1"/>
        <v>1739.8370000000027</v>
      </c>
      <c r="J119" s="100">
        <f t="shared" si="6"/>
        <v>28.550000000000068</v>
      </c>
      <c r="K119" s="101">
        <f t="shared" si="4"/>
        <v>-3.0833999999999833</v>
      </c>
    </row>
    <row r="120" spans="1:11" ht="12.75" x14ac:dyDescent="0.2">
      <c r="A120" s="92">
        <v>45673</v>
      </c>
      <c r="B120" s="93" t="s">
        <v>39</v>
      </c>
      <c r="C120" s="94">
        <v>0.93469999999999998</v>
      </c>
      <c r="D120" s="95" t="s">
        <v>225</v>
      </c>
      <c r="E120" s="96"/>
      <c r="F120" s="96"/>
      <c r="G120" s="97">
        <v>572</v>
      </c>
      <c r="H120" s="98">
        <f t="shared" si="5"/>
        <v>37.351599999999962</v>
      </c>
      <c r="I120" s="99">
        <f t="shared" si="1"/>
        <v>2054.3379999999979</v>
      </c>
      <c r="J120" s="100">
        <f t="shared" si="6"/>
        <v>28.600000000000023</v>
      </c>
      <c r="K120" s="101">
        <f t="shared" si="4"/>
        <v>-8.7515999999999394</v>
      </c>
    </row>
    <row r="121" spans="1:11" ht="12.75" x14ac:dyDescent="0.2">
      <c r="A121" s="92">
        <v>45674</v>
      </c>
      <c r="B121" s="93" t="s">
        <v>41</v>
      </c>
      <c r="C121" s="94">
        <v>0.93020000000000003</v>
      </c>
      <c r="D121" s="95" t="s">
        <v>225</v>
      </c>
      <c r="E121" s="96"/>
      <c r="F121" s="96"/>
      <c r="G121" s="97">
        <v>571</v>
      </c>
      <c r="H121" s="98">
        <f t="shared" si="5"/>
        <v>39.855799999999931</v>
      </c>
      <c r="I121" s="99">
        <f t="shared" si="1"/>
        <v>2192.0689999999963</v>
      </c>
      <c r="J121" s="100">
        <f t="shared" si="6"/>
        <v>28.550000000000068</v>
      </c>
      <c r="K121" s="101">
        <f t="shared" si="4"/>
        <v>-11.305799999999863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5"/>
        <v>0</v>
      </c>
      <c r="I122" s="99">
        <f t="shared" si="1"/>
        <v>0</v>
      </c>
      <c r="J122" s="100">
        <f t="shared" si="6"/>
        <v>0</v>
      </c>
      <c r="K122" s="101">
        <f t="shared" si="4"/>
        <v>0</v>
      </c>
    </row>
    <row r="123" spans="1:11" ht="25.5" x14ac:dyDescent="0.2">
      <c r="A123" s="92">
        <v>45678</v>
      </c>
      <c r="B123" s="93" t="s">
        <v>35</v>
      </c>
      <c r="C123" s="94"/>
      <c r="D123" s="95"/>
      <c r="E123" s="96"/>
      <c r="F123" s="96" t="s">
        <v>277</v>
      </c>
      <c r="H123" s="98">
        <f t="shared" si="5"/>
        <v>0</v>
      </c>
      <c r="I123" s="99">
        <f t="shared" si="1"/>
        <v>0</v>
      </c>
      <c r="J123" s="100">
        <f t="shared" si="6"/>
        <v>0</v>
      </c>
      <c r="K123" s="101">
        <f t="shared" si="4"/>
        <v>0</v>
      </c>
    </row>
    <row r="124" spans="1:11" ht="25.5" x14ac:dyDescent="0.2">
      <c r="A124" s="92">
        <v>45679</v>
      </c>
      <c r="B124" s="93" t="s">
        <v>37</v>
      </c>
      <c r="C124" s="94"/>
      <c r="D124" s="95"/>
      <c r="E124" s="96"/>
      <c r="F124" s="96" t="s">
        <v>277</v>
      </c>
      <c r="H124" s="98">
        <f t="shared" si="5"/>
        <v>0</v>
      </c>
      <c r="I124" s="99">
        <f t="shared" si="1"/>
        <v>0</v>
      </c>
      <c r="J124" s="100">
        <f t="shared" si="6"/>
        <v>0</v>
      </c>
      <c r="K124" s="101">
        <f t="shared" si="4"/>
        <v>0</v>
      </c>
    </row>
    <row r="125" spans="1:11" ht="38.25" x14ac:dyDescent="0.2">
      <c r="A125" s="92">
        <v>45680</v>
      </c>
      <c r="B125" s="93" t="s">
        <v>39</v>
      </c>
      <c r="C125" s="94">
        <v>0.81540000000000001</v>
      </c>
      <c r="D125" s="95" t="s">
        <v>278</v>
      </c>
      <c r="E125" s="96" t="s">
        <v>246</v>
      </c>
      <c r="F125" s="96" t="s">
        <v>279</v>
      </c>
      <c r="G125" s="97">
        <v>571</v>
      </c>
      <c r="H125" s="98">
        <f t="shared" si="5"/>
        <v>105.40659999999997</v>
      </c>
      <c r="I125" s="99">
        <f t="shared" si="1"/>
        <v>5797.3629999999985</v>
      </c>
      <c r="J125" s="100">
        <f t="shared" si="6"/>
        <v>28.550000000000068</v>
      </c>
      <c r="K125" s="101">
        <f t="shared" si="4"/>
        <v>-76.856599999999901</v>
      </c>
    </row>
    <row r="126" spans="1:11" ht="25.5" x14ac:dyDescent="0.2">
      <c r="A126" s="92">
        <v>45681</v>
      </c>
      <c r="B126" s="93" t="s">
        <v>41</v>
      </c>
      <c r="C126" s="94">
        <v>0.89470000000000005</v>
      </c>
      <c r="D126" s="95" t="s">
        <v>278</v>
      </c>
      <c r="E126" s="96" t="s">
        <v>280</v>
      </c>
      <c r="F126" s="96" t="s">
        <v>281</v>
      </c>
      <c r="G126" s="97">
        <v>571</v>
      </c>
      <c r="H126" s="98">
        <f t="shared" si="5"/>
        <v>60.126299999999958</v>
      </c>
      <c r="I126" s="99">
        <f t="shared" si="1"/>
        <v>3306.9464999999977</v>
      </c>
      <c r="J126" s="100">
        <f t="shared" si="6"/>
        <v>28.550000000000068</v>
      </c>
      <c r="K126" s="101">
        <f t="shared" si="4"/>
        <v>-31.57629999999989</v>
      </c>
    </row>
    <row r="127" spans="1:11" ht="12.75" x14ac:dyDescent="0.2">
      <c r="A127" s="92">
        <v>45684</v>
      </c>
      <c r="B127" s="93" t="s">
        <v>33</v>
      </c>
      <c r="C127" s="94">
        <v>0.93659999999999999</v>
      </c>
      <c r="D127" s="95"/>
      <c r="E127" s="96"/>
      <c r="F127" s="96"/>
      <c r="G127" s="97">
        <v>569</v>
      </c>
      <c r="H127" s="98">
        <f t="shared" si="5"/>
        <v>36.074600000000032</v>
      </c>
      <c r="I127" s="99">
        <f t="shared" si="1"/>
        <v>1984.1030000000019</v>
      </c>
      <c r="J127" s="100">
        <f t="shared" si="6"/>
        <v>28.450000000000045</v>
      </c>
      <c r="K127" s="101">
        <f t="shared" si="4"/>
        <v>-7.6245999999999867</v>
      </c>
    </row>
    <row r="128" spans="1:11" ht="12.75" x14ac:dyDescent="0.2">
      <c r="A128" s="92">
        <v>45685</v>
      </c>
      <c r="B128" s="93" t="s">
        <v>35</v>
      </c>
      <c r="C128" s="94">
        <v>0.92879999999999996</v>
      </c>
      <c r="D128" s="95" t="s">
        <v>282</v>
      </c>
      <c r="E128" s="96"/>
      <c r="F128" s="96"/>
      <c r="G128" s="97">
        <v>569</v>
      </c>
      <c r="H128" s="98">
        <f t="shared" si="5"/>
        <v>40.51279999999997</v>
      </c>
      <c r="I128" s="99">
        <f t="shared" si="1"/>
        <v>2228.2039999999984</v>
      </c>
      <c r="J128" s="100">
        <f t="shared" si="6"/>
        <v>28.450000000000045</v>
      </c>
      <c r="K128" s="101">
        <f t="shared" si="4"/>
        <v>-12.062799999999925</v>
      </c>
    </row>
    <row r="129" spans="1:11" ht="12.75" x14ac:dyDescent="0.2">
      <c r="A129" s="92">
        <v>45686</v>
      </c>
      <c r="B129" s="93" t="s">
        <v>37</v>
      </c>
      <c r="C129" s="94">
        <v>0.90529999999999999</v>
      </c>
      <c r="D129" s="95"/>
      <c r="E129" s="96"/>
      <c r="F129" s="96"/>
      <c r="G129" s="97">
        <v>569</v>
      </c>
      <c r="H129" s="98">
        <f t="shared" si="5"/>
        <v>53.884300000000053</v>
      </c>
      <c r="I129" s="99">
        <f t="shared" si="1"/>
        <v>2963.6365000000028</v>
      </c>
      <c r="J129" s="100">
        <f t="shared" si="6"/>
        <v>28.450000000000045</v>
      </c>
      <c r="K129" s="101">
        <f t="shared" si="4"/>
        <v>-25.434300000000007</v>
      </c>
    </row>
    <row r="130" spans="1:11" ht="12.75" x14ac:dyDescent="0.2">
      <c r="A130" s="92">
        <v>45687</v>
      </c>
      <c r="B130" s="93" t="s">
        <v>39</v>
      </c>
      <c r="C130" s="94">
        <v>0.94099999999999995</v>
      </c>
      <c r="D130" s="95" t="s">
        <v>225</v>
      </c>
      <c r="E130" s="96"/>
      <c r="F130" s="96"/>
      <c r="G130" s="97">
        <v>569</v>
      </c>
      <c r="H130" s="98">
        <f t="shared" si="5"/>
        <v>33.571000000000026</v>
      </c>
      <c r="I130" s="99">
        <f t="shared" si="1"/>
        <v>1846.4050000000016</v>
      </c>
      <c r="J130" s="100">
        <f t="shared" si="6"/>
        <v>28.450000000000045</v>
      </c>
      <c r="K130" s="101">
        <f t="shared" si="4"/>
        <v>-5.1209999999999809</v>
      </c>
    </row>
    <row r="131" spans="1:11" ht="12.75" x14ac:dyDescent="0.2">
      <c r="A131" s="92">
        <v>45688</v>
      </c>
      <c r="B131" s="93" t="s">
        <v>41</v>
      </c>
      <c r="C131" s="94">
        <v>0.92630000000000001</v>
      </c>
      <c r="D131" s="95"/>
      <c r="E131" s="96"/>
      <c r="F131" s="96"/>
      <c r="G131" s="97">
        <v>568</v>
      </c>
      <c r="H131" s="98">
        <f t="shared" si="5"/>
        <v>41.861599999999953</v>
      </c>
      <c r="I131" s="99">
        <f t="shared" si="1"/>
        <v>2302.3879999999972</v>
      </c>
      <c r="J131" s="100">
        <f t="shared" si="6"/>
        <v>28.399999999999977</v>
      </c>
      <c r="K131" s="101">
        <f t="shared" si="4"/>
        <v>-13.461599999999976</v>
      </c>
    </row>
    <row r="132" spans="1:11" ht="25.5" x14ac:dyDescent="0.2">
      <c r="A132" s="92">
        <v>45691</v>
      </c>
      <c r="B132" s="93" t="s">
        <v>33</v>
      </c>
      <c r="C132" s="94">
        <v>0.77429999999999999</v>
      </c>
      <c r="D132" s="95" t="s">
        <v>278</v>
      </c>
      <c r="E132" s="96"/>
      <c r="F132" s="96" t="s">
        <v>283</v>
      </c>
      <c r="G132" s="97">
        <v>567</v>
      </c>
      <c r="H132" s="98">
        <f t="shared" si="5"/>
        <v>127.97190000000001</v>
      </c>
      <c r="I132" s="99">
        <f t="shared" si="1"/>
        <v>7038.4544999999998</v>
      </c>
      <c r="J132" s="100">
        <f t="shared" si="6"/>
        <v>28.350000000000023</v>
      </c>
      <c r="K132" s="101">
        <f t="shared" si="4"/>
        <v>-99.621899999999982</v>
      </c>
    </row>
    <row r="133" spans="1:11" ht="12.75" x14ac:dyDescent="0.2">
      <c r="A133" s="92">
        <v>45692</v>
      </c>
      <c r="B133" s="93" t="s">
        <v>35</v>
      </c>
      <c r="C133" s="94">
        <v>0.94420000000000004</v>
      </c>
      <c r="D133" s="95"/>
      <c r="E133" s="96"/>
      <c r="F133" s="96"/>
      <c r="G133" s="97">
        <v>568</v>
      </c>
      <c r="H133" s="98">
        <f t="shared" si="5"/>
        <v>31.694399999999973</v>
      </c>
      <c r="I133" s="99">
        <f t="shared" si="1"/>
        <v>1743.1919999999986</v>
      </c>
      <c r="J133" s="100">
        <f t="shared" si="6"/>
        <v>28.399999999999977</v>
      </c>
      <c r="K133" s="101">
        <f t="shared" si="4"/>
        <v>-3.294399999999996</v>
      </c>
    </row>
    <row r="134" spans="1:11" ht="12.75" x14ac:dyDescent="0.2">
      <c r="A134" s="92">
        <v>45693</v>
      </c>
      <c r="B134" s="93" t="s">
        <v>37</v>
      </c>
      <c r="C134" s="94">
        <v>0.94310000000000005</v>
      </c>
      <c r="D134" s="95"/>
      <c r="E134" s="96"/>
      <c r="F134" s="96"/>
      <c r="G134" s="97">
        <v>568</v>
      </c>
      <c r="H134" s="98">
        <f t="shared" si="5"/>
        <v>32.319200000000023</v>
      </c>
      <c r="I134" s="99">
        <f t="shared" si="1"/>
        <v>1777.5560000000014</v>
      </c>
      <c r="J134" s="100">
        <f t="shared" si="6"/>
        <v>28.399999999999977</v>
      </c>
      <c r="K134" s="101">
        <f t="shared" si="4"/>
        <v>-3.9192000000000462</v>
      </c>
    </row>
    <row r="135" spans="1:11" ht="38.25" x14ac:dyDescent="0.2">
      <c r="A135" s="92">
        <v>45694</v>
      </c>
      <c r="B135" s="93" t="s">
        <v>39</v>
      </c>
      <c r="C135" s="94">
        <v>0.94979999999999998</v>
      </c>
      <c r="D135" s="95"/>
      <c r="E135" s="96"/>
      <c r="F135" s="96" t="s">
        <v>284</v>
      </c>
      <c r="G135" s="97">
        <v>570</v>
      </c>
      <c r="H135" s="98">
        <f t="shared" si="5"/>
        <v>28.614000000000033</v>
      </c>
      <c r="I135" s="99">
        <f t="shared" si="1"/>
        <v>1573.7700000000018</v>
      </c>
      <c r="J135" s="100">
        <f t="shared" si="6"/>
        <v>28.5</v>
      </c>
      <c r="K135" s="101">
        <f t="shared" si="4"/>
        <v>-0.11400000000003274</v>
      </c>
    </row>
    <row r="136" spans="1:11" ht="12.75" x14ac:dyDescent="0.2">
      <c r="A136" s="92">
        <v>45695</v>
      </c>
      <c r="B136" s="93" t="s">
        <v>41</v>
      </c>
      <c r="C136" s="94">
        <v>0.91410000000000002</v>
      </c>
      <c r="D136" s="95"/>
      <c r="E136" s="96"/>
      <c r="F136" s="96"/>
      <c r="G136" s="97">
        <v>570</v>
      </c>
      <c r="H136" s="98">
        <f t="shared" si="5"/>
        <v>48.962999999999965</v>
      </c>
      <c r="I136" s="99">
        <f t="shared" si="1"/>
        <v>2692.9649999999983</v>
      </c>
      <c r="J136" s="100">
        <f t="shared" si="6"/>
        <v>28.5</v>
      </c>
      <c r="K136" s="101">
        <f t="shared" si="4"/>
        <v>-20.462999999999965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5"/>
        <v>0</v>
      </c>
      <c r="I137" s="99">
        <f t="shared" si="1"/>
        <v>0</v>
      </c>
      <c r="J137" s="100">
        <f t="shared" si="6"/>
        <v>0</v>
      </c>
      <c r="K137" s="101">
        <f t="shared" si="4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5"/>
        <v>0</v>
      </c>
      <c r="I138" s="99">
        <f t="shared" si="1"/>
        <v>0</v>
      </c>
      <c r="J138" s="100">
        <f t="shared" si="6"/>
        <v>0</v>
      </c>
      <c r="K138" s="101">
        <f t="shared" si="4"/>
        <v>0</v>
      </c>
    </row>
    <row r="139" spans="1:11" ht="12.75" x14ac:dyDescent="0.2">
      <c r="A139" s="92">
        <v>45700</v>
      </c>
      <c r="B139" s="93" t="s">
        <v>37</v>
      </c>
      <c r="C139" s="94">
        <v>0.93530000000000002</v>
      </c>
      <c r="D139" s="95"/>
      <c r="E139" s="96"/>
      <c r="F139" s="96"/>
      <c r="G139" s="97">
        <v>570</v>
      </c>
      <c r="H139" s="98">
        <f t="shared" si="5"/>
        <v>36.879000000000019</v>
      </c>
      <c r="I139" s="99">
        <f t="shared" si="1"/>
        <v>2028.3450000000012</v>
      </c>
      <c r="J139" s="100">
        <f t="shared" si="6"/>
        <v>28.5</v>
      </c>
      <c r="K139" s="101">
        <f t="shared" si="4"/>
        <v>-8.3790000000000191</v>
      </c>
    </row>
    <row r="140" spans="1:11" ht="12.75" x14ac:dyDescent="0.2">
      <c r="A140" s="92">
        <v>45701</v>
      </c>
      <c r="B140" s="93" t="s">
        <v>39</v>
      </c>
      <c r="C140" s="94">
        <v>0.92969999999999997</v>
      </c>
      <c r="D140" s="95"/>
      <c r="E140" s="96"/>
      <c r="F140" s="96"/>
      <c r="G140" s="97">
        <v>570</v>
      </c>
      <c r="H140" s="98">
        <f t="shared" si="5"/>
        <v>40.071000000000026</v>
      </c>
      <c r="I140" s="99">
        <f t="shared" si="1"/>
        <v>2203.9050000000016</v>
      </c>
      <c r="J140" s="100">
        <f t="shared" si="6"/>
        <v>28.5</v>
      </c>
      <c r="K140" s="101">
        <f t="shared" si="4"/>
        <v>-11.571000000000026</v>
      </c>
    </row>
    <row r="141" spans="1:11" ht="12.75" x14ac:dyDescent="0.2">
      <c r="A141" s="92">
        <v>45702</v>
      </c>
      <c r="B141" s="93" t="s">
        <v>41</v>
      </c>
      <c r="C141" s="94">
        <v>0.93189999999999995</v>
      </c>
      <c r="D141" s="95"/>
      <c r="E141" s="96"/>
      <c r="F141" s="96"/>
      <c r="G141" s="97">
        <v>570</v>
      </c>
      <c r="H141" s="98">
        <f t="shared" si="5"/>
        <v>38.817000000000007</v>
      </c>
      <c r="I141" s="99">
        <f t="shared" si="1"/>
        <v>2134.9350000000004</v>
      </c>
      <c r="J141" s="100">
        <f t="shared" si="6"/>
        <v>28.5</v>
      </c>
      <c r="K141" s="101">
        <f t="shared" si="4"/>
        <v>-10.317000000000007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5"/>
        <v>0</v>
      </c>
      <c r="I142" s="99">
        <f t="shared" si="1"/>
        <v>0</v>
      </c>
      <c r="J142" s="100">
        <f t="shared" si="6"/>
        <v>0</v>
      </c>
      <c r="K142" s="101">
        <f t="shared" si="4"/>
        <v>0</v>
      </c>
    </row>
    <row r="143" spans="1:11" ht="12.75" x14ac:dyDescent="0.2">
      <c r="A143" s="92">
        <v>45706</v>
      </c>
      <c r="B143" s="93" t="s">
        <v>35</v>
      </c>
      <c r="C143" s="94">
        <v>0.92400000000000004</v>
      </c>
      <c r="D143" s="95"/>
      <c r="E143" s="96"/>
      <c r="F143" s="96"/>
      <c r="G143" s="97">
        <v>570</v>
      </c>
      <c r="H143" s="98">
        <f t="shared" si="5"/>
        <v>43.319999999999936</v>
      </c>
      <c r="I143" s="99">
        <f t="shared" si="1"/>
        <v>2382.5999999999967</v>
      </c>
      <c r="J143" s="100">
        <f t="shared" si="6"/>
        <v>28.5</v>
      </c>
      <c r="K143" s="101">
        <f t="shared" si="4"/>
        <v>-14.819999999999936</v>
      </c>
    </row>
    <row r="144" spans="1:11" ht="12.75" x14ac:dyDescent="0.2">
      <c r="A144" s="92">
        <v>45707</v>
      </c>
      <c r="B144" s="93" t="s">
        <v>37</v>
      </c>
      <c r="C144" s="94">
        <v>0.91959999999999997</v>
      </c>
      <c r="D144" s="95"/>
      <c r="E144" s="96"/>
      <c r="F144" s="96"/>
      <c r="G144" s="97">
        <v>571</v>
      </c>
      <c r="H144" s="98">
        <f t="shared" si="5"/>
        <v>45.908400000000029</v>
      </c>
      <c r="I144" s="99">
        <f t="shared" si="1"/>
        <v>2524.9620000000014</v>
      </c>
      <c r="J144" s="100">
        <f t="shared" si="6"/>
        <v>28.550000000000068</v>
      </c>
      <c r="K144" s="101">
        <f t="shared" si="4"/>
        <v>-17.358399999999961</v>
      </c>
    </row>
    <row r="145" spans="1:11" ht="12.75" x14ac:dyDescent="0.2">
      <c r="A145" s="92">
        <v>45708</v>
      </c>
      <c r="B145" s="93" t="s">
        <v>39</v>
      </c>
      <c r="C145" s="94">
        <v>0.8538</v>
      </c>
      <c r="D145" s="95" t="s">
        <v>278</v>
      </c>
      <c r="E145" s="96" t="s">
        <v>246</v>
      </c>
      <c r="F145" s="96"/>
      <c r="G145" s="97">
        <v>571</v>
      </c>
      <c r="H145" s="98">
        <f t="shared" si="5"/>
        <v>83.480200000000025</v>
      </c>
      <c r="I145" s="99">
        <f t="shared" si="1"/>
        <v>4591.411000000001</v>
      </c>
      <c r="J145" s="100">
        <f t="shared" si="6"/>
        <v>28.550000000000068</v>
      </c>
      <c r="K145" s="101">
        <f t="shared" si="4"/>
        <v>-54.930199999999957</v>
      </c>
    </row>
    <row r="146" spans="1:11" ht="12.75" x14ac:dyDescent="0.2">
      <c r="A146" s="92">
        <v>45709</v>
      </c>
      <c r="B146" s="93" t="s">
        <v>41</v>
      </c>
      <c r="C146" s="94">
        <v>0.90400000000000003</v>
      </c>
      <c r="D146" s="95" t="s">
        <v>282</v>
      </c>
      <c r="E146" s="96"/>
      <c r="F146" s="96"/>
      <c r="G146" s="97">
        <v>571</v>
      </c>
      <c r="H146" s="98">
        <f t="shared" si="5"/>
        <v>54.816000000000031</v>
      </c>
      <c r="I146" s="99">
        <f t="shared" si="1"/>
        <v>3014.8800000000019</v>
      </c>
      <c r="J146" s="100">
        <f t="shared" si="6"/>
        <v>28.550000000000068</v>
      </c>
      <c r="K146" s="101">
        <f t="shared" si="4"/>
        <v>-26.265999999999963</v>
      </c>
    </row>
    <row r="147" spans="1:11" ht="12.75" x14ac:dyDescent="0.2">
      <c r="A147" s="92">
        <v>45712</v>
      </c>
      <c r="B147" s="93" t="s">
        <v>33</v>
      </c>
      <c r="C147" s="94">
        <v>0.94730000000000003</v>
      </c>
      <c r="D147" s="95" t="s">
        <v>282</v>
      </c>
      <c r="E147" s="96"/>
      <c r="F147" s="96" t="s">
        <v>285</v>
      </c>
      <c r="G147" s="97">
        <v>568</v>
      </c>
      <c r="H147" s="98">
        <f t="shared" si="5"/>
        <v>29.933599999999956</v>
      </c>
      <c r="I147" s="99">
        <f t="shared" si="1"/>
        <v>1646.3479999999977</v>
      </c>
      <c r="J147" s="100">
        <f t="shared" si="6"/>
        <v>28.399999999999977</v>
      </c>
      <c r="K147" s="101">
        <f t="shared" si="4"/>
        <v>-1.5335999999999785</v>
      </c>
    </row>
    <row r="148" spans="1:11" ht="12.75" x14ac:dyDescent="0.2">
      <c r="A148" s="92">
        <v>45713</v>
      </c>
      <c r="B148" s="93" t="s">
        <v>35</v>
      </c>
      <c r="C148" s="94">
        <v>0.93600000000000005</v>
      </c>
      <c r="D148" s="95"/>
      <c r="E148" s="96"/>
      <c r="F148" s="96"/>
      <c r="G148" s="97">
        <v>567</v>
      </c>
      <c r="H148" s="98">
        <f t="shared" si="5"/>
        <v>36.288000000000011</v>
      </c>
      <c r="I148" s="99">
        <f t="shared" si="1"/>
        <v>1995.8400000000006</v>
      </c>
      <c r="J148" s="100">
        <f t="shared" si="6"/>
        <v>28.350000000000023</v>
      </c>
      <c r="K148" s="101">
        <f t="shared" si="4"/>
        <v>-7.9379999999999882</v>
      </c>
    </row>
    <row r="149" spans="1:11" ht="12.75" x14ac:dyDescent="0.2">
      <c r="A149" s="92">
        <v>45714</v>
      </c>
      <c r="B149" s="93" t="s">
        <v>37</v>
      </c>
      <c r="C149" s="94">
        <v>0.91979999999999995</v>
      </c>
      <c r="D149" s="95"/>
      <c r="E149" s="96"/>
      <c r="F149" s="96"/>
      <c r="G149" s="97">
        <v>571</v>
      </c>
      <c r="H149" s="98">
        <f t="shared" si="5"/>
        <v>45.794200000000046</v>
      </c>
      <c r="I149" s="99">
        <f t="shared" si="1"/>
        <v>2518.6810000000023</v>
      </c>
      <c r="J149" s="100">
        <f t="shared" si="6"/>
        <v>28.550000000000068</v>
      </c>
      <c r="K149" s="101">
        <f t="shared" si="4"/>
        <v>-17.244199999999978</v>
      </c>
    </row>
    <row r="150" spans="1:11" ht="12.75" x14ac:dyDescent="0.2">
      <c r="A150" s="92">
        <v>45715</v>
      </c>
      <c r="B150" s="93" t="s">
        <v>39</v>
      </c>
      <c r="C150" s="94">
        <v>0.91759999999999997</v>
      </c>
      <c r="D150" s="95"/>
      <c r="E150" s="96"/>
      <c r="F150" s="96"/>
      <c r="G150" s="97">
        <v>571</v>
      </c>
      <c r="H150" s="98">
        <f t="shared" si="5"/>
        <v>47.050399999999968</v>
      </c>
      <c r="I150" s="99">
        <f t="shared" si="1"/>
        <v>2587.7719999999981</v>
      </c>
      <c r="J150" s="100">
        <f t="shared" si="6"/>
        <v>28.550000000000068</v>
      </c>
      <c r="K150" s="101">
        <f t="shared" si="4"/>
        <v>-18.5003999999999</v>
      </c>
    </row>
    <row r="151" spans="1:11" ht="12.75" x14ac:dyDescent="0.2">
      <c r="A151" s="92">
        <v>45716</v>
      </c>
      <c r="B151" s="93" t="s">
        <v>41</v>
      </c>
      <c r="C151" s="94">
        <v>0.92869999999999997</v>
      </c>
      <c r="D151" s="95"/>
      <c r="E151" s="96"/>
      <c r="F151" s="96"/>
      <c r="G151" s="97">
        <v>571</v>
      </c>
      <c r="H151" s="98">
        <f t="shared" si="5"/>
        <v>40.712300000000027</v>
      </c>
      <c r="I151" s="99">
        <f t="shared" si="1"/>
        <v>2239.1765000000014</v>
      </c>
      <c r="J151" s="100">
        <f t="shared" si="6"/>
        <v>28.550000000000068</v>
      </c>
      <c r="K151" s="101">
        <f t="shared" si="4"/>
        <v>-12.162299999999959</v>
      </c>
    </row>
    <row r="152" spans="1:11" ht="12.75" x14ac:dyDescent="0.2">
      <c r="A152" s="92">
        <v>45719</v>
      </c>
      <c r="B152" s="93" t="s">
        <v>33</v>
      </c>
      <c r="C152" s="94">
        <v>0.91110000000000002</v>
      </c>
      <c r="D152" s="95"/>
      <c r="E152" s="96"/>
      <c r="F152" s="96"/>
      <c r="G152" s="97">
        <v>572</v>
      </c>
      <c r="H152" s="98">
        <f t="shared" si="5"/>
        <v>50.850799999999936</v>
      </c>
      <c r="I152" s="99">
        <f t="shared" si="1"/>
        <v>2796.7939999999962</v>
      </c>
      <c r="J152" s="100">
        <f t="shared" si="6"/>
        <v>28.600000000000023</v>
      </c>
      <c r="K152" s="101">
        <f t="shared" si="4"/>
        <v>-22.250799999999913</v>
      </c>
    </row>
    <row r="153" spans="1:11" ht="38.25" x14ac:dyDescent="0.2">
      <c r="A153" s="92">
        <v>45720</v>
      </c>
      <c r="B153" s="93" t="s">
        <v>35</v>
      </c>
      <c r="C153" s="94">
        <v>0.79139999999999999</v>
      </c>
      <c r="D153" s="95" t="s">
        <v>227</v>
      </c>
      <c r="E153" s="96" t="s">
        <v>246</v>
      </c>
      <c r="F153" s="96" t="s">
        <v>286</v>
      </c>
      <c r="G153" s="97">
        <v>572</v>
      </c>
      <c r="H153" s="98">
        <f t="shared" si="5"/>
        <v>119.31920000000002</v>
      </c>
      <c r="I153" s="99">
        <f t="shared" si="1"/>
        <v>6562.5560000000014</v>
      </c>
      <c r="J153" s="100">
        <f t="shared" si="6"/>
        <v>28.600000000000023</v>
      </c>
      <c r="K153" s="101">
        <f t="shared" si="4"/>
        <v>-90.719200000000001</v>
      </c>
    </row>
    <row r="154" spans="1:11" ht="12.75" x14ac:dyDescent="0.2">
      <c r="A154" s="92">
        <v>45721</v>
      </c>
      <c r="B154" s="93" t="s">
        <v>37</v>
      </c>
      <c r="C154" s="94">
        <v>0.91090000000000004</v>
      </c>
      <c r="D154" s="95" t="s">
        <v>282</v>
      </c>
      <c r="E154" s="96"/>
      <c r="F154" s="96"/>
      <c r="G154" s="97">
        <v>571</v>
      </c>
      <c r="H154" s="98">
        <f t="shared" si="5"/>
        <v>50.876099999999951</v>
      </c>
      <c r="I154" s="99">
        <f t="shared" si="1"/>
        <v>2798.1854999999973</v>
      </c>
      <c r="J154" s="100">
        <f t="shared" si="6"/>
        <v>28.550000000000068</v>
      </c>
      <c r="K154" s="101">
        <f t="shared" si="4"/>
        <v>-22.326099999999883</v>
      </c>
    </row>
    <row r="155" spans="1:11" ht="12.75" x14ac:dyDescent="0.2">
      <c r="A155" s="92">
        <v>45722</v>
      </c>
      <c r="B155" s="93" t="s">
        <v>39</v>
      </c>
      <c r="C155" s="94">
        <v>0.92320000000000002</v>
      </c>
      <c r="D155" s="95" t="s">
        <v>282</v>
      </c>
      <c r="E155" s="96"/>
      <c r="F155" s="96"/>
      <c r="G155" s="97">
        <v>571</v>
      </c>
      <c r="H155" s="98">
        <f t="shared" si="5"/>
        <v>43.852800000000002</v>
      </c>
      <c r="I155" s="99">
        <f t="shared" si="1"/>
        <v>2411.904</v>
      </c>
      <c r="J155" s="100">
        <f t="shared" si="6"/>
        <v>28.550000000000068</v>
      </c>
      <c r="K155" s="101">
        <f t="shared" si="4"/>
        <v>-15.302799999999934</v>
      </c>
    </row>
    <row r="156" spans="1:11" ht="38.25" x14ac:dyDescent="0.2">
      <c r="A156" s="92">
        <v>45723</v>
      </c>
      <c r="B156" s="93" t="s">
        <v>41</v>
      </c>
      <c r="C156" s="94">
        <v>0.88639999999999997</v>
      </c>
      <c r="D156" s="95" t="s">
        <v>278</v>
      </c>
      <c r="E156" s="96"/>
      <c r="F156" s="96" t="s">
        <v>287</v>
      </c>
      <c r="G156" s="97">
        <v>571</v>
      </c>
      <c r="H156" s="98">
        <f t="shared" si="5"/>
        <v>64.865600000000029</v>
      </c>
      <c r="I156" s="99">
        <f t="shared" si="1"/>
        <v>3567.6080000000015</v>
      </c>
      <c r="J156" s="100">
        <f t="shared" si="6"/>
        <v>28.550000000000068</v>
      </c>
      <c r="K156" s="101">
        <f t="shared" si="4"/>
        <v>-36.315599999999961</v>
      </c>
    </row>
    <row r="157" spans="1:11" ht="38.25" x14ac:dyDescent="0.2">
      <c r="A157" s="123">
        <v>45726</v>
      </c>
      <c r="B157" s="124" t="s">
        <v>33</v>
      </c>
      <c r="C157" s="94">
        <v>0.87009999999999998</v>
      </c>
      <c r="D157" s="95" t="s">
        <v>278</v>
      </c>
      <c r="E157" s="96"/>
      <c r="F157" s="96" t="s">
        <v>288</v>
      </c>
      <c r="G157" s="97">
        <v>573</v>
      </c>
      <c r="H157" s="98">
        <f t="shared" si="5"/>
        <v>74.432700000000011</v>
      </c>
      <c r="I157" s="99">
        <f t="shared" si="1"/>
        <v>4093.7985000000008</v>
      </c>
      <c r="J157" s="100">
        <f t="shared" si="6"/>
        <v>28.649999999999977</v>
      </c>
      <c r="K157" s="101">
        <f t="shared" si="4"/>
        <v>-45.782700000000034</v>
      </c>
    </row>
    <row r="158" spans="1:11" ht="12.75" x14ac:dyDescent="0.2">
      <c r="A158" s="123">
        <v>45727</v>
      </c>
      <c r="B158" s="124" t="s">
        <v>35</v>
      </c>
      <c r="C158" s="94">
        <v>0.91120000000000001</v>
      </c>
      <c r="D158" s="95" t="s">
        <v>282</v>
      </c>
      <c r="E158" s="96"/>
      <c r="F158" s="96"/>
      <c r="G158" s="97">
        <v>573</v>
      </c>
      <c r="H158" s="98">
        <f t="shared" si="5"/>
        <v>50.882399999999961</v>
      </c>
      <c r="I158" s="99">
        <f t="shared" si="1"/>
        <v>2798.5319999999979</v>
      </c>
      <c r="J158" s="100">
        <f t="shared" si="6"/>
        <v>28.649999999999977</v>
      </c>
      <c r="K158" s="101">
        <f t="shared" si="4"/>
        <v>-22.232399999999984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5"/>
        <v>0</v>
      </c>
      <c r="I159" s="99">
        <f t="shared" si="1"/>
        <v>0</v>
      </c>
      <c r="J159" s="100">
        <f t="shared" si="6"/>
        <v>0</v>
      </c>
      <c r="K159" s="101">
        <f t="shared" si="4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5"/>
        <v>0</v>
      </c>
      <c r="I160" s="99">
        <f t="shared" si="1"/>
        <v>0</v>
      </c>
      <c r="J160" s="100">
        <f t="shared" si="6"/>
        <v>0</v>
      </c>
      <c r="K160" s="101">
        <f t="shared" si="4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5"/>
        <v>0</v>
      </c>
      <c r="I161" s="99">
        <f t="shared" si="1"/>
        <v>0</v>
      </c>
      <c r="J161" s="100">
        <f t="shared" si="6"/>
        <v>0</v>
      </c>
      <c r="K161" s="101">
        <f t="shared" si="4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5"/>
        <v>0</v>
      </c>
      <c r="I162" s="99">
        <f t="shared" si="1"/>
        <v>0</v>
      </c>
      <c r="J162" s="100">
        <f t="shared" si="6"/>
        <v>0</v>
      </c>
      <c r="K162" s="101">
        <f t="shared" si="4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5"/>
        <v>0</v>
      </c>
      <c r="I163" s="99">
        <f t="shared" si="1"/>
        <v>0</v>
      </c>
      <c r="J163" s="100">
        <f t="shared" si="6"/>
        <v>0</v>
      </c>
      <c r="K163" s="101">
        <f t="shared" si="4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5"/>
        <v>0</v>
      </c>
      <c r="I164" s="99">
        <f t="shared" si="1"/>
        <v>0</v>
      </c>
      <c r="J164" s="100">
        <f t="shared" si="6"/>
        <v>0</v>
      </c>
      <c r="K164" s="101">
        <f t="shared" si="4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5"/>
        <v>0</v>
      </c>
      <c r="I165" s="99">
        <f t="shared" si="1"/>
        <v>0</v>
      </c>
      <c r="J165" s="100">
        <f t="shared" si="6"/>
        <v>0</v>
      </c>
      <c r="K165" s="101">
        <f t="shared" si="4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5"/>
        <v>0</v>
      </c>
      <c r="I166" s="99">
        <f t="shared" si="1"/>
        <v>0</v>
      </c>
      <c r="J166" s="100">
        <f t="shared" si="6"/>
        <v>0</v>
      </c>
      <c r="K166" s="101">
        <f t="shared" si="4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5"/>
        <v>0</v>
      </c>
      <c r="I167" s="99">
        <f t="shared" si="1"/>
        <v>0</v>
      </c>
      <c r="J167" s="100">
        <f t="shared" si="6"/>
        <v>0</v>
      </c>
      <c r="K167" s="101">
        <f t="shared" si="4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5"/>
        <v>0</v>
      </c>
      <c r="I168" s="99">
        <f t="shared" si="1"/>
        <v>0</v>
      </c>
      <c r="J168" s="100">
        <f t="shared" si="6"/>
        <v>0</v>
      </c>
      <c r="K168" s="101">
        <f t="shared" si="4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5"/>
        <v>0</v>
      </c>
      <c r="I169" s="99">
        <f t="shared" si="1"/>
        <v>0</v>
      </c>
      <c r="J169" s="100">
        <f t="shared" si="6"/>
        <v>0</v>
      </c>
      <c r="K169" s="101">
        <f t="shared" si="4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5"/>
        <v>0</v>
      </c>
      <c r="I170" s="99">
        <f t="shared" si="1"/>
        <v>0</v>
      </c>
      <c r="J170" s="100">
        <f t="shared" si="6"/>
        <v>0</v>
      </c>
      <c r="K170" s="101">
        <f t="shared" si="4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5"/>
        <v>0</v>
      </c>
      <c r="I171" s="99">
        <f t="shared" si="1"/>
        <v>0</v>
      </c>
      <c r="J171" s="100">
        <f t="shared" si="6"/>
        <v>0</v>
      </c>
      <c r="K171" s="101">
        <f t="shared" si="4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5"/>
        <v>0</v>
      </c>
      <c r="I172" s="99">
        <f t="shared" si="1"/>
        <v>0</v>
      </c>
      <c r="J172" s="100">
        <f t="shared" si="6"/>
        <v>0</v>
      </c>
      <c r="K172" s="101">
        <f t="shared" si="4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5"/>
        <v>0</v>
      </c>
      <c r="I173" s="99">
        <f t="shared" si="1"/>
        <v>0</v>
      </c>
      <c r="J173" s="100">
        <f t="shared" si="6"/>
        <v>0</v>
      </c>
      <c r="K173" s="101">
        <f t="shared" si="4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5"/>
        <v>0</v>
      </c>
      <c r="I174" s="99">
        <f t="shared" si="1"/>
        <v>0</v>
      </c>
      <c r="J174" s="100">
        <f t="shared" si="6"/>
        <v>0</v>
      </c>
      <c r="K174" s="101">
        <f t="shared" si="4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5"/>
        <v>0</v>
      </c>
      <c r="I175" s="99">
        <f t="shared" si="1"/>
        <v>0</v>
      </c>
      <c r="J175" s="100">
        <f t="shared" si="6"/>
        <v>0</v>
      </c>
      <c r="K175" s="101">
        <f t="shared" si="4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5"/>
        <v>0</v>
      </c>
      <c r="I176" s="99">
        <f t="shared" si="1"/>
        <v>0</v>
      </c>
      <c r="J176" s="100">
        <f t="shared" si="6"/>
        <v>0</v>
      </c>
      <c r="K176" s="101">
        <f t="shared" si="4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5"/>
        <v>0</v>
      </c>
      <c r="I177" s="99">
        <f t="shared" si="1"/>
        <v>0</v>
      </c>
      <c r="J177" s="100">
        <f t="shared" si="6"/>
        <v>0</v>
      </c>
      <c r="K177" s="101">
        <f t="shared" si="4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5"/>
        <v>0</v>
      </c>
      <c r="I178" s="99">
        <f t="shared" si="1"/>
        <v>0</v>
      </c>
      <c r="J178" s="100">
        <f t="shared" si="6"/>
        <v>0</v>
      </c>
      <c r="K178" s="101">
        <f t="shared" si="4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5"/>
        <v>0</v>
      </c>
      <c r="I179" s="99">
        <f t="shared" si="1"/>
        <v>0</v>
      </c>
      <c r="J179" s="100">
        <f t="shared" si="6"/>
        <v>0</v>
      </c>
      <c r="K179" s="101">
        <f t="shared" si="4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5"/>
        <v>0</v>
      </c>
      <c r="I180" s="99">
        <f t="shared" si="1"/>
        <v>0</v>
      </c>
      <c r="J180" s="100">
        <f t="shared" si="6"/>
        <v>0</v>
      </c>
      <c r="K180" s="101">
        <f t="shared" si="4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5"/>
        <v>0</v>
      </c>
      <c r="I181" s="99">
        <f t="shared" si="1"/>
        <v>0</v>
      </c>
      <c r="J181" s="100">
        <f t="shared" si="6"/>
        <v>0</v>
      </c>
      <c r="K181" s="101">
        <f t="shared" si="4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5"/>
        <v>0</v>
      </c>
      <c r="I182" s="99">
        <f t="shared" si="1"/>
        <v>0</v>
      </c>
      <c r="J182" s="100">
        <f t="shared" si="6"/>
        <v>0</v>
      </c>
      <c r="K182" s="101">
        <f t="shared" si="4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5"/>
        <v>0</v>
      </c>
      <c r="I183" s="99">
        <f t="shared" si="1"/>
        <v>0</v>
      </c>
      <c r="J183" s="100">
        <f t="shared" si="6"/>
        <v>0</v>
      </c>
      <c r="K183" s="101">
        <f t="shared" si="4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5"/>
        <v>0</v>
      </c>
      <c r="I184" s="99">
        <f t="shared" si="1"/>
        <v>0</v>
      </c>
      <c r="J184" s="100">
        <f t="shared" si="6"/>
        <v>0</v>
      </c>
      <c r="K184" s="101">
        <f t="shared" si="4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5"/>
        <v>0</v>
      </c>
      <c r="I185" s="99">
        <f t="shared" si="1"/>
        <v>0</v>
      </c>
      <c r="J185" s="100">
        <f t="shared" si="6"/>
        <v>0</v>
      </c>
      <c r="K185" s="101">
        <f t="shared" si="4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5"/>
        <v>0</v>
      </c>
      <c r="I186" s="99">
        <f t="shared" si="1"/>
        <v>0</v>
      </c>
      <c r="J186" s="100">
        <f t="shared" si="6"/>
        <v>0</v>
      </c>
      <c r="K186" s="101">
        <f t="shared" si="4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5"/>
        <v>0</v>
      </c>
      <c r="I187" s="99">
        <f t="shared" si="1"/>
        <v>0</v>
      </c>
      <c r="J187" s="100">
        <f t="shared" si="6"/>
        <v>0</v>
      </c>
      <c r="K187" s="101">
        <f t="shared" si="4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5"/>
        <v>0</v>
      </c>
      <c r="I188" s="99">
        <f t="shared" si="1"/>
        <v>0</v>
      </c>
      <c r="J188" s="100">
        <f t="shared" si="6"/>
        <v>0</v>
      </c>
      <c r="K188" s="101">
        <f t="shared" si="4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5"/>
        <v>0</v>
      </c>
      <c r="I189" s="99">
        <f t="shared" si="1"/>
        <v>0</v>
      </c>
      <c r="J189" s="100">
        <f t="shared" si="6"/>
        <v>0</v>
      </c>
      <c r="K189" s="101">
        <f t="shared" si="4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5"/>
        <v>0</v>
      </c>
      <c r="I190" s="99">
        <f t="shared" si="1"/>
        <v>0</v>
      </c>
      <c r="J190" s="100">
        <f t="shared" si="6"/>
        <v>0</v>
      </c>
      <c r="K190" s="101">
        <f t="shared" si="4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5"/>
        <v>0</v>
      </c>
      <c r="I191" s="99">
        <f t="shared" si="1"/>
        <v>0</v>
      </c>
      <c r="J191" s="100">
        <f t="shared" si="6"/>
        <v>0</v>
      </c>
      <c r="K191" s="101">
        <f t="shared" si="4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5"/>
        <v>0</v>
      </c>
      <c r="I192" s="99">
        <f t="shared" si="1"/>
        <v>0</v>
      </c>
      <c r="J192" s="100">
        <f t="shared" si="6"/>
        <v>0</v>
      </c>
      <c r="K192" s="101">
        <f t="shared" si="4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5"/>
        <v>0</v>
      </c>
      <c r="I193" s="99">
        <f t="shared" si="1"/>
        <v>0</v>
      </c>
      <c r="J193" s="100">
        <f t="shared" si="6"/>
        <v>0</v>
      </c>
      <c r="K193" s="101">
        <f t="shared" si="4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5"/>
        <v>0</v>
      </c>
      <c r="I194" s="99">
        <f t="shared" si="1"/>
        <v>0</v>
      </c>
      <c r="J194" s="100">
        <f t="shared" si="6"/>
        <v>0</v>
      </c>
      <c r="K194" s="101">
        <f t="shared" si="4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5"/>
        <v>0</v>
      </c>
      <c r="I195" s="99">
        <f t="shared" si="1"/>
        <v>0</v>
      </c>
      <c r="J195" s="100">
        <f t="shared" si="6"/>
        <v>0</v>
      </c>
      <c r="K195" s="101">
        <f t="shared" si="4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5"/>
        <v>0</v>
      </c>
      <c r="I196" s="99">
        <f t="shared" si="1"/>
        <v>0</v>
      </c>
      <c r="J196" s="100">
        <f t="shared" si="6"/>
        <v>0</v>
      </c>
      <c r="K196" s="101">
        <f t="shared" si="4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5"/>
        <v>0</v>
      </c>
      <c r="I197" s="99">
        <f t="shared" si="1"/>
        <v>0</v>
      </c>
      <c r="J197" s="100">
        <f t="shared" si="6"/>
        <v>0</v>
      </c>
      <c r="K197" s="101">
        <f t="shared" si="4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5"/>
        <v>0</v>
      </c>
      <c r="I198" s="99">
        <f t="shared" si="1"/>
        <v>0</v>
      </c>
      <c r="J198" s="100">
        <f t="shared" si="6"/>
        <v>0</v>
      </c>
      <c r="K198" s="101">
        <f t="shared" si="4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5"/>
        <v>0</v>
      </c>
      <c r="I199" s="99">
        <f t="shared" si="1"/>
        <v>0</v>
      </c>
      <c r="J199" s="100">
        <f t="shared" si="6"/>
        <v>0</v>
      </c>
      <c r="K199" s="101">
        <f t="shared" si="4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5"/>
        <v>0</v>
      </c>
      <c r="I200" s="99">
        <f t="shared" si="1"/>
        <v>0</v>
      </c>
      <c r="J200" s="100">
        <f t="shared" si="6"/>
        <v>0</v>
      </c>
      <c r="K200" s="101">
        <f t="shared" si="4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5"/>
        <v>0</v>
      </c>
      <c r="I201" s="99">
        <f t="shared" si="1"/>
        <v>0</v>
      </c>
      <c r="J201" s="100">
        <f t="shared" si="6"/>
        <v>0</v>
      </c>
      <c r="K201" s="101">
        <f t="shared" si="4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5"/>
        <v>0</v>
      </c>
      <c r="I202" s="99">
        <f t="shared" si="1"/>
        <v>0</v>
      </c>
      <c r="J202" s="100">
        <f t="shared" si="6"/>
        <v>0</v>
      </c>
      <c r="K202" s="101">
        <f t="shared" si="4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5"/>
        <v>0</v>
      </c>
      <c r="I203" s="99">
        <f t="shared" si="1"/>
        <v>0</v>
      </c>
      <c r="J203" s="100">
        <f t="shared" si="6"/>
        <v>0</v>
      </c>
      <c r="K203" s="101">
        <f t="shared" si="4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5"/>
        <v>0</v>
      </c>
      <c r="I204" s="99">
        <f t="shared" si="1"/>
        <v>0</v>
      </c>
      <c r="J204" s="100">
        <f t="shared" si="6"/>
        <v>0</v>
      </c>
      <c r="K204" s="101">
        <f t="shared" si="4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5"/>
        <v>0</v>
      </c>
      <c r="I205" s="99">
        <f t="shared" si="1"/>
        <v>0</v>
      </c>
      <c r="J205" s="100">
        <f t="shared" si="6"/>
        <v>0</v>
      </c>
      <c r="K205" s="101">
        <f t="shared" si="4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5"/>
        <v>0</v>
      </c>
      <c r="I206" s="99">
        <f t="shared" si="1"/>
        <v>0</v>
      </c>
      <c r="J206" s="100">
        <f t="shared" si="6"/>
        <v>0</v>
      </c>
      <c r="K206" s="101">
        <f t="shared" si="4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5"/>
        <v>0</v>
      </c>
      <c r="I207" s="99">
        <f t="shared" si="1"/>
        <v>0</v>
      </c>
      <c r="J207" s="100">
        <f t="shared" si="6"/>
        <v>0</v>
      </c>
      <c r="K207" s="101">
        <f t="shared" si="4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5"/>
        <v>0</v>
      </c>
      <c r="I208" s="99">
        <f t="shared" si="1"/>
        <v>0</v>
      </c>
      <c r="J208" s="100">
        <f t="shared" si="6"/>
        <v>0</v>
      </c>
      <c r="K208" s="101">
        <f t="shared" si="4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5"/>
        <v>0</v>
      </c>
      <c r="I209" s="99">
        <f t="shared" si="1"/>
        <v>0</v>
      </c>
      <c r="J209" s="100">
        <f t="shared" si="6"/>
        <v>0</v>
      </c>
      <c r="K209" s="101">
        <f t="shared" si="4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5"/>
        <v>0</v>
      </c>
      <c r="I210" s="99">
        <f t="shared" si="1"/>
        <v>0</v>
      </c>
      <c r="J210" s="100">
        <f t="shared" si="6"/>
        <v>0</v>
      </c>
      <c r="K210" s="101">
        <f t="shared" si="4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5"/>
        <v>0</v>
      </c>
      <c r="I211" s="99">
        <f t="shared" si="1"/>
        <v>0</v>
      </c>
      <c r="J211" s="100">
        <f t="shared" si="6"/>
        <v>0</v>
      </c>
      <c r="K211" s="101">
        <f t="shared" si="4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5"/>
        <v>0</v>
      </c>
      <c r="I212" s="99">
        <f t="shared" si="1"/>
        <v>0</v>
      </c>
      <c r="J212" s="100">
        <f t="shared" si="6"/>
        <v>0</v>
      </c>
      <c r="K212" s="101">
        <f t="shared" si="4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5"/>
        <v>0</v>
      </c>
      <c r="I213" s="99">
        <f t="shared" si="1"/>
        <v>0</v>
      </c>
      <c r="J213" s="100">
        <f t="shared" si="6"/>
        <v>0</v>
      </c>
      <c r="K213" s="101">
        <f t="shared" si="4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5"/>
        <v>0</v>
      </c>
      <c r="I214" s="99">
        <f t="shared" si="1"/>
        <v>0</v>
      </c>
      <c r="J214" s="100">
        <f t="shared" si="6"/>
        <v>0</v>
      </c>
      <c r="K214" s="101">
        <f t="shared" si="4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5"/>
        <v>0</v>
      </c>
      <c r="I215" s="99">
        <f t="shared" si="1"/>
        <v>0</v>
      </c>
      <c r="J215" s="100">
        <f t="shared" si="6"/>
        <v>0</v>
      </c>
      <c r="K215" s="101">
        <f t="shared" si="4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2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1:C853">
    <cfRule type="cellIs" dxfId="51" priority="2" operator="lessThan">
      <formula>"90%"</formula>
    </cfRule>
    <cfRule type="cellIs" dxfId="50" priority="3" operator="lessThan">
      <formula>"94%"</formula>
    </cfRule>
  </conditionalFormatting>
  <conditionalFormatting sqref="K1:K853">
    <cfRule type="cellIs" dxfId="49" priority="1" operator="lessThan">
      <formula>0</formula>
    </cfRule>
  </conditionalFormatting>
  <dataValidations count="1">
    <dataValidation type="list" allowBlank="1" sqref="E7:E215" xr:uid="{00000000-0002-0000-02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FF"/>
    <outlinePr summaryBelow="0" summaryRight="0"/>
  </sheetPr>
  <dimension ref="A1:H854"/>
  <sheetViews>
    <sheetView tabSelected="1" zoomScale="115" zoomScaleNormal="115" workbookViewId="0">
      <pane ySplit="6" topLeftCell="A68" activePane="bottomLeft" state="frozen"/>
      <selection pane="bottomLeft" activeCell="E3" sqref="E3:F3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2.42578125" customWidth="1"/>
    <col min="5" max="7" width="16.28515625" customWidth="1"/>
    <col min="8" max="8" width="17.42578125" customWidth="1"/>
  </cols>
  <sheetData>
    <row r="1" spans="1:8" ht="27" thickBot="1" x14ac:dyDescent="0.4">
      <c r="A1" s="80"/>
      <c r="B1" s="80"/>
      <c r="C1" s="80"/>
      <c r="D1" s="80"/>
      <c r="E1" s="81"/>
      <c r="F1" s="81"/>
      <c r="G1" s="82"/>
      <c r="H1" s="83">
        <f>SUM(H7:H215)</f>
        <v>-331.85029999999682</v>
      </c>
    </row>
    <row r="2" spans="1:8" ht="15.75" customHeight="1" thickTop="1" x14ac:dyDescent="0.25">
      <c r="A2" s="242" t="s">
        <v>300</v>
      </c>
      <c r="B2" s="206"/>
      <c r="C2" s="206"/>
      <c r="D2" s="206"/>
      <c r="E2" s="243" t="s">
        <v>2</v>
      </c>
      <c r="F2" s="244"/>
      <c r="G2" s="84" t="s">
        <v>212</v>
      </c>
      <c r="H2" s="268" t="s">
        <v>213</v>
      </c>
    </row>
    <row r="3" spans="1:8" ht="23.25" x14ac:dyDescent="0.3">
      <c r="A3" s="206"/>
      <c r="B3" s="206"/>
      <c r="C3" s="206"/>
      <c r="D3" s="206"/>
      <c r="E3" s="246">
        <f>SUM(F7:F128)</f>
        <v>158482.72550000003</v>
      </c>
      <c r="F3" s="244"/>
      <c r="G3" s="247">
        <v>0.95</v>
      </c>
      <c r="H3" s="269"/>
    </row>
    <row r="4" spans="1:8" ht="23.25" customHeight="1" x14ac:dyDescent="0.2">
      <c r="A4" s="206"/>
      <c r="B4" s="206"/>
      <c r="C4" s="206"/>
      <c r="D4" s="206"/>
      <c r="E4" s="249" t="s">
        <v>214</v>
      </c>
      <c r="F4" s="206"/>
      <c r="G4" s="248"/>
      <c r="H4" s="269"/>
    </row>
    <row r="5" spans="1:8" ht="32.25" customHeight="1" thickBot="1" x14ac:dyDescent="0.4">
      <c r="A5" s="206"/>
      <c r="B5" s="206"/>
      <c r="C5" s="206"/>
      <c r="D5" s="206"/>
      <c r="E5" s="250">
        <v>55</v>
      </c>
      <c r="F5" s="206"/>
      <c r="G5" s="248"/>
      <c r="H5" s="269"/>
    </row>
    <row r="6" spans="1:8" ht="48.75" thickTop="1" thickBot="1" x14ac:dyDescent="0.3">
      <c r="A6" s="261" t="s">
        <v>215</v>
      </c>
      <c r="B6" s="262" t="s">
        <v>216</v>
      </c>
      <c r="C6" s="263" t="s">
        <v>217</v>
      </c>
      <c r="D6" s="262" t="s">
        <v>221</v>
      </c>
      <c r="E6" s="264" t="s">
        <v>222</v>
      </c>
      <c r="F6" s="265" t="s">
        <v>223</v>
      </c>
      <c r="G6" s="266" t="s">
        <v>224</v>
      </c>
      <c r="H6" s="267" t="s">
        <v>568</v>
      </c>
    </row>
    <row r="7" spans="1:8" ht="13.5" thickTop="1" x14ac:dyDescent="0.2">
      <c r="A7" s="92">
        <v>45516</v>
      </c>
      <c r="B7" s="93" t="s">
        <v>33</v>
      </c>
      <c r="C7" s="94">
        <v>1</v>
      </c>
      <c r="D7" s="97">
        <v>558</v>
      </c>
      <c r="E7" s="98">
        <f>D7-(C7*D7)</f>
        <v>0</v>
      </c>
      <c r="F7" s="99">
        <f t="shared" ref="F7:F215" si="0">E7*$E$5</f>
        <v>0</v>
      </c>
      <c r="G7" s="270">
        <v>0</v>
      </c>
      <c r="H7" s="271">
        <f t="shared" ref="H7:H215" si="1">G7-E7</f>
        <v>0</v>
      </c>
    </row>
    <row r="8" spans="1:8" ht="12.75" x14ac:dyDescent="0.2">
      <c r="A8" s="92">
        <v>45517</v>
      </c>
      <c r="B8" s="93" t="s">
        <v>35</v>
      </c>
      <c r="C8" s="94">
        <v>0.98780000000000001</v>
      </c>
      <c r="D8" s="97">
        <v>572</v>
      </c>
      <c r="E8" s="98">
        <f>D8-(C8*D8)</f>
        <v>6.9783999999999651</v>
      </c>
      <c r="F8" s="99">
        <f t="shared" si="0"/>
        <v>383.81199999999808</v>
      </c>
      <c r="G8" s="270">
        <f t="shared" ref="G8:G215" si="2">D8-(D8*G$3)</f>
        <v>28.600000000000023</v>
      </c>
      <c r="H8" s="271">
        <f t="shared" si="1"/>
        <v>21.621600000000058</v>
      </c>
    </row>
    <row r="9" spans="1:8" ht="12.75" x14ac:dyDescent="0.2">
      <c r="A9" s="92">
        <v>45518</v>
      </c>
      <c r="B9" s="93" t="s">
        <v>37</v>
      </c>
      <c r="C9" s="94">
        <v>0.97570000000000001</v>
      </c>
      <c r="D9" s="97">
        <v>577</v>
      </c>
      <c r="E9" s="98">
        <f>D9-(C9*D9)</f>
        <v>14.021100000000047</v>
      </c>
      <c r="F9" s="99">
        <f t="shared" si="0"/>
        <v>771.16050000000257</v>
      </c>
      <c r="G9" s="270">
        <f t="shared" si="2"/>
        <v>28.850000000000023</v>
      </c>
      <c r="H9" s="271">
        <f t="shared" si="1"/>
        <v>14.828899999999976</v>
      </c>
    </row>
    <row r="10" spans="1:8" ht="12.75" x14ac:dyDescent="0.2">
      <c r="A10" s="92">
        <v>45519</v>
      </c>
      <c r="B10" s="93" t="s">
        <v>39</v>
      </c>
      <c r="C10" s="94">
        <v>0.97430000000000005</v>
      </c>
      <c r="D10" s="97">
        <v>583</v>
      </c>
      <c r="E10" s="98">
        <f>D10-(C10*D10)</f>
        <v>14.983099999999922</v>
      </c>
      <c r="F10" s="99">
        <f t="shared" si="0"/>
        <v>824.07049999999572</v>
      </c>
      <c r="G10" s="270">
        <f t="shared" si="2"/>
        <v>29.149999999999977</v>
      </c>
      <c r="H10" s="271">
        <f t="shared" si="1"/>
        <v>14.166900000000055</v>
      </c>
    </row>
    <row r="11" spans="1:8" ht="12.75" x14ac:dyDescent="0.2">
      <c r="A11" s="92">
        <v>45520</v>
      </c>
      <c r="B11" s="93" t="s">
        <v>41</v>
      </c>
      <c r="C11" s="94">
        <v>0.97599999999999998</v>
      </c>
      <c r="D11" s="97">
        <v>583</v>
      </c>
      <c r="E11" s="98">
        <f>D11-(C11*D11)</f>
        <v>13.991999999999962</v>
      </c>
      <c r="F11" s="99">
        <f t="shared" si="0"/>
        <v>769.5599999999979</v>
      </c>
      <c r="G11" s="270">
        <f t="shared" si="2"/>
        <v>29.149999999999977</v>
      </c>
      <c r="H11" s="271">
        <f t="shared" si="1"/>
        <v>15.158000000000015</v>
      </c>
    </row>
    <row r="12" spans="1:8" ht="12.75" x14ac:dyDescent="0.2">
      <c r="A12" s="92">
        <v>45523</v>
      </c>
      <c r="B12" s="93" t="s">
        <v>33</v>
      </c>
      <c r="C12" s="94">
        <v>0.95909999999999995</v>
      </c>
      <c r="D12" s="97">
        <v>587</v>
      </c>
      <c r="E12" s="98">
        <f>D12-(C12*D12)</f>
        <v>24.008300000000077</v>
      </c>
      <c r="F12" s="99">
        <f t="shared" si="0"/>
        <v>1320.4565000000043</v>
      </c>
      <c r="G12" s="270">
        <f t="shared" si="2"/>
        <v>29.350000000000023</v>
      </c>
      <c r="H12" s="271">
        <f t="shared" si="1"/>
        <v>5.3416999999999462</v>
      </c>
    </row>
    <row r="13" spans="1:8" ht="12.75" x14ac:dyDescent="0.2">
      <c r="A13" s="92">
        <v>45524</v>
      </c>
      <c r="B13" s="93" t="s">
        <v>35</v>
      </c>
      <c r="C13" s="94">
        <v>0.94740000000000002</v>
      </c>
      <c r="D13" s="97">
        <v>589</v>
      </c>
      <c r="E13" s="98">
        <f>D13-(C13*D13)</f>
        <v>30.981400000000008</v>
      </c>
      <c r="F13" s="99">
        <f t="shared" si="0"/>
        <v>1703.9770000000003</v>
      </c>
      <c r="G13" s="270">
        <f t="shared" si="2"/>
        <v>29.450000000000045</v>
      </c>
      <c r="H13" s="271">
        <f t="shared" si="1"/>
        <v>-1.5313999999999623</v>
      </c>
    </row>
    <row r="14" spans="1:8" ht="12.75" x14ac:dyDescent="0.2">
      <c r="A14" s="92">
        <v>45525</v>
      </c>
      <c r="B14" s="93" t="s">
        <v>37</v>
      </c>
      <c r="C14" s="94">
        <v>0.94920000000000004</v>
      </c>
      <c r="D14" s="97">
        <v>591</v>
      </c>
      <c r="E14" s="98">
        <f>D14-(C14*D14)</f>
        <v>30.022799999999961</v>
      </c>
      <c r="F14" s="99">
        <f t="shared" si="0"/>
        <v>1651.2539999999979</v>
      </c>
      <c r="G14" s="270">
        <f t="shared" si="2"/>
        <v>29.550000000000068</v>
      </c>
      <c r="H14" s="271">
        <f t="shared" si="1"/>
        <v>-0.47279999999989286</v>
      </c>
    </row>
    <row r="15" spans="1:8" ht="12.75" x14ac:dyDescent="0.2">
      <c r="A15" s="92">
        <v>45526</v>
      </c>
      <c r="B15" s="93" t="s">
        <v>39</v>
      </c>
      <c r="C15" s="94">
        <v>0.97130000000000005</v>
      </c>
      <c r="D15" s="97">
        <v>592</v>
      </c>
      <c r="E15" s="98">
        <f>D15-(C15*D15)</f>
        <v>16.990400000000022</v>
      </c>
      <c r="F15" s="99">
        <f t="shared" si="0"/>
        <v>934.47200000000123</v>
      </c>
      <c r="G15" s="270">
        <f t="shared" si="2"/>
        <v>29.600000000000023</v>
      </c>
      <c r="H15" s="271">
        <f t="shared" si="1"/>
        <v>12.6096</v>
      </c>
    </row>
    <row r="16" spans="1:8" ht="12.75" x14ac:dyDescent="0.2">
      <c r="A16" s="92">
        <v>45527</v>
      </c>
      <c r="B16" s="93" t="s">
        <v>41</v>
      </c>
      <c r="C16" s="94">
        <v>0.93559999999999999</v>
      </c>
      <c r="D16" s="97">
        <v>590</v>
      </c>
      <c r="E16" s="98">
        <f>D16-(C16*D16)</f>
        <v>37.995999999999981</v>
      </c>
      <c r="F16" s="99">
        <f t="shared" si="0"/>
        <v>2089.7799999999988</v>
      </c>
      <c r="G16" s="270">
        <f t="shared" si="2"/>
        <v>29.5</v>
      </c>
      <c r="H16" s="271">
        <f t="shared" si="1"/>
        <v>-8.4959999999999809</v>
      </c>
    </row>
    <row r="17" spans="1:8" ht="12.75" x14ac:dyDescent="0.2">
      <c r="A17" s="92">
        <v>45530</v>
      </c>
      <c r="B17" s="93" t="s">
        <v>33</v>
      </c>
      <c r="C17" s="94">
        <v>0.93899999999999995</v>
      </c>
      <c r="D17" s="97">
        <v>590</v>
      </c>
      <c r="E17" s="98">
        <f>D17-(C17*D17)</f>
        <v>35.990000000000009</v>
      </c>
      <c r="F17" s="99">
        <f t="shared" si="0"/>
        <v>1979.4500000000005</v>
      </c>
      <c r="G17" s="270">
        <f t="shared" si="2"/>
        <v>29.5</v>
      </c>
      <c r="H17" s="271">
        <f t="shared" si="1"/>
        <v>-6.4900000000000091</v>
      </c>
    </row>
    <row r="18" spans="1:8" ht="12.75" x14ac:dyDescent="0.2">
      <c r="A18" s="92">
        <v>45531</v>
      </c>
      <c r="B18" s="93" t="s">
        <v>35</v>
      </c>
      <c r="C18" s="94">
        <v>0.95950000000000002</v>
      </c>
      <c r="D18" s="97">
        <v>593</v>
      </c>
      <c r="E18" s="98">
        <f>D18-(C18*D18)</f>
        <v>24.016499999999951</v>
      </c>
      <c r="F18" s="99">
        <f t="shared" si="0"/>
        <v>1320.9074999999973</v>
      </c>
      <c r="G18" s="270">
        <f t="shared" si="2"/>
        <v>29.649999999999977</v>
      </c>
      <c r="H18" s="271">
        <f t="shared" si="1"/>
        <v>5.6335000000000264</v>
      </c>
    </row>
    <row r="19" spans="1:8" ht="12.75" x14ac:dyDescent="0.2">
      <c r="A19" s="92">
        <v>45532</v>
      </c>
      <c r="B19" s="93" t="s">
        <v>37</v>
      </c>
      <c r="C19" s="94">
        <v>0.96120000000000005</v>
      </c>
      <c r="D19" s="97">
        <v>593</v>
      </c>
      <c r="E19" s="98">
        <f>D19-(C19*D19)</f>
        <v>23.008399999999938</v>
      </c>
      <c r="F19" s="99">
        <f t="shared" si="0"/>
        <v>1265.4619999999966</v>
      </c>
      <c r="G19" s="270">
        <f t="shared" si="2"/>
        <v>29.649999999999977</v>
      </c>
      <c r="H19" s="271">
        <f t="shared" si="1"/>
        <v>6.6416000000000395</v>
      </c>
    </row>
    <row r="20" spans="1:8" ht="12.75" x14ac:dyDescent="0.2">
      <c r="A20" s="92">
        <v>45533</v>
      </c>
      <c r="B20" s="93" t="s">
        <v>39</v>
      </c>
      <c r="C20" s="94">
        <v>0.96460000000000001</v>
      </c>
      <c r="D20" s="97">
        <v>593</v>
      </c>
      <c r="E20" s="98">
        <f>D20-(C20*D20)</f>
        <v>20.992200000000025</v>
      </c>
      <c r="F20" s="99">
        <f t="shared" si="0"/>
        <v>1154.5710000000013</v>
      </c>
      <c r="G20" s="270">
        <f t="shared" si="2"/>
        <v>29.649999999999977</v>
      </c>
      <c r="H20" s="271">
        <f t="shared" si="1"/>
        <v>8.657799999999952</v>
      </c>
    </row>
    <row r="21" spans="1:8" ht="12.75" x14ac:dyDescent="0.2">
      <c r="A21" s="92">
        <v>45534</v>
      </c>
      <c r="B21" s="93" t="s">
        <v>41</v>
      </c>
      <c r="C21" s="94">
        <v>0.93589999999999995</v>
      </c>
      <c r="D21" s="97">
        <v>593</v>
      </c>
      <c r="E21" s="98">
        <f>D21-(C21*D21)</f>
        <v>38.011300000000006</v>
      </c>
      <c r="F21" s="99">
        <f t="shared" si="0"/>
        <v>2090.6215000000002</v>
      </c>
      <c r="G21" s="270">
        <f t="shared" si="2"/>
        <v>29.649999999999977</v>
      </c>
      <c r="H21" s="271">
        <f t="shared" si="1"/>
        <v>-8.3613000000000284</v>
      </c>
    </row>
    <row r="22" spans="1:8" ht="12.75" x14ac:dyDescent="0.2">
      <c r="A22" s="103">
        <v>45537</v>
      </c>
      <c r="B22" s="104" t="s">
        <v>33</v>
      </c>
      <c r="C22" s="105"/>
      <c r="D22" s="108"/>
      <c r="E22" s="98">
        <f>D22-(C22*D22)</f>
        <v>0</v>
      </c>
      <c r="F22" s="99">
        <f t="shared" si="0"/>
        <v>0</v>
      </c>
      <c r="G22" s="270">
        <f t="shared" si="2"/>
        <v>0</v>
      </c>
      <c r="H22" s="271">
        <f t="shared" si="1"/>
        <v>0</v>
      </c>
    </row>
    <row r="23" spans="1:8" ht="12.75" x14ac:dyDescent="0.2">
      <c r="A23" s="92">
        <v>45538</v>
      </c>
      <c r="B23" s="93" t="s">
        <v>35</v>
      </c>
      <c r="C23" s="94">
        <v>0.93269999999999997</v>
      </c>
      <c r="D23" s="97">
        <v>594</v>
      </c>
      <c r="E23" s="98">
        <f>D23-(C23*D23)</f>
        <v>39.976200000000063</v>
      </c>
      <c r="F23" s="99">
        <f t="shared" si="0"/>
        <v>2198.6910000000034</v>
      </c>
      <c r="G23" s="270">
        <f t="shared" si="2"/>
        <v>29.700000000000045</v>
      </c>
      <c r="H23" s="271">
        <f t="shared" si="1"/>
        <v>-10.276200000000017</v>
      </c>
    </row>
    <row r="24" spans="1:8" ht="12.75" x14ac:dyDescent="0.2">
      <c r="A24" s="92">
        <v>45539</v>
      </c>
      <c r="B24" s="93" t="s">
        <v>37</v>
      </c>
      <c r="C24" s="94">
        <v>0.96130000000000004</v>
      </c>
      <c r="D24" s="97">
        <v>595</v>
      </c>
      <c r="E24" s="98">
        <f>D24-(C24*D24)</f>
        <v>23.026499999999942</v>
      </c>
      <c r="F24" s="99">
        <f t="shared" si="0"/>
        <v>1266.4574999999968</v>
      </c>
      <c r="G24" s="270">
        <f t="shared" si="2"/>
        <v>29.75</v>
      </c>
      <c r="H24" s="271">
        <f t="shared" si="1"/>
        <v>6.7235000000000582</v>
      </c>
    </row>
    <row r="25" spans="1:8" ht="12.75" x14ac:dyDescent="0.2">
      <c r="A25" s="92">
        <v>45540</v>
      </c>
      <c r="B25" s="93" t="s">
        <v>39</v>
      </c>
      <c r="C25" s="94">
        <v>0.95620000000000005</v>
      </c>
      <c r="D25" s="97">
        <v>594</v>
      </c>
      <c r="E25" s="98">
        <f>D25-(C25*D25)</f>
        <v>26.017200000000003</v>
      </c>
      <c r="F25" s="99">
        <f t="shared" si="0"/>
        <v>1430.9460000000001</v>
      </c>
      <c r="G25" s="270">
        <f t="shared" si="2"/>
        <v>29.700000000000045</v>
      </c>
      <c r="H25" s="271">
        <f t="shared" si="1"/>
        <v>3.6828000000000429</v>
      </c>
    </row>
    <row r="26" spans="1:8" ht="12.75" x14ac:dyDescent="0.2">
      <c r="A26" s="92">
        <v>45541</v>
      </c>
      <c r="B26" s="93" t="s">
        <v>41</v>
      </c>
      <c r="C26" s="94">
        <v>0.95279999999999998</v>
      </c>
      <c r="D26" s="97">
        <v>593</v>
      </c>
      <c r="E26" s="98">
        <f>D26-(C26*D26)</f>
        <v>27.989599999999996</v>
      </c>
      <c r="F26" s="99">
        <f t="shared" si="0"/>
        <v>1539.4279999999999</v>
      </c>
      <c r="G26" s="270">
        <f t="shared" si="2"/>
        <v>29.649999999999977</v>
      </c>
      <c r="H26" s="271">
        <f t="shared" si="1"/>
        <v>1.6603999999999814</v>
      </c>
    </row>
    <row r="27" spans="1:8" ht="12.75" x14ac:dyDescent="0.2">
      <c r="A27" s="92">
        <v>45544</v>
      </c>
      <c r="B27" s="93" t="s">
        <v>33</v>
      </c>
      <c r="C27" s="94">
        <v>0.96950000000000003</v>
      </c>
      <c r="D27" s="97">
        <v>591</v>
      </c>
      <c r="E27" s="98">
        <f>D27-(C27*D27)</f>
        <v>18.025499999999965</v>
      </c>
      <c r="F27" s="99">
        <f t="shared" si="0"/>
        <v>991.4024999999981</v>
      </c>
      <c r="G27" s="270">
        <f t="shared" si="2"/>
        <v>29.550000000000068</v>
      </c>
      <c r="H27" s="271">
        <f t="shared" si="1"/>
        <v>11.524500000000103</v>
      </c>
    </row>
    <row r="28" spans="1:8" ht="12.75" x14ac:dyDescent="0.2">
      <c r="A28" s="92">
        <v>45545</v>
      </c>
      <c r="B28" s="93" t="s">
        <v>35</v>
      </c>
      <c r="C28" s="94">
        <v>0.95420000000000005</v>
      </c>
      <c r="D28" s="97">
        <v>590</v>
      </c>
      <c r="E28" s="98">
        <f>D28-(C28*D28)</f>
        <v>27.021999999999935</v>
      </c>
      <c r="F28" s="99">
        <f t="shared" si="0"/>
        <v>1486.2099999999964</v>
      </c>
      <c r="G28" s="270">
        <f t="shared" si="2"/>
        <v>29.5</v>
      </c>
      <c r="H28" s="271">
        <f t="shared" si="1"/>
        <v>2.4780000000000655</v>
      </c>
    </row>
    <row r="29" spans="1:8" ht="12.75" x14ac:dyDescent="0.2">
      <c r="A29" s="92">
        <v>45546</v>
      </c>
      <c r="B29" s="93" t="s">
        <v>37</v>
      </c>
      <c r="C29" s="94">
        <v>0.94920000000000004</v>
      </c>
      <c r="D29" s="97">
        <v>590</v>
      </c>
      <c r="E29" s="98">
        <f>D29-(C29*D29)</f>
        <v>29.97199999999998</v>
      </c>
      <c r="F29" s="99">
        <f t="shared" si="0"/>
        <v>1648.4599999999989</v>
      </c>
      <c r="G29" s="270">
        <f t="shared" si="2"/>
        <v>29.5</v>
      </c>
      <c r="H29" s="271">
        <f t="shared" si="1"/>
        <v>-0.47199999999997999</v>
      </c>
    </row>
    <row r="30" spans="1:8" ht="12.75" x14ac:dyDescent="0.2">
      <c r="A30" s="92">
        <v>45547</v>
      </c>
      <c r="B30" s="93" t="s">
        <v>39</v>
      </c>
      <c r="C30" s="94">
        <v>0.96440000000000003</v>
      </c>
      <c r="D30" s="97">
        <v>590</v>
      </c>
      <c r="E30" s="98">
        <f>D30-(C30*D30)</f>
        <v>21.004000000000019</v>
      </c>
      <c r="F30" s="99">
        <f t="shared" si="0"/>
        <v>1155.2200000000012</v>
      </c>
      <c r="G30" s="270">
        <f t="shared" si="2"/>
        <v>29.5</v>
      </c>
      <c r="H30" s="271">
        <f t="shared" si="1"/>
        <v>8.4959999999999809</v>
      </c>
    </row>
    <row r="31" spans="1:8" ht="12.75" x14ac:dyDescent="0.2">
      <c r="A31" s="92">
        <v>45548</v>
      </c>
      <c r="B31" s="93" t="s">
        <v>41</v>
      </c>
      <c r="C31" s="94">
        <v>0.94750000000000001</v>
      </c>
      <c r="D31" s="97">
        <v>590</v>
      </c>
      <c r="E31" s="98">
        <f>D31-(C31*D31)</f>
        <v>30.975000000000023</v>
      </c>
      <c r="F31" s="99">
        <f t="shared" si="0"/>
        <v>1703.6250000000014</v>
      </c>
      <c r="G31" s="270">
        <f t="shared" si="2"/>
        <v>29.5</v>
      </c>
      <c r="H31" s="271">
        <f t="shared" si="1"/>
        <v>-1.4750000000000227</v>
      </c>
    </row>
    <row r="32" spans="1:8" ht="12.75" x14ac:dyDescent="0.2">
      <c r="A32" s="109">
        <v>45551</v>
      </c>
      <c r="B32" s="110" t="s">
        <v>33</v>
      </c>
      <c r="C32" s="111"/>
      <c r="D32" s="114"/>
      <c r="E32" s="98">
        <f>D32-(C32*D32)</f>
        <v>0</v>
      </c>
      <c r="F32" s="99">
        <f t="shared" si="0"/>
        <v>0</v>
      </c>
      <c r="G32" s="270">
        <f t="shared" si="2"/>
        <v>0</v>
      </c>
      <c r="H32" s="271">
        <f t="shared" si="1"/>
        <v>0</v>
      </c>
    </row>
    <row r="33" spans="1:8" ht="12.75" x14ac:dyDescent="0.2">
      <c r="A33" s="92">
        <v>45552</v>
      </c>
      <c r="B33" s="93" t="s">
        <v>35</v>
      </c>
      <c r="C33" s="94">
        <v>0.96099999999999997</v>
      </c>
      <c r="D33" s="97">
        <v>589</v>
      </c>
      <c r="E33" s="98">
        <f>D33-(C33*D33)</f>
        <v>22.971000000000004</v>
      </c>
      <c r="F33" s="99">
        <f t="shared" si="0"/>
        <v>1263.4050000000002</v>
      </c>
      <c r="G33" s="270">
        <f t="shared" si="2"/>
        <v>29.450000000000045</v>
      </c>
      <c r="H33" s="271">
        <f t="shared" si="1"/>
        <v>6.4790000000000418</v>
      </c>
    </row>
    <row r="34" spans="1:8" ht="12.75" x14ac:dyDescent="0.2">
      <c r="A34" s="92">
        <v>45553</v>
      </c>
      <c r="B34" s="93" t="s">
        <v>37</v>
      </c>
      <c r="C34" s="94">
        <v>0.97450000000000003</v>
      </c>
      <c r="D34" s="97">
        <v>589</v>
      </c>
      <c r="E34" s="98">
        <f>D34-(C34*D34)</f>
        <v>15.019499999999994</v>
      </c>
      <c r="F34" s="99">
        <f t="shared" si="0"/>
        <v>826.07249999999965</v>
      </c>
      <c r="G34" s="270">
        <f t="shared" si="2"/>
        <v>29.450000000000045</v>
      </c>
      <c r="H34" s="271">
        <f t="shared" si="1"/>
        <v>14.430500000000052</v>
      </c>
    </row>
    <row r="35" spans="1:8" ht="12.75" x14ac:dyDescent="0.2">
      <c r="A35" s="92">
        <v>45554</v>
      </c>
      <c r="B35" s="93" t="s">
        <v>39</v>
      </c>
      <c r="C35" s="94">
        <v>0.95930000000000004</v>
      </c>
      <c r="D35" s="97">
        <v>589</v>
      </c>
      <c r="E35" s="98">
        <f>D35-(C35*D35)</f>
        <v>23.972300000000018</v>
      </c>
      <c r="F35" s="99">
        <f t="shared" si="0"/>
        <v>1318.4765000000011</v>
      </c>
      <c r="G35" s="270">
        <f t="shared" si="2"/>
        <v>29.450000000000045</v>
      </c>
      <c r="H35" s="271">
        <f t="shared" si="1"/>
        <v>5.4777000000000271</v>
      </c>
    </row>
    <row r="36" spans="1:8" ht="12.75" x14ac:dyDescent="0.2">
      <c r="A36" s="92">
        <v>45555</v>
      </c>
      <c r="B36" s="93" t="s">
        <v>41</v>
      </c>
      <c r="C36" s="94">
        <v>0.94399999999999995</v>
      </c>
      <c r="D36" s="97">
        <v>589</v>
      </c>
      <c r="E36" s="98">
        <f>D36-(C36*D36)</f>
        <v>32.984000000000037</v>
      </c>
      <c r="F36" s="99">
        <f t="shared" si="0"/>
        <v>1814.1200000000022</v>
      </c>
      <c r="G36" s="270">
        <f t="shared" si="2"/>
        <v>29.450000000000045</v>
      </c>
      <c r="H36" s="271">
        <f t="shared" si="1"/>
        <v>-3.5339999999999918</v>
      </c>
    </row>
    <row r="37" spans="1:8" ht="12.75" x14ac:dyDescent="0.2">
      <c r="A37" s="92">
        <v>45558</v>
      </c>
      <c r="B37" s="93" t="s">
        <v>33</v>
      </c>
      <c r="C37" s="94">
        <v>0.95420000000000005</v>
      </c>
      <c r="D37" s="97">
        <v>590</v>
      </c>
      <c r="E37" s="98">
        <f>D37-(C37*D37)</f>
        <v>27.021999999999935</v>
      </c>
      <c r="F37" s="99">
        <f t="shared" si="0"/>
        <v>1486.2099999999964</v>
      </c>
      <c r="G37" s="270">
        <f t="shared" si="2"/>
        <v>29.5</v>
      </c>
      <c r="H37" s="271">
        <f t="shared" si="1"/>
        <v>2.4780000000000655</v>
      </c>
    </row>
    <row r="38" spans="1:8" ht="12.75" x14ac:dyDescent="0.2">
      <c r="A38" s="92">
        <v>45559</v>
      </c>
      <c r="B38" s="93" t="s">
        <v>35</v>
      </c>
      <c r="C38" s="94">
        <v>0.96950000000000003</v>
      </c>
      <c r="D38" s="97">
        <v>590</v>
      </c>
      <c r="E38" s="98">
        <f>D38-(C38*D38)</f>
        <v>17.995000000000005</v>
      </c>
      <c r="F38" s="99">
        <f t="shared" si="0"/>
        <v>989.72500000000025</v>
      </c>
      <c r="G38" s="270">
        <f t="shared" si="2"/>
        <v>29.5</v>
      </c>
      <c r="H38" s="271">
        <f t="shared" si="1"/>
        <v>11.504999999999995</v>
      </c>
    </row>
    <row r="39" spans="1:8" ht="12.75" x14ac:dyDescent="0.2">
      <c r="A39" s="92">
        <v>45560</v>
      </c>
      <c r="B39" s="93" t="s">
        <v>37</v>
      </c>
      <c r="C39" s="94">
        <v>0.96619999999999995</v>
      </c>
      <c r="D39" s="97">
        <v>592</v>
      </c>
      <c r="E39" s="98">
        <f>D39-(C39*D39)</f>
        <v>20.009599999999978</v>
      </c>
      <c r="F39" s="99">
        <f t="shared" si="0"/>
        <v>1100.5279999999989</v>
      </c>
      <c r="G39" s="270">
        <f t="shared" si="2"/>
        <v>29.600000000000023</v>
      </c>
      <c r="H39" s="271">
        <f t="shared" si="1"/>
        <v>9.5904000000000451</v>
      </c>
    </row>
    <row r="40" spans="1:8" ht="12.75" x14ac:dyDescent="0.2">
      <c r="A40" s="92">
        <v>45561</v>
      </c>
      <c r="B40" s="93" t="s">
        <v>39</v>
      </c>
      <c r="C40" s="94">
        <v>0.97640000000000005</v>
      </c>
      <c r="D40" s="97">
        <v>592</v>
      </c>
      <c r="E40" s="98">
        <f>D40-(C40*D40)</f>
        <v>13.971199999999953</v>
      </c>
      <c r="F40" s="99">
        <f t="shared" si="0"/>
        <v>768.41599999999744</v>
      </c>
      <c r="G40" s="270">
        <f t="shared" si="2"/>
        <v>29.600000000000023</v>
      </c>
      <c r="H40" s="271">
        <f t="shared" si="1"/>
        <v>15.628800000000069</v>
      </c>
    </row>
    <row r="41" spans="1:8" ht="12.75" x14ac:dyDescent="0.2">
      <c r="A41" s="92">
        <v>45562</v>
      </c>
      <c r="B41" s="93" t="s">
        <v>41</v>
      </c>
      <c r="C41" s="94">
        <v>0.94589999999999996</v>
      </c>
      <c r="D41" s="97">
        <v>592</v>
      </c>
      <c r="E41" s="98">
        <f>D41-(C41*D41)</f>
        <v>32.027199999999993</v>
      </c>
      <c r="F41" s="99">
        <f t="shared" si="0"/>
        <v>1761.4959999999996</v>
      </c>
      <c r="G41" s="270">
        <f t="shared" si="2"/>
        <v>29.600000000000023</v>
      </c>
      <c r="H41" s="271">
        <f t="shared" si="1"/>
        <v>-2.4271999999999707</v>
      </c>
    </row>
    <row r="42" spans="1:8" ht="12.75" x14ac:dyDescent="0.2">
      <c r="A42" s="92">
        <v>45565</v>
      </c>
      <c r="B42" s="93" t="s">
        <v>33</v>
      </c>
      <c r="C42" s="94">
        <v>0.94589999999999996</v>
      </c>
      <c r="D42" s="97">
        <v>592</v>
      </c>
      <c r="E42" s="98">
        <f>D42-(C42*D42)</f>
        <v>32.027199999999993</v>
      </c>
      <c r="F42" s="99">
        <f t="shared" si="0"/>
        <v>1761.4959999999996</v>
      </c>
      <c r="G42" s="270">
        <f t="shared" si="2"/>
        <v>29.600000000000023</v>
      </c>
      <c r="H42" s="271">
        <f t="shared" si="1"/>
        <v>-2.4271999999999707</v>
      </c>
    </row>
    <row r="43" spans="1:8" ht="12.75" x14ac:dyDescent="0.2">
      <c r="A43" s="92">
        <v>45566</v>
      </c>
      <c r="B43" s="93" t="s">
        <v>35</v>
      </c>
      <c r="C43" s="94">
        <v>0.95420000000000005</v>
      </c>
      <c r="D43" s="97">
        <v>592</v>
      </c>
      <c r="E43" s="98">
        <f>D43-(C43*D43)</f>
        <v>27.113600000000019</v>
      </c>
      <c r="F43" s="99">
        <f t="shared" si="0"/>
        <v>1491.248000000001</v>
      </c>
      <c r="G43" s="270">
        <f t="shared" si="2"/>
        <v>29.600000000000023</v>
      </c>
      <c r="H43" s="271">
        <f t="shared" si="1"/>
        <v>2.4864000000000033</v>
      </c>
    </row>
    <row r="44" spans="1:8" ht="12.75" x14ac:dyDescent="0.2">
      <c r="A44" s="92">
        <v>45567</v>
      </c>
      <c r="B44" s="93" t="s">
        <v>37</v>
      </c>
      <c r="C44" s="94">
        <v>0.97789999999999999</v>
      </c>
      <c r="D44" s="97">
        <v>590</v>
      </c>
      <c r="E44" s="98">
        <f>D44-(C44*D44)</f>
        <v>13.038999999999987</v>
      </c>
      <c r="F44" s="99">
        <f t="shared" si="0"/>
        <v>717.1449999999993</v>
      </c>
      <c r="G44" s="270">
        <f t="shared" si="2"/>
        <v>29.5</v>
      </c>
      <c r="H44" s="271">
        <f t="shared" si="1"/>
        <v>16.461000000000013</v>
      </c>
    </row>
    <row r="45" spans="1:8" ht="12.75" x14ac:dyDescent="0.2">
      <c r="A45" s="92">
        <v>45568</v>
      </c>
      <c r="B45" s="93" t="s">
        <v>39</v>
      </c>
      <c r="C45" s="94">
        <v>0.97789999999999999</v>
      </c>
      <c r="D45" s="97">
        <v>590</v>
      </c>
      <c r="E45" s="98">
        <f>D45-(C45*D45)</f>
        <v>13.038999999999987</v>
      </c>
      <c r="F45" s="99">
        <f t="shared" si="0"/>
        <v>717.1449999999993</v>
      </c>
      <c r="G45" s="270">
        <f t="shared" si="2"/>
        <v>29.5</v>
      </c>
      <c r="H45" s="271">
        <f t="shared" si="1"/>
        <v>16.461000000000013</v>
      </c>
    </row>
    <row r="46" spans="1:8" ht="12.75" x14ac:dyDescent="0.2">
      <c r="A46" s="92">
        <v>45569</v>
      </c>
      <c r="B46" s="93" t="s">
        <v>41</v>
      </c>
      <c r="C46" s="94">
        <v>0.95930000000000004</v>
      </c>
      <c r="D46" s="97">
        <v>591</v>
      </c>
      <c r="E46" s="98">
        <f>D46-(C46*D46)</f>
        <v>24.053699999999935</v>
      </c>
      <c r="F46" s="99">
        <f t="shared" si="0"/>
        <v>1322.9534999999964</v>
      </c>
      <c r="G46" s="270">
        <f t="shared" si="2"/>
        <v>29.550000000000068</v>
      </c>
      <c r="H46" s="271">
        <f t="shared" si="1"/>
        <v>5.496300000000133</v>
      </c>
    </row>
    <row r="47" spans="1:8" ht="12.75" x14ac:dyDescent="0.2">
      <c r="A47" s="103">
        <v>45572</v>
      </c>
      <c r="B47" s="104" t="s">
        <v>33</v>
      </c>
      <c r="C47" s="105"/>
      <c r="D47" s="108"/>
      <c r="E47" s="98">
        <f>D47-(C47*D47)</f>
        <v>0</v>
      </c>
      <c r="F47" s="99">
        <f t="shared" si="0"/>
        <v>0</v>
      </c>
      <c r="G47" s="270">
        <f t="shared" si="2"/>
        <v>0</v>
      </c>
      <c r="H47" s="271">
        <f t="shared" si="1"/>
        <v>0</v>
      </c>
    </row>
    <row r="48" spans="1:8" ht="12.75" x14ac:dyDescent="0.2">
      <c r="A48" s="103">
        <v>45573</v>
      </c>
      <c r="B48" s="104" t="s">
        <v>35</v>
      </c>
      <c r="C48" s="105"/>
      <c r="D48" s="108"/>
      <c r="E48" s="98">
        <f>D48-(C48*D48)</f>
        <v>0</v>
      </c>
      <c r="F48" s="99">
        <f t="shared" si="0"/>
        <v>0</v>
      </c>
      <c r="G48" s="270">
        <f t="shared" si="2"/>
        <v>0</v>
      </c>
      <c r="H48" s="271">
        <f t="shared" si="1"/>
        <v>0</v>
      </c>
    </row>
    <row r="49" spans="1:8" ht="12.75" x14ac:dyDescent="0.2">
      <c r="A49" s="103">
        <v>45574</v>
      </c>
      <c r="B49" s="104" t="s">
        <v>37</v>
      </c>
      <c r="C49" s="105"/>
      <c r="D49" s="108"/>
      <c r="E49" s="98">
        <f>D49-(C49*D49)</f>
        <v>0</v>
      </c>
      <c r="F49" s="99">
        <f t="shared" si="0"/>
        <v>0</v>
      </c>
      <c r="G49" s="270">
        <f t="shared" si="2"/>
        <v>0</v>
      </c>
      <c r="H49" s="271">
        <f t="shared" si="1"/>
        <v>0</v>
      </c>
    </row>
    <row r="50" spans="1:8" ht="12.75" x14ac:dyDescent="0.2">
      <c r="A50" s="103">
        <v>45575</v>
      </c>
      <c r="B50" s="104" t="s">
        <v>39</v>
      </c>
      <c r="C50" s="105"/>
      <c r="D50" s="108"/>
      <c r="E50" s="98">
        <f>D50-(C50*D50)</f>
        <v>0</v>
      </c>
      <c r="F50" s="99">
        <f t="shared" si="0"/>
        <v>0</v>
      </c>
      <c r="G50" s="270">
        <f t="shared" si="2"/>
        <v>0</v>
      </c>
      <c r="H50" s="271">
        <f t="shared" si="1"/>
        <v>0</v>
      </c>
    </row>
    <row r="51" spans="1:8" ht="12.75" x14ac:dyDescent="0.2">
      <c r="A51" s="103">
        <v>45576</v>
      </c>
      <c r="B51" s="104" t="s">
        <v>41</v>
      </c>
      <c r="C51" s="105"/>
      <c r="D51" s="108"/>
      <c r="E51" s="98">
        <f>D51-(C51*D51)</f>
        <v>0</v>
      </c>
      <c r="F51" s="99">
        <f t="shared" si="0"/>
        <v>0</v>
      </c>
      <c r="G51" s="270">
        <f t="shared" si="2"/>
        <v>0</v>
      </c>
      <c r="H51" s="271">
        <f t="shared" si="1"/>
        <v>0</v>
      </c>
    </row>
    <row r="52" spans="1:8" ht="12.75" x14ac:dyDescent="0.2">
      <c r="A52" s="92">
        <v>45579</v>
      </c>
      <c r="B52" s="93" t="s">
        <v>33</v>
      </c>
      <c r="C52" s="94">
        <v>0.9032</v>
      </c>
      <c r="D52" s="97">
        <v>590</v>
      </c>
      <c r="E52" s="98">
        <f>D52-(C52*D52)</f>
        <v>57.111999999999966</v>
      </c>
      <c r="F52" s="99">
        <f t="shared" si="0"/>
        <v>3141.159999999998</v>
      </c>
      <c r="G52" s="270">
        <f t="shared" si="2"/>
        <v>29.5</v>
      </c>
      <c r="H52" s="271">
        <f t="shared" si="1"/>
        <v>-27.611999999999966</v>
      </c>
    </row>
    <row r="53" spans="1:8" ht="12.75" x14ac:dyDescent="0.2">
      <c r="A53" s="92">
        <v>45580</v>
      </c>
      <c r="B53" s="93" t="s">
        <v>35</v>
      </c>
      <c r="C53" s="94">
        <v>0.96760000000000002</v>
      </c>
      <c r="D53" s="97">
        <v>586</v>
      </c>
      <c r="E53" s="98">
        <f>D53-(C53*D53)</f>
        <v>18.986400000000003</v>
      </c>
      <c r="F53" s="99">
        <f t="shared" si="0"/>
        <v>1044.2520000000002</v>
      </c>
      <c r="G53" s="270">
        <f t="shared" si="2"/>
        <v>29.300000000000068</v>
      </c>
      <c r="H53" s="271">
        <f t="shared" si="1"/>
        <v>10.313600000000065</v>
      </c>
    </row>
    <row r="54" spans="1:8" ht="12.75" x14ac:dyDescent="0.2">
      <c r="A54" s="92">
        <v>45581</v>
      </c>
      <c r="B54" s="93" t="s">
        <v>37</v>
      </c>
      <c r="C54" s="115">
        <v>0.96230000000000004</v>
      </c>
      <c r="D54" s="97">
        <v>584</v>
      </c>
      <c r="E54" s="98">
        <f>D54-(C54*D54)</f>
        <v>22.016799999999989</v>
      </c>
      <c r="F54" s="99">
        <f t="shared" si="0"/>
        <v>1210.9239999999995</v>
      </c>
      <c r="G54" s="270">
        <f t="shared" si="2"/>
        <v>29.200000000000045</v>
      </c>
      <c r="H54" s="271">
        <f t="shared" si="1"/>
        <v>7.1832000000000562</v>
      </c>
    </row>
    <row r="55" spans="1:8" ht="12.75" x14ac:dyDescent="0.2">
      <c r="A55" s="92">
        <v>45582</v>
      </c>
      <c r="B55" s="93" t="s">
        <v>39</v>
      </c>
      <c r="C55" s="94">
        <v>0.93659999999999999</v>
      </c>
      <c r="D55" s="97">
        <v>584</v>
      </c>
      <c r="E55" s="98">
        <f>D55-(C55*D55)</f>
        <v>37.025600000000054</v>
      </c>
      <c r="F55" s="99">
        <f t="shared" si="0"/>
        <v>2036.4080000000031</v>
      </c>
      <c r="G55" s="270">
        <f t="shared" si="2"/>
        <v>29.200000000000045</v>
      </c>
      <c r="H55" s="271">
        <f t="shared" si="1"/>
        <v>-7.8256000000000085</v>
      </c>
    </row>
    <row r="56" spans="1:8" ht="12.75" x14ac:dyDescent="0.2">
      <c r="A56" s="92">
        <v>45583</v>
      </c>
      <c r="B56" s="93" t="s">
        <v>41</v>
      </c>
      <c r="C56" s="94">
        <v>0.93320000000000003</v>
      </c>
      <c r="D56" s="97">
        <v>584</v>
      </c>
      <c r="E56" s="98">
        <f>D56-(C56*D56)</f>
        <v>39.011200000000031</v>
      </c>
      <c r="F56" s="99">
        <f t="shared" si="0"/>
        <v>2145.6160000000018</v>
      </c>
      <c r="G56" s="270">
        <f t="shared" si="2"/>
        <v>29.200000000000045</v>
      </c>
      <c r="H56" s="271">
        <f t="shared" si="1"/>
        <v>-9.8111999999999853</v>
      </c>
    </row>
    <row r="57" spans="1:8" ht="12.75" x14ac:dyDescent="0.2">
      <c r="A57" s="92">
        <v>45586</v>
      </c>
      <c r="B57" s="93" t="s">
        <v>33</v>
      </c>
      <c r="C57" s="94">
        <v>0.94520000000000004</v>
      </c>
      <c r="D57" s="97">
        <v>584</v>
      </c>
      <c r="E57" s="98">
        <f>D57-(C57*D57)</f>
        <v>32.003199999999993</v>
      </c>
      <c r="F57" s="99">
        <f t="shared" si="0"/>
        <v>1760.1759999999995</v>
      </c>
      <c r="G57" s="270">
        <f t="shared" si="2"/>
        <v>29.200000000000045</v>
      </c>
      <c r="H57" s="271">
        <f t="shared" si="1"/>
        <v>-2.8031999999999471</v>
      </c>
    </row>
    <row r="58" spans="1:8" ht="12.75" x14ac:dyDescent="0.2">
      <c r="A58" s="92">
        <v>45587</v>
      </c>
      <c r="B58" s="93" t="s">
        <v>35</v>
      </c>
      <c r="C58" s="94">
        <v>0.95899999999999996</v>
      </c>
      <c r="D58" s="97">
        <v>585</v>
      </c>
      <c r="E58" s="98">
        <f>D58-(C58*D58)</f>
        <v>23.985000000000014</v>
      </c>
      <c r="F58" s="99">
        <f t="shared" si="0"/>
        <v>1319.1750000000006</v>
      </c>
      <c r="G58" s="270">
        <f t="shared" si="2"/>
        <v>29.25</v>
      </c>
      <c r="H58" s="271">
        <f t="shared" si="1"/>
        <v>5.2649999999999864</v>
      </c>
    </row>
    <row r="59" spans="1:8" ht="12.75" x14ac:dyDescent="0.2">
      <c r="A59" s="92">
        <v>45588</v>
      </c>
      <c r="B59" s="93" t="s">
        <v>37</v>
      </c>
      <c r="C59" s="94">
        <v>0.94530000000000003</v>
      </c>
      <c r="D59" s="97">
        <v>585</v>
      </c>
      <c r="E59" s="98">
        <f>D59-(C59*D59)</f>
        <v>31.999500000000012</v>
      </c>
      <c r="F59" s="99">
        <f t="shared" si="0"/>
        <v>1759.9725000000008</v>
      </c>
      <c r="G59" s="270">
        <f t="shared" si="2"/>
        <v>29.25</v>
      </c>
      <c r="H59" s="271">
        <f t="shared" si="1"/>
        <v>-2.7495000000000118</v>
      </c>
    </row>
    <row r="60" spans="1:8" ht="12.75" x14ac:dyDescent="0.2">
      <c r="A60" s="92">
        <v>45589</v>
      </c>
      <c r="B60" s="93" t="s">
        <v>39</v>
      </c>
      <c r="C60" s="94">
        <v>0.95730000000000004</v>
      </c>
      <c r="D60" s="97">
        <v>585</v>
      </c>
      <c r="E60" s="98">
        <f>D60-(C60*D60)</f>
        <v>24.97950000000003</v>
      </c>
      <c r="F60" s="99">
        <f t="shared" si="0"/>
        <v>1373.8725000000018</v>
      </c>
      <c r="G60" s="270">
        <f t="shared" si="2"/>
        <v>29.25</v>
      </c>
      <c r="H60" s="271">
        <f t="shared" si="1"/>
        <v>4.27049999999997</v>
      </c>
    </row>
    <row r="61" spans="1:8" ht="12.75" x14ac:dyDescent="0.2">
      <c r="A61" s="92">
        <v>45590</v>
      </c>
      <c r="B61" s="93" t="s">
        <v>41</v>
      </c>
      <c r="C61" s="94">
        <v>0.94189999999999996</v>
      </c>
      <c r="D61" s="97">
        <v>585</v>
      </c>
      <c r="E61" s="98">
        <f>D61-(C61*D61)</f>
        <v>33.988500000000045</v>
      </c>
      <c r="F61" s="99">
        <f t="shared" si="0"/>
        <v>1869.3675000000026</v>
      </c>
      <c r="G61" s="270">
        <f t="shared" si="2"/>
        <v>29.25</v>
      </c>
      <c r="H61" s="271">
        <f t="shared" si="1"/>
        <v>-4.7385000000000446</v>
      </c>
    </row>
    <row r="62" spans="1:8" ht="12.75" x14ac:dyDescent="0.2">
      <c r="A62" s="92">
        <v>45593</v>
      </c>
      <c r="B62" s="93" t="s">
        <v>33</v>
      </c>
      <c r="C62" s="94">
        <v>0.95050000000000001</v>
      </c>
      <c r="D62" s="97">
        <v>587</v>
      </c>
      <c r="E62" s="98">
        <f>D62-(C62*D62)</f>
        <v>29.056500000000028</v>
      </c>
      <c r="F62" s="99">
        <f t="shared" si="0"/>
        <v>1598.1075000000014</v>
      </c>
      <c r="G62" s="270">
        <f t="shared" si="2"/>
        <v>29.350000000000023</v>
      </c>
      <c r="H62" s="271">
        <f t="shared" si="1"/>
        <v>0.29349999999999454</v>
      </c>
    </row>
    <row r="63" spans="1:8" ht="12.75" x14ac:dyDescent="0.2">
      <c r="A63" s="92">
        <v>45594</v>
      </c>
      <c r="B63" s="93" t="s">
        <v>35</v>
      </c>
      <c r="C63" s="94">
        <v>0.95730000000000004</v>
      </c>
      <c r="D63" s="97">
        <v>586</v>
      </c>
      <c r="E63" s="98">
        <f>D63-(C63*D63)</f>
        <v>25.022199999999998</v>
      </c>
      <c r="F63" s="99">
        <f t="shared" si="0"/>
        <v>1376.221</v>
      </c>
      <c r="G63" s="270">
        <f t="shared" si="2"/>
        <v>29.300000000000068</v>
      </c>
      <c r="H63" s="271">
        <f t="shared" si="1"/>
        <v>4.2778000000000702</v>
      </c>
    </row>
    <row r="64" spans="1:8" ht="12.75" x14ac:dyDescent="0.2">
      <c r="A64" s="92">
        <v>45595</v>
      </c>
      <c r="B64" s="93" t="s">
        <v>37</v>
      </c>
      <c r="C64" s="94">
        <v>0.94720000000000004</v>
      </c>
      <c r="D64" s="97">
        <v>587</v>
      </c>
      <c r="E64" s="98">
        <f>D64-(C64*D64)</f>
        <v>30.993600000000015</v>
      </c>
      <c r="F64" s="99">
        <f t="shared" si="0"/>
        <v>1704.6480000000008</v>
      </c>
      <c r="G64" s="270">
        <f t="shared" si="2"/>
        <v>29.350000000000023</v>
      </c>
      <c r="H64" s="271">
        <f t="shared" si="1"/>
        <v>-1.6435999999999922</v>
      </c>
    </row>
    <row r="65" spans="1:8" ht="12.75" x14ac:dyDescent="0.2">
      <c r="A65" s="92">
        <v>45596</v>
      </c>
      <c r="B65" s="93" t="s">
        <v>39</v>
      </c>
      <c r="C65" s="94">
        <v>0.9506</v>
      </c>
      <c r="D65" s="97">
        <v>587</v>
      </c>
      <c r="E65" s="98">
        <f>D65-(C65*D65)</f>
        <v>28.997799999999984</v>
      </c>
      <c r="F65" s="99">
        <f t="shared" si="0"/>
        <v>1594.878999999999</v>
      </c>
      <c r="G65" s="270">
        <f t="shared" si="2"/>
        <v>29.350000000000023</v>
      </c>
      <c r="H65" s="271">
        <f t="shared" si="1"/>
        <v>0.35220000000003893</v>
      </c>
    </row>
    <row r="66" spans="1:8" ht="12.75" x14ac:dyDescent="0.2">
      <c r="A66" s="92">
        <v>45597</v>
      </c>
      <c r="B66" s="93" t="s">
        <v>41</v>
      </c>
      <c r="C66" s="94">
        <v>0.84330000000000005</v>
      </c>
      <c r="D66" s="97">
        <v>587</v>
      </c>
      <c r="E66" s="98">
        <f>D66-(C66*D66)</f>
        <v>91.982899999999972</v>
      </c>
      <c r="F66" s="99">
        <f t="shared" si="0"/>
        <v>5059.0594999999985</v>
      </c>
      <c r="G66" s="270">
        <f t="shared" si="2"/>
        <v>29.350000000000023</v>
      </c>
      <c r="H66" s="271">
        <f t="shared" si="1"/>
        <v>-62.63289999999995</v>
      </c>
    </row>
    <row r="67" spans="1:8" ht="12.75" x14ac:dyDescent="0.2">
      <c r="A67" s="117">
        <v>45600</v>
      </c>
      <c r="B67" s="118" t="s">
        <v>33</v>
      </c>
      <c r="C67" s="119">
        <v>0</v>
      </c>
      <c r="D67" s="122"/>
      <c r="E67" s="98">
        <f>D67-(C67*D67)</f>
        <v>0</v>
      </c>
      <c r="F67" s="99">
        <f t="shared" si="0"/>
        <v>0</v>
      </c>
      <c r="G67" s="270">
        <f t="shared" si="2"/>
        <v>0</v>
      </c>
      <c r="H67" s="271">
        <f t="shared" si="1"/>
        <v>0</v>
      </c>
    </row>
    <row r="68" spans="1:8" ht="12.75" x14ac:dyDescent="0.2">
      <c r="A68" s="109">
        <v>45601</v>
      </c>
      <c r="B68" s="110" t="s">
        <v>35</v>
      </c>
      <c r="C68" s="111">
        <v>0</v>
      </c>
      <c r="D68" s="114"/>
      <c r="E68" s="98">
        <f>D68-(C68*D68)</f>
        <v>0</v>
      </c>
      <c r="F68" s="99">
        <f t="shared" si="0"/>
        <v>0</v>
      </c>
      <c r="G68" s="270">
        <f t="shared" si="2"/>
        <v>0</v>
      </c>
      <c r="H68" s="271">
        <f t="shared" si="1"/>
        <v>0</v>
      </c>
    </row>
    <row r="69" spans="1:8" ht="12.75" x14ac:dyDescent="0.2">
      <c r="A69" s="92">
        <v>45602</v>
      </c>
      <c r="B69" s="93" t="s">
        <v>37</v>
      </c>
      <c r="C69" s="94">
        <v>0.9456</v>
      </c>
      <c r="D69" s="97">
        <v>588</v>
      </c>
      <c r="E69" s="98">
        <f>D69-(C69*D69)</f>
        <v>31.98720000000003</v>
      </c>
      <c r="F69" s="99">
        <f t="shared" si="0"/>
        <v>1759.2960000000016</v>
      </c>
      <c r="G69" s="270">
        <f t="shared" si="2"/>
        <v>29.399999999999977</v>
      </c>
      <c r="H69" s="271">
        <f t="shared" si="1"/>
        <v>-2.5872000000000526</v>
      </c>
    </row>
    <row r="70" spans="1:8" ht="12.75" x14ac:dyDescent="0.2">
      <c r="A70" s="92">
        <v>45603</v>
      </c>
      <c r="B70" s="93" t="s">
        <v>39</v>
      </c>
      <c r="C70" s="94">
        <v>0.97450000000000003</v>
      </c>
      <c r="D70" s="97">
        <v>588</v>
      </c>
      <c r="E70" s="98">
        <f>D70-(C70*D70)</f>
        <v>14.994000000000028</v>
      </c>
      <c r="F70" s="99">
        <f t="shared" si="0"/>
        <v>824.67000000000155</v>
      </c>
      <c r="G70" s="270">
        <f t="shared" si="2"/>
        <v>29.399999999999977</v>
      </c>
      <c r="H70" s="271">
        <f t="shared" si="1"/>
        <v>14.405999999999949</v>
      </c>
    </row>
    <row r="71" spans="1:8" ht="12.75" x14ac:dyDescent="0.2">
      <c r="A71" s="92">
        <v>45604</v>
      </c>
      <c r="B71" s="93" t="s">
        <v>41</v>
      </c>
      <c r="C71" s="94">
        <v>0.9677</v>
      </c>
      <c r="D71" s="97">
        <v>589</v>
      </c>
      <c r="E71" s="98">
        <f>D71-(C71*D71)</f>
        <v>19.024700000000053</v>
      </c>
      <c r="F71" s="99">
        <f t="shared" si="0"/>
        <v>1046.358500000003</v>
      </c>
      <c r="G71" s="270">
        <f t="shared" si="2"/>
        <v>29.450000000000045</v>
      </c>
      <c r="H71" s="271">
        <f t="shared" si="1"/>
        <v>10.425299999999993</v>
      </c>
    </row>
    <row r="72" spans="1:8" ht="12.75" x14ac:dyDescent="0.2">
      <c r="A72" s="92">
        <v>45607</v>
      </c>
      <c r="B72" s="93" t="s">
        <v>33</v>
      </c>
      <c r="C72" s="94">
        <v>0.95430000000000004</v>
      </c>
      <c r="D72" s="97">
        <v>591</v>
      </c>
      <c r="E72" s="98">
        <f>D72-(C72*D72)</f>
        <v>27.008699999999976</v>
      </c>
      <c r="F72" s="99">
        <f t="shared" si="0"/>
        <v>1485.4784999999988</v>
      </c>
      <c r="G72" s="270">
        <f t="shared" si="2"/>
        <v>29.550000000000068</v>
      </c>
      <c r="H72" s="271">
        <f t="shared" si="1"/>
        <v>2.541300000000092</v>
      </c>
    </row>
    <row r="73" spans="1:8" ht="12.75" x14ac:dyDescent="0.2">
      <c r="A73" s="92">
        <v>45608</v>
      </c>
      <c r="B73" s="93" t="s">
        <v>35</v>
      </c>
      <c r="C73" s="94">
        <v>0.95089999999999997</v>
      </c>
      <c r="D73" s="97">
        <v>591</v>
      </c>
      <c r="E73" s="98">
        <f>D73-(C73*D73)</f>
        <v>29.018100000000004</v>
      </c>
      <c r="F73" s="99">
        <f t="shared" si="0"/>
        <v>1595.9955000000002</v>
      </c>
      <c r="G73" s="270">
        <f t="shared" si="2"/>
        <v>29.550000000000068</v>
      </c>
      <c r="H73" s="271">
        <f t="shared" si="1"/>
        <v>0.53190000000006421</v>
      </c>
    </row>
    <row r="74" spans="1:8" ht="12.75" x14ac:dyDescent="0.2">
      <c r="A74" s="92">
        <v>45609</v>
      </c>
      <c r="B74" s="93" t="s">
        <v>37</v>
      </c>
      <c r="C74" s="94">
        <v>0.95940000000000003</v>
      </c>
      <c r="D74" s="97">
        <v>591</v>
      </c>
      <c r="E74" s="98">
        <f>D74-(C74*D74)</f>
        <v>23.994599999999991</v>
      </c>
      <c r="F74" s="99">
        <f t="shared" si="0"/>
        <v>1319.7029999999995</v>
      </c>
      <c r="G74" s="270">
        <f t="shared" si="2"/>
        <v>29.550000000000068</v>
      </c>
      <c r="H74" s="271">
        <f t="shared" si="1"/>
        <v>5.5554000000000769</v>
      </c>
    </row>
    <row r="75" spans="1:8" ht="12.75" x14ac:dyDescent="0.2">
      <c r="A75" s="92">
        <v>45610</v>
      </c>
      <c r="B75" s="93" t="s">
        <v>39</v>
      </c>
      <c r="C75" s="94">
        <v>0.92889999999999995</v>
      </c>
      <c r="D75" s="97">
        <v>591</v>
      </c>
      <c r="E75" s="98">
        <f>D75-(C75*D75)</f>
        <v>42.02010000000007</v>
      </c>
      <c r="F75" s="99">
        <f t="shared" si="0"/>
        <v>2311.1055000000038</v>
      </c>
      <c r="G75" s="270">
        <f t="shared" si="2"/>
        <v>29.550000000000068</v>
      </c>
      <c r="H75" s="271">
        <f t="shared" si="1"/>
        <v>-12.470100000000002</v>
      </c>
    </row>
    <row r="76" spans="1:8" ht="12.75" x14ac:dyDescent="0.2">
      <c r="A76" s="92">
        <v>45611</v>
      </c>
      <c r="B76" s="93" t="s">
        <v>41</v>
      </c>
      <c r="C76" s="94">
        <v>0.89849999999999997</v>
      </c>
      <c r="D76" s="97">
        <v>591</v>
      </c>
      <c r="E76" s="98">
        <f>D76-(C76*D76)</f>
        <v>59.986499999999978</v>
      </c>
      <c r="F76" s="99">
        <f t="shared" si="0"/>
        <v>3299.2574999999988</v>
      </c>
      <c r="G76" s="270">
        <f t="shared" si="2"/>
        <v>29.550000000000068</v>
      </c>
      <c r="H76" s="271">
        <f t="shared" si="1"/>
        <v>-30.43649999999991</v>
      </c>
    </row>
    <row r="77" spans="1:8" ht="12.75" x14ac:dyDescent="0.2">
      <c r="A77" s="92">
        <v>45614</v>
      </c>
      <c r="B77" s="93" t="s">
        <v>33</v>
      </c>
      <c r="C77" s="94">
        <v>0.93569999999999998</v>
      </c>
      <c r="D77" s="97">
        <v>591</v>
      </c>
      <c r="E77" s="98">
        <f>D77-(C77*D77)</f>
        <v>38.001300000000015</v>
      </c>
      <c r="F77" s="99">
        <f t="shared" si="0"/>
        <v>2090.0715000000009</v>
      </c>
      <c r="G77" s="270">
        <f t="shared" si="2"/>
        <v>29.550000000000068</v>
      </c>
      <c r="H77" s="271">
        <f t="shared" si="1"/>
        <v>-8.4512999999999465</v>
      </c>
    </row>
    <row r="78" spans="1:8" ht="12.75" x14ac:dyDescent="0.2">
      <c r="A78" s="92">
        <v>45615</v>
      </c>
      <c r="B78" s="93" t="s">
        <v>35</v>
      </c>
      <c r="C78" s="94">
        <v>0.93569999999999998</v>
      </c>
      <c r="D78" s="97">
        <v>591</v>
      </c>
      <c r="E78" s="98">
        <f>D78-(C78*D78)</f>
        <v>38.001300000000015</v>
      </c>
      <c r="F78" s="99">
        <f t="shared" si="0"/>
        <v>2090.0715000000009</v>
      </c>
      <c r="G78" s="270">
        <f t="shared" si="2"/>
        <v>29.550000000000068</v>
      </c>
      <c r="H78" s="271">
        <f t="shared" si="1"/>
        <v>-8.4512999999999465</v>
      </c>
    </row>
    <row r="79" spans="1:8" ht="12.75" x14ac:dyDescent="0.2">
      <c r="A79" s="92">
        <v>45616</v>
      </c>
      <c r="B79" s="93" t="s">
        <v>37</v>
      </c>
      <c r="C79" s="94">
        <v>0.96279999999999999</v>
      </c>
      <c r="D79" s="97">
        <v>591</v>
      </c>
      <c r="E79" s="98">
        <f>D79-(C79*D79)</f>
        <v>21.985199999999963</v>
      </c>
      <c r="F79" s="99">
        <f t="shared" si="0"/>
        <v>1209.1859999999979</v>
      </c>
      <c r="G79" s="270">
        <f t="shared" si="2"/>
        <v>29.550000000000068</v>
      </c>
      <c r="H79" s="271">
        <f t="shared" si="1"/>
        <v>7.5648000000001048</v>
      </c>
    </row>
    <row r="80" spans="1:8" ht="12.75" x14ac:dyDescent="0.2">
      <c r="A80" s="92">
        <v>45617</v>
      </c>
      <c r="B80" s="93" t="s">
        <v>39</v>
      </c>
      <c r="C80" s="94">
        <v>0.94420000000000004</v>
      </c>
      <c r="D80" s="97">
        <v>591</v>
      </c>
      <c r="E80" s="98">
        <f>D80-(C80*D80)</f>
        <v>32.977800000000002</v>
      </c>
      <c r="F80" s="99">
        <f t="shared" si="0"/>
        <v>1813.779</v>
      </c>
      <c r="G80" s="270">
        <f t="shared" si="2"/>
        <v>29.550000000000068</v>
      </c>
      <c r="H80" s="271">
        <f t="shared" si="1"/>
        <v>-3.4277999999999338</v>
      </c>
    </row>
    <row r="81" spans="1:8" ht="12.75" x14ac:dyDescent="0.2">
      <c r="A81" s="92">
        <v>45618</v>
      </c>
      <c r="B81" s="93" t="s">
        <v>41</v>
      </c>
      <c r="C81" s="94">
        <v>0.92220000000000002</v>
      </c>
      <c r="D81" s="97">
        <v>591</v>
      </c>
      <c r="E81" s="98">
        <f>D81-(C81*D81)</f>
        <v>45.979799999999955</v>
      </c>
      <c r="F81" s="99">
        <f t="shared" si="0"/>
        <v>2528.8889999999974</v>
      </c>
      <c r="G81" s="270">
        <f t="shared" si="2"/>
        <v>29.550000000000068</v>
      </c>
      <c r="H81" s="271">
        <f t="shared" si="1"/>
        <v>-16.429799999999886</v>
      </c>
    </row>
    <row r="82" spans="1:8" ht="12.75" x14ac:dyDescent="0.2">
      <c r="A82" s="109">
        <v>45621</v>
      </c>
      <c r="B82" s="110" t="s">
        <v>33</v>
      </c>
      <c r="C82" s="111">
        <v>0</v>
      </c>
      <c r="D82" s="114"/>
      <c r="E82" s="98">
        <f>D82-(C82*D82)</f>
        <v>0</v>
      </c>
      <c r="F82" s="99">
        <f t="shared" si="0"/>
        <v>0</v>
      </c>
      <c r="G82" s="270">
        <f t="shared" si="2"/>
        <v>0</v>
      </c>
      <c r="H82" s="271">
        <f t="shared" si="1"/>
        <v>0</v>
      </c>
    </row>
    <row r="83" spans="1:8" ht="12.75" x14ac:dyDescent="0.2">
      <c r="A83" s="109">
        <v>45622</v>
      </c>
      <c r="B83" s="110" t="s">
        <v>35</v>
      </c>
      <c r="C83" s="111">
        <v>0</v>
      </c>
      <c r="D83" s="114"/>
      <c r="E83" s="98">
        <f>D83-(C83*D83)</f>
        <v>0</v>
      </c>
      <c r="F83" s="99">
        <f t="shared" si="0"/>
        <v>0</v>
      </c>
      <c r="G83" s="270">
        <f t="shared" si="2"/>
        <v>0</v>
      </c>
      <c r="H83" s="271">
        <f t="shared" si="1"/>
        <v>0</v>
      </c>
    </row>
    <row r="84" spans="1:8" ht="12.75" x14ac:dyDescent="0.2">
      <c r="A84" s="109">
        <v>45623</v>
      </c>
      <c r="B84" s="110" t="s">
        <v>37</v>
      </c>
      <c r="C84" s="111">
        <v>0</v>
      </c>
      <c r="D84" s="114"/>
      <c r="E84" s="98">
        <f>D84-(C84*D84)</f>
        <v>0</v>
      </c>
      <c r="F84" s="99">
        <f t="shared" si="0"/>
        <v>0</v>
      </c>
      <c r="G84" s="270">
        <f t="shared" si="2"/>
        <v>0</v>
      </c>
      <c r="H84" s="271">
        <f t="shared" si="1"/>
        <v>0</v>
      </c>
    </row>
    <row r="85" spans="1:8" ht="12.75" x14ac:dyDescent="0.2">
      <c r="A85" s="109">
        <v>45624</v>
      </c>
      <c r="B85" s="110" t="s">
        <v>39</v>
      </c>
      <c r="C85" s="111">
        <v>0</v>
      </c>
      <c r="D85" s="114"/>
      <c r="E85" s="98">
        <f>D85-(C86*D85)</f>
        <v>0</v>
      </c>
      <c r="F85" s="99">
        <f t="shared" si="0"/>
        <v>0</v>
      </c>
      <c r="G85" s="270">
        <f t="shared" si="2"/>
        <v>0</v>
      </c>
      <c r="H85" s="271">
        <f t="shared" si="1"/>
        <v>0</v>
      </c>
    </row>
    <row r="86" spans="1:8" ht="12.75" x14ac:dyDescent="0.2">
      <c r="A86" s="109">
        <v>45625</v>
      </c>
      <c r="B86" s="110" t="s">
        <v>41</v>
      </c>
      <c r="C86" s="111">
        <v>0</v>
      </c>
      <c r="D86" s="114"/>
      <c r="E86" s="98">
        <f>D86-(C87*D86)</f>
        <v>0</v>
      </c>
      <c r="F86" s="99">
        <f t="shared" si="0"/>
        <v>0</v>
      </c>
      <c r="G86" s="270">
        <f t="shared" si="2"/>
        <v>0</v>
      </c>
      <c r="H86" s="271">
        <f t="shared" si="1"/>
        <v>0</v>
      </c>
    </row>
    <row r="87" spans="1:8" ht="12.75" x14ac:dyDescent="0.2">
      <c r="A87" s="92">
        <v>45628</v>
      </c>
      <c r="B87" s="93" t="s">
        <v>33</v>
      </c>
      <c r="C87" s="94">
        <v>0.94569999999999999</v>
      </c>
      <c r="D87" s="97">
        <v>589</v>
      </c>
      <c r="E87" s="98">
        <f>D87-(C88*D87)</f>
        <v>27.918599999999969</v>
      </c>
      <c r="F87" s="99">
        <f t="shared" si="0"/>
        <v>1535.5229999999983</v>
      </c>
      <c r="G87" s="270">
        <f t="shared" si="2"/>
        <v>29.450000000000045</v>
      </c>
      <c r="H87" s="271">
        <f t="shared" si="1"/>
        <v>1.531400000000076</v>
      </c>
    </row>
    <row r="88" spans="1:8" ht="12.75" x14ac:dyDescent="0.2">
      <c r="A88" s="92">
        <v>45629</v>
      </c>
      <c r="B88" s="93" t="s">
        <v>35</v>
      </c>
      <c r="C88" s="94">
        <v>0.9526</v>
      </c>
      <c r="D88" s="97">
        <v>591</v>
      </c>
      <c r="E88" s="98">
        <f>D88-(C89*D88)</f>
        <v>24.999299999999948</v>
      </c>
      <c r="F88" s="99">
        <f t="shared" si="0"/>
        <v>1374.9614999999972</v>
      </c>
      <c r="G88" s="270">
        <f t="shared" si="2"/>
        <v>29.550000000000068</v>
      </c>
      <c r="H88" s="271">
        <f t="shared" si="1"/>
        <v>4.5507000000001199</v>
      </c>
    </row>
    <row r="89" spans="1:8" ht="12.75" x14ac:dyDescent="0.2">
      <c r="A89" s="92">
        <v>45630</v>
      </c>
      <c r="B89" s="93" t="s">
        <v>37</v>
      </c>
      <c r="C89" s="94">
        <v>0.9577</v>
      </c>
      <c r="D89" s="97">
        <v>591</v>
      </c>
      <c r="E89" s="98">
        <f>D89-(C90*D89)</f>
        <v>39.065100000000029</v>
      </c>
      <c r="F89" s="99">
        <f t="shared" si="0"/>
        <v>2148.5805000000018</v>
      </c>
      <c r="G89" s="270">
        <f t="shared" si="2"/>
        <v>29.550000000000068</v>
      </c>
      <c r="H89" s="271">
        <f t="shared" si="1"/>
        <v>-9.5150999999999613</v>
      </c>
    </row>
    <row r="90" spans="1:8" ht="12.75" x14ac:dyDescent="0.2">
      <c r="A90" s="92">
        <v>45631</v>
      </c>
      <c r="B90" s="93" t="s">
        <v>39</v>
      </c>
      <c r="C90" s="94">
        <v>0.93389999999999995</v>
      </c>
      <c r="D90" s="97">
        <v>590</v>
      </c>
      <c r="E90" s="98">
        <f>D90-(C91*D90)</f>
        <v>34.986999999999966</v>
      </c>
      <c r="F90" s="99">
        <f t="shared" si="0"/>
        <v>1924.284999999998</v>
      </c>
      <c r="G90" s="270">
        <f t="shared" si="2"/>
        <v>29.5</v>
      </c>
      <c r="H90" s="271">
        <f t="shared" si="1"/>
        <v>-5.4869999999999663</v>
      </c>
    </row>
    <row r="91" spans="1:8" ht="12.75" x14ac:dyDescent="0.2">
      <c r="A91" s="92">
        <v>45632</v>
      </c>
      <c r="B91" s="93" t="s">
        <v>41</v>
      </c>
      <c r="C91" s="94">
        <v>0.94069999999999998</v>
      </c>
      <c r="D91" s="97">
        <v>590</v>
      </c>
      <c r="E91" s="98">
        <f>D91-(C92*D91)</f>
        <v>42.008000000000038</v>
      </c>
      <c r="F91" s="99">
        <f t="shared" si="0"/>
        <v>2310.4400000000023</v>
      </c>
      <c r="G91" s="270">
        <f t="shared" si="2"/>
        <v>29.5</v>
      </c>
      <c r="H91" s="271">
        <f t="shared" si="1"/>
        <v>-12.508000000000038</v>
      </c>
    </row>
    <row r="92" spans="1:8" ht="12.75" x14ac:dyDescent="0.2">
      <c r="A92" s="92">
        <v>45635</v>
      </c>
      <c r="B92" s="93" t="s">
        <v>33</v>
      </c>
      <c r="C92" s="94">
        <v>0.92879999999999996</v>
      </c>
      <c r="D92" s="97">
        <v>590</v>
      </c>
      <c r="E92" s="98">
        <f>D92-(C93*D92)</f>
        <v>23.009999999999991</v>
      </c>
      <c r="F92" s="99">
        <f t="shared" si="0"/>
        <v>1265.5499999999995</v>
      </c>
      <c r="G92" s="270">
        <f t="shared" si="2"/>
        <v>29.5</v>
      </c>
      <c r="H92" s="271">
        <f t="shared" si="1"/>
        <v>6.4900000000000091</v>
      </c>
    </row>
    <row r="93" spans="1:8" ht="12.75" x14ac:dyDescent="0.2">
      <c r="A93" s="92">
        <v>45636</v>
      </c>
      <c r="B93" s="93" t="s">
        <v>35</v>
      </c>
      <c r="C93" s="94">
        <v>0.96099999999999997</v>
      </c>
      <c r="D93" s="97">
        <v>590</v>
      </c>
      <c r="E93" s="98">
        <f>D93-(C94*D93)</f>
        <v>25.015999999999963</v>
      </c>
      <c r="F93" s="99">
        <f t="shared" si="0"/>
        <v>1375.8799999999978</v>
      </c>
      <c r="G93" s="270">
        <f t="shared" si="2"/>
        <v>29.5</v>
      </c>
      <c r="H93" s="271">
        <f t="shared" si="1"/>
        <v>4.4840000000000373</v>
      </c>
    </row>
    <row r="94" spans="1:8" ht="12.75" x14ac:dyDescent="0.2">
      <c r="A94" s="92">
        <v>45637</v>
      </c>
      <c r="B94" s="93" t="s">
        <v>37</v>
      </c>
      <c r="C94" s="94">
        <v>0.95760000000000001</v>
      </c>
      <c r="D94" s="97">
        <v>590</v>
      </c>
      <c r="E94" s="98">
        <f>D94-(C94*D94)</f>
        <v>25.015999999999963</v>
      </c>
      <c r="F94" s="99">
        <f t="shared" si="0"/>
        <v>1375.8799999999978</v>
      </c>
      <c r="G94" s="270">
        <f t="shared" si="2"/>
        <v>29.5</v>
      </c>
      <c r="H94" s="271">
        <f t="shared" si="1"/>
        <v>4.4840000000000373</v>
      </c>
    </row>
    <row r="95" spans="1:8" ht="12.75" x14ac:dyDescent="0.2">
      <c r="A95" s="92">
        <v>45638</v>
      </c>
      <c r="B95" s="93" t="s">
        <v>39</v>
      </c>
      <c r="C95" s="94">
        <v>0.94410000000000005</v>
      </c>
      <c r="D95" s="97">
        <v>592</v>
      </c>
      <c r="E95" s="98">
        <f>D95-(C95*D95)</f>
        <v>33.092800000000011</v>
      </c>
      <c r="F95" s="99">
        <f t="shared" si="0"/>
        <v>1820.1040000000007</v>
      </c>
      <c r="G95" s="270">
        <f t="shared" si="2"/>
        <v>29.600000000000023</v>
      </c>
      <c r="H95" s="271">
        <f t="shared" si="1"/>
        <v>-3.4927999999999884</v>
      </c>
    </row>
    <row r="96" spans="1:8" ht="12.75" x14ac:dyDescent="0.2">
      <c r="A96" s="92">
        <v>45639</v>
      </c>
      <c r="B96" s="93" t="s">
        <v>41</v>
      </c>
      <c r="C96" s="94">
        <v>0.9274</v>
      </c>
      <c r="D96" s="97">
        <v>592</v>
      </c>
      <c r="E96" s="98">
        <f>D96-(C96*D96)</f>
        <v>42.979199999999992</v>
      </c>
      <c r="F96" s="99">
        <f t="shared" si="0"/>
        <v>2363.8559999999998</v>
      </c>
      <c r="G96" s="270">
        <f t="shared" si="2"/>
        <v>29.600000000000023</v>
      </c>
      <c r="H96" s="271">
        <f t="shared" si="1"/>
        <v>-13.379199999999969</v>
      </c>
    </row>
    <row r="97" spans="1:8" ht="12.75" x14ac:dyDescent="0.2">
      <c r="A97" s="92">
        <v>45642</v>
      </c>
      <c r="B97" s="93" t="s">
        <v>33</v>
      </c>
      <c r="C97" s="94">
        <v>0.95440000000000003</v>
      </c>
      <c r="D97" s="97">
        <v>592</v>
      </c>
      <c r="E97" s="98">
        <f>D97-(C97*D97)</f>
        <v>26.995199999999954</v>
      </c>
      <c r="F97" s="99">
        <f t="shared" si="0"/>
        <v>1484.7359999999976</v>
      </c>
      <c r="G97" s="270">
        <f t="shared" si="2"/>
        <v>29.600000000000023</v>
      </c>
      <c r="H97" s="271">
        <f t="shared" si="1"/>
        <v>2.6048000000000684</v>
      </c>
    </row>
    <row r="98" spans="1:8" ht="12.75" x14ac:dyDescent="0.2">
      <c r="A98" s="92">
        <v>45643</v>
      </c>
      <c r="B98" s="93" t="s">
        <v>35</v>
      </c>
      <c r="C98" s="94">
        <v>0.95779999999999998</v>
      </c>
      <c r="D98" s="97">
        <v>592</v>
      </c>
      <c r="E98" s="98">
        <f>D98-(C98*D98)</f>
        <v>24.982399999999984</v>
      </c>
      <c r="F98" s="99">
        <f t="shared" si="0"/>
        <v>1374.0319999999992</v>
      </c>
      <c r="G98" s="270">
        <f t="shared" si="2"/>
        <v>29.600000000000023</v>
      </c>
      <c r="H98" s="271">
        <f t="shared" si="1"/>
        <v>4.6176000000000386</v>
      </c>
    </row>
    <row r="99" spans="1:8" ht="12.75" x14ac:dyDescent="0.2">
      <c r="A99" s="92">
        <v>45644</v>
      </c>
      <c r="B99" s="93" t="s">
        <v>37</v>
      </c>
      <c r="C99" s="94">
        <v>0.95950000000000002</v>
      </c>
      <c r="D99" s="97">
        <v>592</v>
      </c>
      <c r="E99" s="98">
        <f>D99-(C99*D99)</f>
        <v>23.975999999999999</v>
      </c>
      <c r="F99" s="99">
        <f t="shared" si="0"/>
        <v>1318.6799999999998</v>
      </c>
      <c r="G99" s="270">
        <f t="shared" si="2"/>
        <v>29.600000000000023</v>
      </c>
      <c r="H99" s="271">
        <f t="shared" si="1"/>
        <v>5.6240000000000236</v>
      </c>
    </row>
    <row r="100" spans="1:8" ht="12.75" x14ac:dyDescent="0.2">
      <c r="A100" s="92">
        <v>45645</v>
      </c>
      <c r="B100" s="93" t="s">
        <v>39</v>
      </c>
      <c r="C100" s="94">
        <v>0.96450000000000002</v>
      </c>
      <c r="D100" s="97">
        <v>591</v>
      </c>
      <c r="E100" s="98">
        <f>D100-(C100*D100)</f>
        <v>20.980500000000006</v>
      </c>
      <c r="F100" s="99">
        <f t="shared" si="0"/>
        <v>1153.9275000000002</v>
      </c>
      <c r="G100" s="270">
        <f t="shared" si="2"/>
        <v>29.550000000000068</v>
      </c>
      <c r="H100" s="271">
        <f t="shared" si="1"/>
        <v>8.5695000000000618</v>
      </c>
    </row>
    <row r="101" spans="1:8" ht="12.75" x14ac:dyDescent="0.2">
      <c r="A101" s="92">
        <v>45646</v>
      </c>
      <c r="B101" s="93" t="s">
        <v>41</v>
      </c>
      <c r="C101" s="94">
        <v>0.80369999999999997</v>
      </c>
      <c r="D101" s="97">
        <v>591</v>
      </c>
      <c r="E101" s="98">
        <f>D101-(C101*D101)</f>
        <v>116.01330000000002</v>
      </c>
      <c r="F101" s="99">
        <f t="shared" si="0"/>
        <v>6380.7315000000008</v>
      </c>
      <c r="G101" s="270">
        <f t="shared" si="2"/>
        <v>29.550000000000068</v>
      </c>
      <c r="H101" s="271">
        <f t="shared" si="1"/>
        <v>-86.463299999999947</v>
      </c>
    </row>
    <row r="102" spans="1:8" ht="12.75" x14ac:dyDescent="0.2">
      <c r="A102" s="103">
        <v>45649</v>
      </c>
      <c r="B102" s="104" t="s">
        <v>33</v>
      </c>
      <c r="C102" s="105">
        <v>0</v>
      </c>
      <c r="D102" s="108"/>
      <c r="E102" s="98">
        <f>D102-(C102*D102)</f>
        <v>0</v>
      </c>
      <c r="F102" s="99">
        <f t="shared" si="0"/>
        <v>0</v>
      </c>
      <c r="G102" s="270">
        <f t="shared" si="2"/>
        <v>0</v>
      </c>
      <c r="H102" s="271">
        <f t="shared" si="1"/>
        <v>0</v>
      </c>
    </row>
    <row r="103" spans="1:8" ht="12.75" x14ac:dyDescent="0.2">
      <c r="A103" s="103">
        <v>45650</v>
      </c>
      <c r="B103" s="104" t="s">
        <v>35</v>
      </c>
      <c r="C103" s="105">
        <v>0</v>
      </c>
      <c r="D103" s="108"/>
      <c r="E103" s="98">
        <f>D103-(C103*D103)</f>
        <v>0</v>
      </c>
      <c r="F103" s="99">
        <f t="shared" si="0"/>
        <v>0</v>
      </c>
      <c r="G103" s="270">
        <f t="shared" si="2"/>
        <v>0</v>
      </c>
      <c r="H103" s="271">
        <f t="shared" si="1"/>
        <v>0</v>
      </c>
    </row>
    <row r="104" spans="1:8" ht="12.75" x14ac:dyDescent="0.2">
      <c r="A104" s="103">
        <v>45651</v>
      </c>
      <c r="B104" s="104" t="s">
        <v>37</v>
      </c>
      <c r="C104" s="105">
        <v>0</v>
      </c>
      <c r="D104" s="108"/>
      <c r="E104" s="98">
        <f>D104-(C104*D104)</f>
        <v>0</v>
      </c>
      <c r="F104" s="99">
        <f t="shared" si="0"/>
        <v>0</v>
      </c>
      <c r="G104" s="270">
        <f t="shared" si="2"/>
        <v>0</v>
      </c>
      <c r="H104" s="271">
        <f t="shared" si="1"/>
        <v>0</v>
      </c>
    </row>
    <row r="105" spans="1:8" ht="12.75" x14ac:dyDescent="0.2">
      <c r="A105" s="103">
        <v>45652</v>
      </c>
      <c r="B105" s="104" t="s">
        <v>39</v>
      </c>
      <c r="C105" s="105">
        <v>0</v>
      </c>
      <c r="D105" s="108"/>
      <c r="E105" s="98">
        <f>D105-(C105*D105)</f>
        <v>0</v>
      </c>
      <c r="F105" s="99">
        <f t="shared" si="0"/>
        <v>0</v>
      </c>
      <c r="G105" s="270">
        <f t="shared" si="2"/>
        <v>0</v>
      </c>
      <c r="H105" s="271">
        <f t="shared" si="1"/>
        <v>0</v>
      </c>
    </row>
    <row r="106" spans="1:8" ht="12.75" x14ac:dyDescent="0.2">
      <c r="A106" s="103">
        <v>45653</v>
      </c>
      <c r="B106" s="104" t="s">
        <v>41</v>
      </c>
      <c r="C106" s="105">
        <v>0</v>
      </c>
      <c r="D106" s="108"/>
      <c r="E106" s="98">
        <f>D106-(C106*D106)</f>
        <v>0</v>
      </c>
      <c r="F106" s="99">
        <f t="shared" si="0"/>
        <v>0</v>
      </c>
      <c r="G106" s="270">
        <f t="shared" si="2"/>
        <v>0</v>
      </c>
      <c r="H106" s="271">
        <f t="shared" si="1"/>
        <v>0</v>
      </c>
    </row>
    <row r="107" spans="1:8" ht="12.75" x14ac:dyDescent="0.2">
      <c r="A107" s="103">
        <v>45656</v>
      </c>
      <c r="B107" s="104" t="s">
        <v>33</v>
      </c>
      <c r="C107" s="105">
        <v>0</v>
      </c>
      <c r="D107" s="108"/>
      <c r="E107" s="98">
        <f>D107-(C107*D107)</f>
        <v>0</v>
      </c>
      <c r="F107" s="99">
        <f t="shared" si="0"/>
        <v>0</v>
      </c>
      <c r="G107" s="270">
        <f t="shared" si="2"/>
        <v>0</v>
      </c>
      <c r="H107" s="271">
        <f t="shared" si="1"/>
        <v>0</v>
      </c>
    </row>
    <row r="108" spans="1:8" ht="12.75" x14ac:dyDescent="0.2">
      <c r="A108" s="103">
        <v>45657</v>
      </c>
      <c r="B108" s="104" t="s">
        <v>35</v>
      </c>
      <c r="C108" s="105">
        <v>0</v>
      </c>
      <c r="D108" s="108"/>
      <c r="E108" s="98">
        <f>D108-(C108*D108)</f>
        <v>0</v>
      </c>
      <c r="F108" s="99">
        <f t="shared" si="0"/>
        <v>0</v>
      </c>
      <c r="G108" s="270">
        <f t="shared" si="2"/>
        <v>0</v>
      </c>
      <c r="H108" s="271">
        <f t="shared" si="1"/>
        <v>0</v>
      </c>
    </row>
    <row r="109" spans="1:8" ht="12.75" x14ac:dyDescent="0.2">
      <c r="A109" s="103">
        <v>45658</v>
      </c>
      <c r="B109" s="104" t="s">
        <v>37</v>
      </c>
      <c r="C109" s="105">
        <v>0</v>
      </c>
      <c r="D109" s="108"/>
      <c r="E109" s="98">
        <f>D109-(C109*D109)</f>
        <v>0</v>
      </c>
      <c r="F109" s="99">
        <f t="shared" si="0"/>
        <v>0</v>
      </c>
      <c r="G109" s="270">
        <f t="shared" si="2"/>
        <v>0</v>
      </c>
      <c r="H109" s="271">
        <f t="shared" si="1"/>
        <v>0</v>
      </c>
    </row>
    <row r="110" spans="1:8" ht="12.75" x14ac:dyDescent="0.2">
      <c r="A110" s="103">
        <v>45659</v>
      </c>
      <c r="B110" s="104" t="s">
        <v>39</v>
      </c>
      <c r="C110" s="105">
        <v>0</v>
      </c>
      <c r="D110" s="108"/>
      <c r="E110" s="98">
        <f>D110-(C110*D110)</f>
        <v>0</v>
      </c>
      <c r="F110" s="99">
        <f t="shared" si="0"/>
        <v>0</v>
      </c>
      <c r="G110" s="270">
        <f t="shared" si="2"/>
        <v>0</v>
      </c>
      <c r="H110" s="271">
        <f t="shared" si="1"/>
        <v>0</v>
      </c>
    </row>
    <row r="111" spans="1:8" ht="12.75" x14ac:dyDescent="0.2">
      <c r="A111" s="103">
        <v>45660</v>
      </c>
      <c r="B111" s="104" t="s">
        <v>41</v>
      </c>
      <c r="C111" s="105">
        <v>0</v>
      </c>
      <c r="D111" s="108"/>
      <c r="E111" s="98">
        <f>D111-(C111*D111)</f>
        <v>0</v>
      </c>
      <c r="F111" s="99">
        <f t="shared" si="0"/>
        <v>0</v>
      </c>
      <c r="G111" s="270">
        <f t="shared" si="2"/>
        <v>0</v>
      </c>
      <c r="H111" s="271">
        <f t="shared" si="1"/>
        <v>0</v>
      </c>
    </row>
    <row r="112" spans="1:8" ht="12.75" x14ac:dyDescent="0.2">
      <c r="A112" s="109">
        <v>45663</v>
      </c>
      <c r="B112" s="110" t="s">
        <v>33</v>
      </c>
      <c r="C112" s="105">
        <v>0</v>
      </c>
      <c r="D112" s="114"/>
      <c r="E112" s="98">
        <f>D112-(C112*D112)</f>
        <v>0</v>
      </c>
      <c r="F112" s="99">
        <f t="shared" si="0"/>
        <v>0</v>
      </c>
      <c r="G112" s="270">
        <f t="shared" si="2"/>
        <v>0</v>
      </c>
      <c r="H112" s="271">
        <f t="shared" si="1"/>
        <v>0</v>
      </c>
    </row>
    <row r="113" spans="1:8" ht="12.75" x14ac:dyDescent="0.2">
      <c r="A113" s="109">
        <v>45664</v>
      </c>
      <c r="B113" s="110" t="s">
        <v>35</v>
      </c>
      <c r="C113" s="111"/>
      <c r="D113" s="114"/>
      <c r="E113" s="98">
        <f>D113-(C113*D113)</f>
        <v>0</v>
      </c>
      <c r="F113" s="99">
        <f t="shared" si="0"/>
        <v>0</v>
      </c>
      <c r="G113" s="270">
        <f t="shared" si="2"/>
        <v>0</v>
      </c>
      <c r="H113" s="271">
        <f t="shared" si="1"/>
        <v>0</v>
      </c>
    </row>
    <row r="114" spans="1:8" ht="12.75" x14ac:dyDescent="0.2">
      <c r="A114" s="92">
        <v>45665</v>
      </c>
      <c r="B114" s="93" t="s">
        <v>37</v>
      </c>
      <c r="C114" s="94">
        <v>0.92369999999999997</v>
      </c>
      <c r="D114" s="97">
        <v>591</v>
      </c>
      <c r="E114" s="98">
        <f>D114-(C114*D114)</f>
        <v>45.093299999999999</v>
      </c>
      <c r="F114" s="99">
        <f t="shared" si="0"/>
        <v>2480.1315</v>
      </c>
      <c r="G114" s="270">
        <f t="shared" si="2"/>
        <v>29.550000000000068</v>
      </c>
      <c r="H114" s="271">
        <f t="shared" si="1"/>
        <v>-15.543299999999931</v>
      </c>
    </row>
    <row r="115" spans="1:8" ht="12.75" x14ac:dyDescent="0.2">
      <c r="A115" s="92">
        <v>45666</v>
      </c>
      <c r="B115" s="93" t="s">
        <v>39</v>
      </c>
      <c r="C115" s="94">
        <v>0.91820000000000002</v>
      </c>
      <c r="D115" s="97">
        <v>587</v>
      </c>
      <c r="E115" s="98">
        <f>D115-(C115*D115)</f>
        <v>48.016600000000039</v>
      </c>
      <c r="F115" s="99">
        <f t="shared" si="0"/>
        <v>2640.9130000000023</v>
      </c>
      <c r="G115" s="270">
        <f t="shared" si="2"/>
        <v>29.350000000000023</v>
      </c>
      <c r="H115" s="271">
        <f t="shared" si="1"/>
        <v>-18.666600000000017</v>
      </c>
    </row>
    <row r="116" spans="1:8" ht="12.75" x14ac:dyDescent="0.2">
      <c r="A116" s="92">
        <v>45667</v>
      </c>
      <c r="B116" s="93" t="s">
        <v>41</v>
      </c>
      <c r="C116" s="94">
        <v>0.91139999999999999</v>
      </c>
      <c r="D116" s="97">
        <v>587</v>
      </c>
      <c r="E116" s="98">
        <f>D116-(C116*D116)</f>
        <v>52.008199999999988</v>
      </c>
      <c r="F116" s="99">
        <f t="shared" si="0"/>
        <v>2860.4509999999991</v>
      </c>
      <c r="G116" s="270">
        <f t="shared" si="2"/>
        <v>29.350000000000023</v>
      </c>
      <c r="H116" s="271">
        <f t="shared" si="1"/>
        <v>-22.658199999999965</v>
      </c>
    </row>
    <row r="117" spans="1:8" ht="12.75" x14ac:dyDescent="0.2">
      <c r="A117" s="92">
        <v>45670</v>
      </c>
      <c r="B117" s="93" t="s">
        <v>33</v>
      </c>
      <c r="C117" s="94">
        <v>0.9456</v>
      </c>
      <c r="D117" s="97">
        <v>588</v>
      </c>
      <c r="E117" s="98">
        <f>D117-(C117*D117)</f>
        <v>31.98720000000003</v>
      </c>
      <c r="F117" s="99">
        <f t="shared" si="0"/>
        <v>1759.2960000000016</v>
      </c>
      <c r="G117" s="270">
        <f t="shared" si="2"/>
        <v>29.399999999999977</v>
      </c>
      <c r="H117" s="271">
        <f t="shared" si="1"/>
        <v>-2.5872000000000526</v>
      </c>
    </row>
    <row r="118" spans="1:8" ht="12.75" x14ac:dyDescent="0.2">
      <c r="A118" s="92">
        <v>45671</v>
      </c>
      <c r="B118" s="93" t="s">
        <v>35</v>
      </c>
      <c r="C118" s="94">
        <v>0.94740000000000002</v>
      </c>
      <c r="D118" s="97">
        <v>589</v>
      </c>
      <c r="E118" s="98">
        <f>D118-(C118*D118)</f>
        <v>30.981400000000008</v>
      </c>
      <c r="F118" s="99">
        <f t="shared" si="0"/>
        <v>1703.9770000000003</v>
      </c>
      <c r="G118" s="270">
        <f t="shared" si="2"/>
        <v>29.450000000000045</v>
      </c>
      <c r="H118" s="271">
        <f t="shared" si="1"/>
        <v>-1.5313999999999623</v>
      </c>
    </row>
    <row r="119" spans="1:8" ht="12.75" x14ac:dyDescent="0.2">
      <c r="A119" s="92">
        <v>45672</v>
      </c>
      <c r="B119" s="93" t="s">
        <v>37</v>
      </c>
      <c r="C119" s="94">
        <v>0.95760000000000001</v>
      </c>
      <c r="D119" s="97">
        <v>589</v>
      </c>
      <c r="E119" s="98">
        <f>D119-(C119*D119)</f>
        <v>24.973600000000033</v>
      </c>
      <c r="F119" s="99">
        <f t="shared" si="0"/>
        <v>1373.5480000000018</v>
      </c>
      <c r="G119" s="270">
        <f t="shared" si="2"/>
        <v>29.450000000000045</v>
      </c>
      <c r="H119" s="271">
        <f t="shared" si="1"/>
        <v>4.4764000000000124</v>
      </c>
    </row>
    <row r="120" spans="1:8" ht="12.75" x14ac:dyDescent="0.2">
      <c r="A120" s="92">
        <v>45673</v>
      </c>
      <c r="B120" s="93" t="s">
        <v>39</v>
      </c>
      <c r="C120" s="94">
        <v>0.95420000000000005</v>
      </c>
      <c r="D120" s="97">
        <v>589</v>
      </c>
      <c r="E120" s="98">
        <f>D120-(C120*D120)</f>
        <v>26.976199999999949</v>
      </c>
      <c r="F120" s="99">
        <f t="shared" si="0"/>
        <v>1483.6909999999971</v>
      </c>
      <c r="G120" s="270">
        <f t="shared" si="2"/>
        <v>29.450000000000045</v>
      </c>
      <c r="H120" s="271">
        <f t="shared" si="1"/>
        <v>2.4738000000000966</v>
      </c>
    </row>
    <row r="121" spans="1:8" ht="12.75" x14ac:dyDescent="0.2">
      <c r="A121" s="92">
        <v>45674</v>
      </c>
      <c r="B121" s="93" t="s">
        <v>41</v>
      </c>
      <c r="C121" s="94">
        <v>0.94740000000000002</v>
      </c>
      <c r="D121" s="97">
        <v>589</v>
      </c>
      <c r="E121" s="98">
        <f>D121-(C121*D121)</f>
        <v>30.981400000000008</v>
      </c>
      <c r="F121" s="99">
        <f t="shared" si="0"/>
        <v>1703.9770000000003</v>
      </c>
      <c r="G121" s="270">
        <f t="shared" si="2"/>
        <v>29.450000000000045</v>
      </c>
      <c r="H121" s="271">
        <f t="shared" si="1"/>
        <v>-1.5313999999999623</v>
      </c>
    </row>
    <row r="122" spans="1:8" ht="12.75" x14ac:dyDescent="0.2">
      <c r="A122" s="103">
        <v>45677</v>
      </c>
      <c r="B122" s="104" t="s">
        <v>33</v>
      </c>
      <c r="C122" s="105">
        <v>0</v>
      </c>
      <c r="D122" s="108"/>
      <c r="E122" s="98">
        <f>D122-(C122*D122)</f>
        <v>0</v>
      </c>
      <c r="F122" s="99">
        <f t="shared" si="0"/>
        <v>0</v>
      </c>
      <c r="G122" s="270">
        <f t="shared" si="2"/>
        <v>0</v>
      </c>
      <c r="H122" s="271">
        <f t="shared" si="1"/>
        <v>0</v>
      </c>
    </row>
    <row r="123" spans="1:8" ht="12.75" x14ac:dyDescent="0.2">
      <c r="A123" s="92">
        <v>45678</v>
      </c>
      <c r="B123" s="93" t="s">
        <v>35</v>
      </c>
      <c r="C123" s="94"/>
      <c r="E123" s="98">
        <f>D123-(C123*D123)</f>
        <v>0</v>
      </c>
      <c r="F123" s="99">
        <f t="shared" si="0"/>
        <v>0</v>
      </c>
      <c r="G123" s="270">
        <f t="shared" si="2"/>
        <v>0</v>
      </c>
      <c r="H123" s="271">
        <f t="shared" si="1"/>
        <v>0</v>
      </c>
    </row>
    <row r="124" spans="1:8" ht="12.75" x14ac:dyDescent="0.2">
      <c r="A124" s="92">
        <v>45679</v>
      </c>
      <c r="B124" s="93" t="s">
        <v>37</v>
      </c>
      <c r="C124" s="94"/>
      <c r="E124" s="98">
        <f>D124-(C124*D124)</f>
        <v>0</v>
      </c>
      <c r="F124" s="99">
        <f t="shared" si="0"/>
        <v>0</v>
      </c>
      <c r="G124" s="270">
        <f t="shared" si="2"/>
        <v>0</v>
      </c>
      <c r="H124" s="271">
        <f t="shared" si="1"/>
        <v>0</v>
      </c>
    </row>
    <row r="125" spans="1:8" ht="12.75" x14ac:dyDescent="0.2">
      <c r="A125" s="92">
        <v>45680</v>
      </c>
      <c r="B125" s="93" t="s">
        <v>39</v>
      </c>
      <c r="C125" s="94">
        <v>0.81830000000000003</v>
      </c>
      <c r="D125" s="97">
        <v>589</v>
      </c>
      <c r="E125" s="98">
        <f>D125-(C125*D125)</f>
        <v>107.0213</v>
      </c>
      <c r="F125" s="99">
        <f t="shared" si="0"/>
        <v>5886.1714999999995</v>
      </c>
      <c r="G125" s="270">
        <f t="shared" si="2"/>
        <v>29.450000000000045</v>
      </c>
      <c r="H125" s="271">
        <f t="shared" si="1"/>
        <v>-77.571299999999951</v>
      </c>
    </row>
    <row r="126" spans="1:8" ht="12.75" x14ac:dyDescent="0.2">
      <c r="A126" s="92">
        <v>45681</v>
      </c>
      <c r="B126" s="93" t="s">
        <v>41</v>
      </c>
      <c r="C126" s="94">
        <v>0.89129999999999998</v>
      </c>
      <c r="D126" s="97">
        <v>589</v>
      </c>
      <c r="E126" s="98">
        <f>D126-(C126*D126)</f>
        <v>64.024300000000039</v>
      </c>
      <c r="F126" s="99">
        <f t="shared" si="0"/>
        <v>3521.3365000000022</v>
      </c>
      <c r="G126" s="270">
        <f t="shared" si="2"/>
        <v>29.450000000000045</v>
      </c>
      <c r="H126" s="271">
        <f t="shared" si="1"/>
        <v>-34.574299999999994</v>
      </c>
    </row>
    <row r="127" spans="1:8" ht="12.75" x14ac:dyDescent="0.2">
      <c r="A127" s="92">
        <v>45684</v>
      </c>
      <c r="B127" s="93" t="s">
        <v>33</v>
      </c>
      <c r="C127" s="94">
        <v>0.95930000000000004</v>
      </c>
      <c r="D127" s="97">
        <v>590</v>
      </c>
      <c r="E127" s="98">
        <f>D127-(C127*D127)</f>
        <v>24.01299999999992</v>
      </c>
      <c r="F127" s="99">
        <f t="shared" si="0"/>
        <v>1320.7149999999956</v>
      </c>
      <c r="G127" s="270">
        <f t="shared" si="2"/>
        <v>29.5</v>
      </c>
      <c r="H127" s="271">
        <f t="shared" si="1"/>
        <v>5.48700000000008</v>
      </c>
    </row>
    <row r="128" spans="1:8" ht="12.75" x14ac:dyDescent="0.2">
      <c r="A128" s="92">
        <v>45685</v>
      </c>
      <c r="B128" s="93" t="s">
        <v>35</v>
      </c>
      <c r="C128" s="94">
        <v>0.96440000000000003</v>
      </c>
      <c r="D128" s="97">
        <v>590</v>
      </c>
      <c r="E128" s="98">
        <f>D128-(C128*D128)</f>
        <v>21.004000000000019</v>
      </c>
      <c r="F128" s="99">
        <f t="shared" si="0"/>
        <v>1155.2200000000012</v>
      </c>
      <c r="G128" s="270">
        <f t="shared" si="2"/>
        <v>29.5</v>
      </c>
      <c r="H128" s="271">
        <f t="shared" si="1"/>
        <v>8.4959999999999809</v>
      </c>
    </row>
    <row r="129" spans="1:8" ht="12.75" x14ac:dyDescent="0.2">
      <c r="A129" s="92">
        <v>45686</v>
      </c>
      <c r="B129" s="93" t="s">
        <v>37</v>
      </c>
      <c r="C129" s="94">
        <v>0.93240000000000001</v>
      </c>
      <c r="D129" s="97">
        <v>592</v>
      </c>
      <c r="E129" s="98">
        <f>D129-(C129*D129)</f>
        <v>40.019199999999955</v>
      </c>
      <c r="F129" s="99">
        <f t="shared" si="0"/>
        <v>2201.0559999999978</v>
      </c>
      <c r="G129" s="270">
        <f t="shared" si="2"/>
        <v>29.600000000000023</v>
      </c>
      <c r="H129" s="271">
        <f t="shared" si="1"/>
        <v>-10.419199999999933</v>
      </c>
    </row>
    <row r="130" spans="1:8" ht="12.75" x14ac:dyDescent="0.2">
      <c r="A130" s="92">
        <v>45687</v>
      </c>
      <c r="B130" s="93" t="s">
        <v>39</v>
      </c>
      <c r="C130" s="94">
        <v>0.9375</v>
      </c>
      <c r="D130" s="97">
        <v>592</v>
      </c>
      <c r="E130" s="98">
        <f>D130-(C130*D130)</f>
        <v>37</v>
      </c>
      <c r="F130" s="99">
        <f t="shared" si="0"/>
        <v>2035</v>
      </c>
      <c r="G130" s="270">
        <f t="shared" si="2"/>
        <v>29.600000000000023</v>
      </c>
      <c r="H130" s="271">
        <f t="shared" si="1"/>
        <v>-7.3999999999999773</v>
      </c>
    </row>
    <row r="131" spans="1:8" ht="12.75" x14ac:dyDescent="0.2">
      <c r="A131" s="92">
        <v>45688</v>
      </c>
      <c r="B131" s="93" t="s">
        <v>41</v>
      </c>
      <c r="C131" s="94">
        <v>0.91549999999999998</v>
      </c>
      <c r="D131" s="97">
        <v>592</v>
      </c>
      <c r="E131" s="98">
        <f>D131-(C131*D131)</f>
        <v>50.024000000000001</v>
      </c>
      <c r="F131" s="99">
        <f t="shared" si="0"/>
        <v>2751.32</v>
      </c>
      <c r="G131" s="270">
        <f t="shared" si="2"/>
        <v>29.600000000000023</v>
      </c>
      <c r="H131" s="271">
        <f t="shared" si="1"/>
        <v>-20.423999999999978</v>
      </c>
    </row>
    <row r="132" spans="1:8" ht="12.75" x14ac:dyDescent="0.2">
      <c r="A132" s="92">
        <v>45691</v>
      </c>
      <c r="B132" s="93" t="s">
        <v>33</v>
      </c>
      <c r="C132" s="94">
        <v>0.80910000000000004</v>
      </c>
      <c r="D132" s="97">
        <v>592</v>
      </c>
      <c r="E132" s="98">
        <f>D132-(C132*D132)</f>
        <v>113.01279999999997</v>
      </c>
      <c r="F132" s="99">
        <f t="shared" si="0"/>
        <v>6215.7039999999979</v>
      </c>
      <c r="G132" s="270">
        <f t="shared" si="2"/>
        <v>29.600000000000023</v>
      </c>
      <c r="H132" s="271">
        <f t="shared" si="1"/>
        <v>-83.412799999999947</v>
      </c>
    </row>
    <row r="133" spans="1:8" ht="12.75" x14ac:dyDescent="0.2">
      <c r="A133" s="92">
        <v>45692</v>
      </c>
      <c r="B133" s="93" t="s">
        <v>35</v>
      </c>
      <c r="C133" s="94">
        <v>0.9375</v>
      </c>
      <c r="D133" s="97">
        <v>592</v>
      </c>
      <c r="E133" s="98">
        <f>D133-(C133*D133)</f>
        <v>37</v>
      </c>
      <c r="F133" s="99">
        <f t="shared" si="0"/>
        <v>2035</v>
      </c>
      <c r="G133" s="270">
        <f t="shared" si="2"/>
        <v>29.600000000000023</v>
      </c>
      <c r="H133" s="271">
        <f t="shared" si="1"/>
        <v>-7.3999999999999773</v>
      </c>
    </row>
    <row r="134" spans="1:8" ht="12.75" x14ac:dyDescent="0.2">
      <c r="A134" s="92">
        <v>45693</v>
      </c>
      <c r="B134" s="93" t="s">
        <v>37</v>
      </c>
      <c r="C134" s="94">
        <v>0.93579999999999997</v>
      </c>
      <c r="D134" s="97">
        <v>592</v>
      </c>
      <c r="E134" s="98">
        <f>D134-(C134*D134)</f>
        <v>38.006399999999985</v>
      </c>
      <c r="F134" s="99">
        <f t="shared" si="0"/>
        <v>2090.351999999999</v>
      </c>
      <c r="G134" s="270">
        <f t="shared" si="2"/>
        <v>29.600000000000023</v>
      </c>
      <c r="H134" s="271">
        <f t="shared" si="1"/>
        <v>-8.4063999999999623</v>
      </c>
    </row>
    <row r="135" spans="1:8" ht="12.75" x14ac:dyDescent="0.2">
      <c r="A135" s="92">
        <v>45694</v>
      </c>
      <c r="B135" s="93" t="s">
        <v>39</v>
      </c>
      <c r="C135" s="94">
        <v>0.95099999999999996</v>
      </c>
      <c r="D135" s="97">
        <v>592</v>
      </c>
      <c r="E135" s="98">
        <f>D135-(C135*D135)</f>
        <v>29.008000000000038</v>
      </c>
      <c r="F135" s="99">
        <f t="shared" si="0"/>
        <v>1595.4400000000021</v>
      </c>
      <c r="G135" s="270">
        <f t="shared" si="2"/>
        <v>29.600000000000023</v>
      </c>
      <c r="H135" s="271">
        <f t="shared" si="1"/>
        <v>0.59199999999998454</v>
      </c>
    </row>
    <row r="136" spans="1:8" ht="12.75" x14ac:dyDescent="0.2">
      <c r="A136" s="92">
        <v>45695</v>
      </c>
      <c r="B136" s="93" t="s">
        <v>41</v>
      </c>
      <c r="C136" s="94">
        <v>0.91220000000000001</v>
      </c>
      <c r="D136" s="97">
        <v>592</v>
      </c>
      <c r="E136" s="98">
        <f>D136-(C136*D136)</f>
        <v>51.977599999999939</v>
      </c>
      <c r="F136" s="99">
        <f t="shared" si="0"/>
        <v>2858.7679999999964</v>
      </c>
      <c r="G136" s="270">
        <f t="shared" si="2"/>
        <v>29.600000000000023</v>
      </c>
      <c r="H136" s="271">
        <f t="shared" si="1"/>
        <v>-22.377599999999916</v>
      </c>
    </row>
    <row r="137" spans="1:8" ht="12.75" x14ac:dyDescent="0.2">
      <c r="A137" s="109">
        <v>45698</v>
      </c>
      <c r="B137" s="110" t="s">
        <v>33</v>
      </c>
      <c r="C137" s="111"/>
      <c r="D137" s="114"/>
      <c r="E137" s="98">
        <f>D137-(C137*D137)</f>
        <v>0</v>
      </c>
      <c r="F137" s="99">
        <f t="shared" si="0"/>
        <v>0</v>
      </c>
      <c r="G137" s="270">
        <f t="shared" si="2"/>
        <v>0</v>
      </c>
      <c r="H137" s="271">
        <f t="shared" si="1"/>
        <v>0</v>
      </c>
    </row>
    <row r="138" spans="1:8" ht="12.75" x14ac:dyDescent="0.2">
      <c r="A138" s="109">
        <v>45699</v>
      </c>
      <c r="B138" s="110" t="s">
        <v>35</v>
      </c>
      <c r="C138" s="111"/>
      <c r="D138" s="114"/>
      <c r="E138" s="98">
        <f>D138-(C138*D138)</f>
        <v>0</v>
      </c>
      <c r="F138" s="99">
        <f t="shared" si="0"/>
        <v>0</v>
      </c>
      <c r="G138" s="270">
        <f t="shared" si="2"/>
        <v>0</v>
      </c>
      <c r="H138" s="271">
        <f t="shared" si="1"/>
        <v>0</v>
      </c>
    </row>
    <row r="139" spans="1:8" ht="12.75" x14ac:dyDescent="0.2">
      <c r="A139" s="92">
        <v>45700</v>
      </c>
      <c r="B139" s="93" t="s">
        <v>37</v>
      </c>
      <c r="C139" s="94">
        <v>0.94430000000000003</v>
      </c>
      <c r="D139" s="97">
        <v>592</v>
      </c>
      <c r="E139" s="98">
        <f>D139-(C139*D139)</f>
        <v>32.974399999999946</v>
      </c>
      <c r="F139" s="99">
        <f t="shared" si="0"/>
        <v>1813.5919999999969</v>
      </c>
      <c r="G139" s="270">
        <f t="shared" si="2"/>
        <v>29.600000000000023</v>
      </c>
      <c r="H139" s="271">
        <f t="shared" si="1"/>
        <v>-3.3743999999999232</v>
      </c>
    </row>
    <row r="140" spans="1:8" ht="12.75" x14ac:dyDescent="0.2">
      <c r="A140" s="92">
        <v>45701</v>
      </c>
      <c r="B140" s="93" t="s">
        <v>39</v>
      </c>
      <c r="C140" s="94">
        <v>0.95950000000000002</v>
      </c>
      <c r="D140" s="97">
        <v>592</v>
      </c>
      <c r="E140" s="98">
        <f>D140-(C140*D140)</f>
        <v>23.975999999999999</v>
      </c>
      <c r="F140" s="99">
        <f t="shared" si="0"/>
        <v>1318.6799999999998</v>
      </c>
      <c r="G140" s="270">
        <f t="shared" si="2"/>
        <v>29.600000000000023</v>
      </c>
      <c r="H140" s="271">
        <f t="shared" si="1"/>
        <v>5.6240000000000236</v>
      </c>
    </row>
    <row r="141" spans="1:8" ht="12.75" x14ac:dyDescent="0.2">
      <c r="A141" s="92">
        <v>45702</v>
      </c>
      <c r="B141" s="93" t="s">
        <v>41</v>
      </c>
      <c r="C141" s="94">
        <v>0.96960000000000002</v>
      </c>
      <c r="D141" s="97">
        <v>592</v>
      </c>
      <c r="E141" s="98">
        <f>D141-(C141*D141)</f>
        <v>17.996800000000007</v>
      </c>
      <c r="F141" s="99">
        <f t="shared" si="0"/>
        <v>989.82400000000041</v>
      </c>
      <c r="G141" s="270">
        <f t="shared" si="2"/>
        <v>29.600000000000023</v>
      </c>
      <c r="H141" s="271">
        <f t="shared" si="1"/>
        <v>11.603200000000015</v>
      </c>
    </row>
    <row r="142" spans="1:8" ht="12.75" x14ac:dyDescent="0.2">
      <c r="A142" s="117">
        <v>45705</v>
      </c>
      <c r="B142" s="118" t="s">
        <v>33</v>
      </c>
      <c r="C142" s="119"/>
      <c r="D142" s="122"/>
      <c r="E142" s="98">
        <f>D142-(C142*D142)</f>
        <v>0</v>
      </c>
      <c r="F142" s="99">
        <f t="shared" si="0"/>
        <v>0</v>
      </c>
      <c r="G142" s="270">
        <f t="shared" si="2"/>
        <v>0</v>
      </c>
      <c r="H142" s="271">
        <f t="shared" si="1"/>
        <v>0</v>
      </c>
    </row>
    <row r="143" spans="1:8" ht="12.75" x14ac:dyDescent="0.2">
      <c r="A143" s="92">
        <v>45706</v>
      </c>
      <c r="B143" s="93" t="s">
        <v>35</v>
      </c>
      <c r="C143" s="94">
        <v>0.95250000000000001</v>
      </c>
      <c r="D143" s="97">
        <v>590</v>
      </c>
      <c r="E143" s="98">
        <f>D143-(C143*D143)</f>
        <v>28.024999999999977</v>
      </c>
      <c r="F143" s="99">
        <f t="shared" si="0"/>
        <v>1541.3749999999986</v>
      </c>
      <c r="G143" s="270">
        <f t="shared" si="2"/>
        <v>29.5</v>
      </c>
      <c r="H143" s="271">
        <f t="shared" si="1"/>
        <v>1.4750000000000227</v>
      </c>
    </row>
    <row r="144" spans="1:8" ht="12.75" x14ac:dyDescent="0.2">
      <c r="A144" s="92">
        <v>45707</v>
      </c>
      <c r="B144" s="93" t="s">
        <v>37</v>
      </c>
      <c r="C144" s="94">
        <v>0.96779999999999999</v>
      </c>
      <c r="D144" s="97">
        <v>590</v>
      </c>
      <c r="E144" s="98">
        <f>D144-(C144*D144)</f>
        <v>18.998000000000047</v>
      </c>
      <c r="F144" s="99">
        <f t="shared" si="0"/>
        <v>1044.8900000000026</v>
      </c>
      <c r="G144" s="270">
        <f t="shared" si="2"/>
        <v>29.5</v>
      </c>
      <c r="H144" s="271">
        <f t="shared" si="1"/>
        <v>10.501999999999953</v>
      </c>
    </row>
    <row r="145" spans="1:8" ht="12.75" x14ac:dyDescent="0.2">
      <c r="A145" s="92">
        <v>45708</v>
      </c>
      <c r="B145" s="93" t="s">
        <v>39</v>
      </c>
      <c r="C145" s="94">
        <v>0.92030000000000001</v>
      </c>
      <c r="D145" s="97">
        <v>590</v>
      </c>
      <c r="E145" s="98">
        <f>D145-(C145*D145)</f>
        <v>47.023000000000025</v>
      </c>
      <c r="F145" s="99">
        <f t="shared" si="0"/>
        <v>2586.2650000000012</v>
      </c>
      <c r="G145" s="270">
        <f t="shared" si="2"/>
        <v>29.5</v>
      </c>
      <c r="H145" s="271">
        <f t="shared" si="1"/>
        <v>-17.523000000000025</v>
      </c>
    </row>
    <row r="146" spans="1:8" ht="12.75" x14ac:dyDescent="0.2">
      <c r="A146" s="92">
        <v>45709</v>
      </c>
      <c r="B146" s="93" t="s">
        <v>41</v>
      </c>
      <c r="C146" s="94">
        <v>0.95420000000000005</v>
      </c>
      <c r="D146" s="97">
        <v>590</v>
      </c>
      <c r="E146" s="98">
        <f>D146-(C146*D146)</f>
        <v>27.021999999999935</v>
      </c>
      <c r="F146" s="99">
        <f t="shared" si="0"/>
        <v>1486.2099999999964</v>
      </c>
      <c r="G146" s="270">
        <f t="shared" si="2"/>
        <v>29.5</v>
      </c>
      <c r="H146" s="271">
        <f t="shared" si="1"/>
        <v>2.4780000000000655</v>
      </c>
    </row>
    <row r="147" spans="1:8" ht="12.75" x14ac:dyDescent="0.2">
      <c r="A147" s="92">
        <v>45712</v>
      </c>
      <c r="B147" s="93" t="s">
        <v>33</v>
      </c>
      <c r="C147" s="94">
        <v>0.9254</v>
      </c>
      <c r="D147" s="97">
        <v>590</v>
      </c>
      <c r="E147" s="98">
        <f>D147-(C147*D147)</f>
        <v>44.01400000000001</v>
      </c>
      <c r="F147" s="99">
        <f t="shared" si="0"/>
        <v>2420.7700000000004</v>
      </c>
      <c r="G147" s="270">
        <f t="shared" si="2"/>
        <v>29.5</v>
      </c>
      <c r="H147" s="271">
        <f t="shared" si="1"/>
        <v>-14.51400000000001</v>
      </c>
    </row>
    <row r="148" spans="1:8" ht="12.75" x14ac:dyDescent="0.2">
      <c r="A148" s="92">
        <v>45713</v>
      </c>
      <c r="B148" s="93" t="s">
        <v>35</v>
      </c>
      <c r="C148" s="94">
        <v>0.96609999999999996</v>
      </c>
      <c r="D148" s="97">
        <v>590</v>
      </c>
      <c r="E148" s="98">
        <f>D148-(C148*D148)</f>
        <v>20.000999999999976</v>
      </c>
      <c r="F148" s="99">
        <f t="shared" si="0"/>
        <v>1100.0549999999987</v>
      </c>
      <c r="G148" s="270">
        <f t="shared" si="2"/>
        <v>29.5</v>
      </c>
      <c r="H148" s="271">
        <f t="shared" si="1"/>
        <v>9.4990000000000236</v>
      </c>
    </row>
    <row r="149" spans="1:8" ht="12.75" x14ac:dyDescent="0.2">
      <c r="A149" s="92">
        <v>45714</v>
      </c>
      <c r="B149" s="93" t="s">
        <v>37</v>
      </c>
      <c r="C149" s="94">
        <v>0.95750000000000002</v>
      </c>
      <c r="D149" s="97">
        <v>588</v>
      </c>
      <c r="E149" s="98">
        <f>D149-(C149*D149)</f>
        <v>24.990000000000009</v>
      </c>
      <c r="F149" s="99">
        <f t="shared" si="0"/>
        <v>1374.4500000000005</v>
      </c>
      <c r="G149" s="270">
        <f t="shared" si="2"/>
        <v>29.399999999999977</v>
      </c>
      <c r="H149" s="271">
        <f t="shared" si="1"/>
        <v>4.4099999999999682</v>
      </c>
    </row>
    <row r="150" spans="1:8" ht="12.75" x14ac:dyDescent="0.2">
      <c r="A150" s="92">
        <v>45715</v>
      </c>
      <c r="B150" s="93" t="s">
        <v>39</v>
      </c>
      <c r="C150" s="94">
        <v>0.95079999999999998</v>
      </c>
      <c r="D150" s="97">
        <v>590</v>
      </c>
      <c r="E150" s="98">
        <f>D150-(C150*D150)</f>
        <v>29.02800000000002</v>
      </c>
      <c r="F150" s="99">
        <f t="shared" si="0"/>
        <v>1596.5400000000011</v>
      </c>
      <c r="G150" s="270">
        <f t="shared" si="2"/>
        <v>29.5</v>
      </c>
      <c r="H150" s="271">
        <f t="shared" si="1"/>
        <v>0.47199999999997999</v>
      </c>
    </row>
    <row r="151" spans="1:8" ht="12.75" x14ac:dyDescent="0.2">
      <c r="A151" s="92">
        <v>45716</v>
      </c>
      <c r="B151" s="93" t="s">
        <v>41</v>
      </c>
      <c r="C151" s="94">
        <v>0.94069999999999998</v>
      </c>
      <c r="D151" s="97">
        <v>590</v>
      </c>
      <c r="E151" s="98">
        <f>D151-(C151*D151)</f>
        <v>34.986999999999966</v>
      </c>
      <c r="F151" s="99">
        <f t="shared" si="0"/>
        <v>1924.284999999998</v>
      </c>
      <c r="G151" s="270">
        <f t="shared" si="2"/>
        <v>29.5</v>
      </c>
      <c r="H151" s="271">
        <f t="shared" si="1"/>
        <v>-5.4869999999999663</v>
      </c>
    </row>
    <row r="152" spans="1:8" ht="12.75" x14ac:dyDescent="0.2">
      <c r="A152" s="92">
        <v>45719</v>
      </c>
      <c r="B152" s="93" t="s">
        <v>33</v>
      </c>
      <c r="C152" s="94">
        <v>0.93369999999999997</v>
      </c>
      <c r="D152" s="97">
        <v>588</v>
      </c>
      <c r="E152" s="98">
        <f>D152-(C152*D152)</f>
        <v>38.984400000000051</v>
      </c>
      <c r="F152" s="99">
        <f t="shared" si="0"/>
        <v>2144.1420000000026</v>
      </c>
      <c r="G152" s="270">
        <f t="shared" si="2"/>
        <v>29.399999999999977</v>
      </c>
      <c r="H152" s="271">
        <f t="shared" si="1"/>
        <v>-9.5844000000000733</v>
      </c>
    </row>
    <row r="153" spans="1:8" ht="12.75" x14ac:dyDescent="0.2">
      <c r="A153" s="92">
        <v>45720</v>
      </c>
      <c r="B153" s="93" t="s">
        <v>35</v>
      </c>
      <c r="C153" s="94">
        <v>0.96430000000000005</v>
      </c>
      <c r="D153" s="97">
        <v>588</v>
      </c>
      <c r="E153" s="98">
        <f>D153-(C153*D153)</f>
        <v>20.991599999999949</v>
      </c>
      <c r="F153" s="99">
        <f t="shared" si="0"/>
        <v>1154.5379999999973</v>
      </c>
      <c r="G153" s="270">
        <f t="shared" si="2"/>
        <v>29.399999999999977</v>
      </c>
      <c r="H153" s="271">
        <f t="shared" si="1"/>
        <v>8.4084000000000287</v>
      </c>
    </row>
    <row r="154" spans="1:8" ht="12.75" x14ac:dyDescent="0.2">
      <c r="A154" s="92">
        <v>45721</v>
      </c>
      <c r="B154" s="93" t="s">
        <v>37</v>
      </c>
      <c r="C154" s="94">
        <v>0.96599999999999997</v>
      </c>
      <c r="D154" s="97">
        <v>588</v>
      </c>
      <c r="E154" s="98">
        <f>D154-(C154*D154)</f>
        <v>19.991999999999962</v>
      </c>
      <c r="F154" s="99">
        <f t="shared" si="0"/>
        <v>1099.5599999999979</v>
      </c>
      <c r="G154" s="270">
        <f t="shared" si="2"/>
        <v>29.399999999999977</v>
      </c>
      <c r="H154" s="271">
        <f t="shared" si="1"/>
        <v>9.4080000000000155</v>
      </c>
    </row>
    <row r="155" spans="1:8" ht="12.75" x14ac:dyDescent="0.2">
      <c r="A155" s="92">
        <v>45722</v>
      </c>
      <c r="B155" s="93" t="s">
        <v>39</v>
      </c>
      <c r="C155" s="94">
        <v>0.95760000000000001</v>
      </c>
      <c r="D155" s="97">
        <v>590</v>
      </c>
      <c r="E155" s="98">
        <f>D155-(C155*D155)</f>
        <v>25.015999999999963</v>
      </c>
      <c r="F155" s="99">
        <f t="shared" si="0"/>
        <v>1375.8799999999978</v>
      </c>
      <c r="G155" s="270">
        <f t="shared" si="2"/>
        <v>29.5</v>
      </c>
      <c r="H155" s="271">
        <f t="shared" si="1"/>
        <v>4.4840000000000373</v>
      </c>
    </row>
    <row r="156" spans="1:8" ht="12.75" x14ac:dyDescent="0.2">
      <c r="A156" s="92">
        <v>45723</v>
      </c>
      <c r="B156" s="93" t="s">
        <v>41</v>
      </c>
      <c r="C156" s="94">
        <v>0.93730000000000002</v>
      </c>
      <c r="D156" s="97">
        <v>590</v>
      </c>
      <c r="E156" s="98">
        <f>D156-(C156*D156)</f>
        <v>36.992999999999938</v>
      </c>
      <c r="F156" s="99">
        <f t="shared" si="0"/>
        <v>2034.6149999999966</v>
      </c>
      <c r="G156" s="270">
        <f t="shared" si="2"/>
        <v>29.5</v>
      </c>
      <c r="H156" s="271">
        <f t="shared" si="1"/>
        <v>-7.4929999999999382</v>
      </c>
    </row>
    <row r="157" spans="1:8" ht="12.75" x14ac:dyDescent="0.2">
      <c r="A157" s="123">
        <v>45726</v>
      </c>
      <c r="B157" s="124" t="s">
        <v>33</v>
      </c>
      <c r="C157" s="94">
        <v>0.91859999999999997</v>
      </c>
      <c r="D157" s="97">
        <v>590</v>
      </c>
      <c r="E157" s="98">
        <f>D157-(C157*D157)</f>
        <v>48.026000000000067</v>
      </c>
      <c r="F157" s="99">
        <f t="shared" si="0"/>
        <v>2641.4300000000039</v>
      </c>
      <c r="G157" s="270">
        <f t="shared" si="2"/>
        <v>29.5</v>
      </c>
      <c r="H157" s="271">
        <f t="shared" si="1"/>
        <v>-18.526000000000067</v>
      </c>
    </row>
    <row r="158" spans="1:8" ht="12.75" x14ac:dyDescent="0.2">
      <c r="A158" s="123">
        <v>45727</v>
      </c>
      <c r="B158" s="124" t="s">
        <v>35</v>
      </c>
      <c r="C158" s="94">
        <v>0.96099999999999997</v>
      </c>
      <c r="D158" s="97">
        <v>590</v>
      </c>
      <c r="E158" s="98">
        <f>D158-(C158*D158)</f>
        <v>23.009999999999991</v>
      </c>
      <c r="F158" s="99">
        <f t="shared" si="0"/>
        <v>1265.5499999999995</v>
      </c>
      <c r="G158" s="270">
        <f t="shared" si="2"/>
        <v>29.5</v>
      </c>
      <c r="H158" s="271">
        <f t="shared" si="1"/>
        <v>6.4900000000000091</v>
      </c>
    </row>
    <row r="159" spans="1:8" ht="12.75" x14ac:dyDescent="0.2">
      <c r="A159" s="123">
        <v>45728</v>
      </c>
      <c r="B159" s="124" t="s">
        <v>37</v>
      </c>
      <c r="C159" s="94"/>
      <c r="E159" s="98">
        <f>D159-(C159*D159)</f>
        <v>0</v>
      </c>
      <c r="F159" s="99">
        <f t="shared" si="0"/>
        <v>0</v>
      </c>
      <c r="G159" s="270">
        <f t="shared" si="2"/>
        <v>0</v>
      </c>
      <c r="H159" s="271">
        <f t="shared" si="1"/>
        <v>0</v>
      </c>
    </row>
    <row r="160" spans="1:8" ht="12.75" x14ac:dyDescent="0.2">
      <c r="A160" s="123">
        <v>45729</v>
      </c>
      <c r="B160" s="124" t="s">
        <v>39</v>
      </c>
      <c r="C160" s="94"/>
      <c r="E160" s="98">
        <f>D160-(C160*D160)</f>
        <v>0</v>
      </c>
      <c r="F160" s="99">
        <f t="shared" si="0"/>
        <v>0</v>
      </c>
      <c r="G160" s="270">
        <f t="shared" si="2"/>
        <v>0</v>
      </c>
      <c r="H160" s="271">
        <f t="shared" si="1"/>
        <v>0</v>
      </c>
    </row>
    <row r="161" spans="1:8" ht="12.75" x14ac:dyDescent="0.2">
      <c r="A161" s="123">
        <v>45730</v>
      </c>
      <c r="B161" s="124" t="s">
        <v>41</v>
      </c>
      <c r="C161" s="94"/>
      <c r="E161" s="98">
        <f>D161-(C161*D161)</f>
        <v>0</v>
      </c>
      <c r="F161" s="99">
        <f t="shared" si="0"/>
        <v>0</v>
      </c>
      <c r="G161" s="270">
        <f t="shared" si="2"/>
        <v>0</v>
      </c>
      <c r="H161" s="271">
        <f t="shared" si="1"/>
        <v>0</v>
      </c>
    </row>
    <row r="162" spans="1:8" ht="12.75" x14ac:dyDescent="0.2">
      <c r="A162" s="103">
        <v>45733</v>
      </c>
      <c r="B162" s="104" t="s">
        <v>33</v>
      </c>
      <c r="C162" s="105"/>
      <c r="D162" s="108"/>
      <c r="E162" s="98">
        <f>D162-(C162*D162)</f>
        <v>0</v>
      </c>
      <c r="F162" s="99">
        <f t="shared" si="0"/>
        <v>0</v>
      </c>
      <c r="G162" s="270">
        <f t="shared" si="2"/>
        <v>0</v>
      </c>
      <c r="H162" s="271">
        <f t="shared" si="1"/>
        <v>0</v>
      </c>
    </row>
    <row r="163" spans="1:8" ht="12.75" x14ac:dyDescent="0.2">
      <c r="A163" s="103">
        <v>45734</v>
      </c>
      <c r="B163" s="104" t="s">
        <v>35</v>
      </c>
      <c r="C163" s="105"/>
      <c r="D163" s="108"/>
      <c r="E163" s="98">
        <f>D163-(C163*D163)</f>
        <v>0</v>
      </c>
      <c r="F163" s="99">
        <f t="shared" si="0"/>
        <v>0</v>
      </c>
      <c r="G163" s="270">
        <f t="shared" si="2"/>
        <v>0</v>
      </c>
      <c r="H163" s="271">
        <f t="shared" si="1"/>
        <v>0</v>
      </c>
    </row>
    <row r="164" spans="1:8" ht="12.75" x14ac:dyDescent="0.2">
      <c r="A164" s="103">
        <v>45735</v>
      </c>
      <c r="B164" s="104" t="s">
        <v>37</v>
      </c>
      <c r="C164" s="105"/>
      <c r="D164" s="108"/>
      <c r="E164" s="98">
        <f>D164-(C164*D164)</f>
        <v>0</v>
      </c>
      <c r="F164" s="99">
        <f t="shared" si="0"/>
        <v>0</v>
      </c>
      <c r="G164" s="270">
        <f t="shared" si="2"/>
        <v>0</v>
      </c>
      <c r="H164" s="271">
        <f t="shared" si="1"/>
        <v>0</v>
      </c>
    </row>
    <row r="165" spans="1:8" ht="12.75" x14ac:dyDescent="0.2">
      <c r="A165" s="103">
        <v>45736</v>
      </c>
      <c r="B165" s="104" t="s">
        <v>39</v>
      </c>
      <c r="C165" s="105"/>
      <c r="D165" s="108"/>
      <c r="E165" s="98">
        <f>D165-(C165*D165)</f>
        <v>0</v>
      </c>
      <c r="F165" s="99">
        <f t="shared" si="0"/>
        <v>0</v>
      </c>
      <c r="G165" s="270">
        <f t="shared" si="2"/>
        <v>0</v>
      </c>
      <c r="H165" s="271">
        <f t="shared" si="1"/>
        <v>0</v>
      </c>
    </row>
    <row r="166" spans="1:8" ht="12.75" x14ac:dyDescent="0.2">
      <c r="A166" s="103">
        <v>45737</v>
      </c>
      <c r="B166" s="104" t="s">
        <v>41</v>
      </c>
      <c r="C166" s="105"/>
      <c r="D166" s="108"/>
      <c r="E166" s="98">
        <f>D166-(C166*D166)</f>
        <v>0</v>
      </c>
      <c r="F166" s="99">
        <f t="shared" si="0"/>
        <v>0</v>
      </c>
      <c r="G166" s="270">
        <f t="shared" si="2"/>
        <v>0</v>
      </c>
      <c r="H166" s="271">
        <f t="shared" si="1"/>
        <v>0</v>
      </c>
    </row>
    <row r="167" spans="1:8" ht="12.75" x14ac:dyDescent="0.2">
      <c r="A167" s="92">
        <v>45740</v>
      </c>
      <c r="B167" s="93" t="s">
        <v>33</v>
      </c>
      <c r="C167" s="94"/>
      <c r="E167" s="98">
        <f>D167-(C167*D167)</f>
        <v>0</v>
      </c>
      <c r="F167" s="99">
        <f t="shared" si="0"/>
        <v>0</v>
      </c>
      <c r="G167" s="270">
        <f t="shared" si="2"/>
        <v>0</v>
      </c>
      <c r="H167" s="271">
        <f t="shared" si="1"/>
        <v>0</v>
      </c>
    </row>
    <row r="168" spans="1:8" ht="12.75" x14ac:dyDescent="0.2">
      <c r="A168" s="92">
        <v>45741</v>
      </c>
      <c r="B168" s="93" t="s">
        <v>35</v>
      </c>
      <c r="C168" s="94"/>
      <c r="E168" s="98">
        <f>D168-(C168*D168)</f>
        <v>0</v>
      </c>
      <c r="F168" s="99">
        <f t="shared" si="0"/>
        <v>0</v>
      </c>
      <c r="G168" s="270">
        <f t="shared" si="2"/>
        <v>0</v>
      </c>
      <c r="H168" s="271">
        <f t="shared" si="1"/>
        <v>0</v>
      </c>
    </row>
    <row r="169" spans="1:8" ht="12.75" x14ac:dyDescent="0.2">
      <c r="A169" s="92">
        <v>45742</v>
      </c>
      <c r="B169" s="93" t="s">
        <v>37</v>
      </c>
      <c r="C169" s="94"/>
      <c r="E169" s="98">
        <f>D169-(C169*D169)</f>
        <v>0</v>
      </c>
      <c r="F169" s="99">
        <f t="shared" si="0"/>
        <v>0</v>
      </c>
      <c r="G169" s="270">
        <f t="shared" si="2"/>
        <v>0</v>
      </c>
      <c r="H169" s="271">
        <f t="shared" si="1"/>
        <v>0</v>
      </c>
    </row>
    <row r="170" spans="1:8" ht="12.75" x14ac:dyDescent="0.2">
      <c r="A170" s="92">
        <v>45743</v>
      </c>
      <c r="B170" s="93" t="s">
        <v>39</v>
      </c>
      <c r="C170" s="94"/>
      <c r="E170" s="98">
        <f>D170-(C170*D170)</f>
        <v>0</v>
      </c>
      <c r="F170" s="99">
        <f t="shared" si="0"/>
        <v>0</v>
      </c>
      <c r="G170" s="270">
        <f t="shared" si="2"/>
        <v>0</v>
      </c>
      <c r="H170" s="271">
        <f t="shared" si="1"/>
        <v>0</v>
      </c>
    </row>
    <row r="171" spans="1:8" ht="12.75" x14ac:dyDescent="0.2">
      <c r="A171" s="92">
        <v>45744</v>
      </c>
      <c r="B171" s="93" t="s">
        <v>41</v>
      </c>
      <c r="C171" s="94"/>
      <c r="E171" s="98">
        <f>D171-(C171*D171)</f>
        <v>0</v>
      </c>
      <c r="F171" s="99">
        <f t="shared" si="0"/>
        <v>0</v>
      </c>
      <c r="G171" s="270">
        <f t="shared" si="2"/>
        <v>0</v>
      </c>
      <c r="H171" s="271">
        <f t="shared" si="1"/>
        <v>0</v>
      </c>
    </row>
    <row r="172" spans="1:8" ht="12.75" x14ac:dyDescent="0.2">
      <c r="A172" s="92">
        <v>45747</v>
      </c>
      <c r="B172" s="93" t="s">
        <v>33</v>
      </c>
      <c r="C172" s="94"/>
      <c r="E172" s="98">
        <f>D172-(C172*D172)</f>
        <v>0</v>
      </c>
      <c r="F172" s="99">
        <f t="shared" si="0"/>
        <v>0</v>
      </c>
      <c r="G172" s="270">
        <f t="shared" si="2"/>
        <v>0</v>
      </c>
      <c r="H172" s="271">
        <f t="shared" si="1"/>
        <v>0</v>
      </c>
    </row>
    <row r="173" spans="1:8" ht="12.75" x14ac:dyDescent="0.2">
      <c r="A173" s="92">
        <v>45748</v>
      </c>
      <c r="B173" s="93" t="s">
        <v>35</v>
      </c>
      <c r="C173" s="94"/>
      <c r="E173" s="98">
        <f>D173-(C173*D173)</f>
        <v>0</v>
      </c>
      <c r="F173" s="99">
        <f t="shared" si="0"/>
        <v>0</v>
      </c>
      <c r="G173" s="270">
        <f t="shared" si="2"/>
        <v>0</v>
      </c>
      <c r="H173" s="271">
        <f t="shared" si="1"/>
        <v>0</v>
      </c>
    </row>
    <row r="174" spans="1:8" ht="12.75" x14ac:dyDescent="0.2">
      <c r="A174" s="92">
        <v>45749</v>
      </c>
      <c r="B174" s="93" t="s">
        <v>37</v>
      </c>
      <c r="C174" s="94"/>
      <c r="E174" s="98">
        <f>D174-(C174*D174)</f>
        <v>0</v>
      </c>
      <c r="F174" s="99">
        <f t="shared" si="0"/>
        <v>0</v>
      </c>
      <c r="G174" s="270">
        <f t="shared" si="2"/>
        <v>0</v>
      </c>
      <c r="H174" s="271">
        <f t="shared" si="1"/>
        <v>0</v>
      </c>
    </row>
    <row r="175" spans="1:8" ht="12.75" x14ac:dyDescent="0.2">
      <c r="A175" s="92">
        <v>45750</v>
      </c>
      <c r="B175" s="93" t="s">
        <v>39</v>
      </c>
      <c r="C175" s="94"/>
      <c r="E175" s="98">
        <f>D175-(C175*D175)</f>
        <v>0</v>
      </c>
      <c r="F175" s="99">
        <f t="shared" si="0"/>
        <v>0</v>
      </c>
      <c r="G175" s="270">
        <f t="shared" si="2"/>
        <v>0</v>
      </c>
      <c r="H175" s="271">
        <f t="shared" si="1"/>
        <v>0</v>
      </c>
    </row>
    <row r="176" spans="1:8" ht="12.75" x14ac:dyDescent="0.2">
      <c r="A176" s="92">
        <v>45751</v>
      </c>
      <c r="B176" s="93" t="s">
        <v>41</v>
      </c>
      <c r="C176" s="94"/>
      <c r="E176" s="98">
        <f>D176-(C176*D176)</f>
        <v>0</v>
      </c>
      <c r="F176" s="99">
        <f t="shared" si="0"/>
        <v>0</v>
      </c>
      <c r="G176" s="270">
        <f t="shared" si="2"/>
        <v>0</v>
      </c>
      <c r="H176" s="271">
        <f t="shared" si="1"/>
        <v>0</v>
      </c>
    </row>
    <row r="177" spans="1:8" ht="12.75" x14ac:dyDescent="0.2">
      <c r="A177" s="92">
        <v>45754</v>
      </c>
      <c r="B177" s="93" t="s">
        <v>33</v>
      </c>
      <c r="C177" s="94"/>
      <c r="E177" s="98">
        <f>D177-(C177*D177)</f>
        <v>0</v>
      </c>
      <c r="F177" s="99">
        <f t="shared" si="0"/>
        <v>0</v>
      </c>
      <c r="G177" s="270">
        <f t="shared" si="2"/>
        <v>0</v>
      </c>
      <c r="H177" s="271">
        <f t="shared" si="1"/>
        <v>0</v>
      </c>
    </row>
    <row r="178" spans="1:8" ht="12.75" x14ac:dyDescent="0.2">
      <c r="A178" s="92">
        <v>45755</v>
      </c>
      <c r="B178" s="93" t="s">
        <v>35</v>
      </c>
      <c r="C178" s="94"/>
      <c r="E178" s="98">
        <f>D178-(C178*D178)</f>
        <v>0</v>
      </c>
      <c r="F178" s="99">
        <f t="shared" si="0"/>
        <v>0</v>
      </c>
      <c r="G178" s="270">
        <f t="shared" si="2"/>
        <v>0</v>
      </c>
      <c r="H178" s="271">
        <f t="shared" si="1"/>
        <v>0</v>
      </c>
    </row>
    <row r="179" spans="1:8" ht="12.75" x14ac:dyDescent="0.2">
      <c r="A179" s="92">
        <v>45756</v>
      </c>
      <c r="B179" s="93" t="s">
        <v>37</v>
      </c>
      <c r="C179" s="94"/>
      <c r="E179" s="98">
        <f>D179-(C179*D179)</f>
        <v>0</v>
      </c>
      <c r="F179" s="99">
        <f t="shared" si="0"/>
        <v>0</v>
      </c>
      <c r="G179" s="270">
        <f t="shared" si="2"/>
        <v>0</v>
      </c>
      <c r="H179" s="271">
        <f t="shared" si="1"/>
        <v>0</v>
      </c>
    </row>
    <row r="180" spans="1:8" ht="12.75" x14ac:dyDescent="0.2">
      <c r="A180" s="92">
        <v>45757</v>
      </c>
      <c r="B180" s="93" t="s">
        <v>39</v>
      </c>
      <c r="C180" s="94"/>
      <c r="E180" s="98">
        <f>D180-(C180*D180)</f>
        <v>0</v>
      </c>
      <c r="F180" s="99">
        <f t="shared" si="0"/>
        <v>0</v>
      </c>
      <c r="G180" s="270">
        <f t="shared" si="2"/>
        <v>0</v>
      </c>
      <c r="H180" s="271">
        <f t="shared" si="1"/>
        <v>0</v>
      </c>
    </row>
    <row r="181" spans="1:8" ht="12.75" x14ac:dyDescent="0.2">
      <c r="A181" s="92">
        <v>45758</v>
      </c>
      <c r="B181" s="93" t="s">
        <v>41</v>
      </c>
      <c r="C181" s="94"/>
      <c r="E181" s="98">
        <f>D181-(C181*D181)</f>
        <v>0</v>
      </c>
      <c r="F181" s="99">
        <f t="shared" si="0"/>
        <v>0</v>
      </c>
      <c r="G181" s="270">
        <f t="shared" si="2"/>
        <v>0</v>
      </c>
      <c r="H181" s="271">
        <f t="shared" si="1"/>
        <v>0</v>
      </c>
    </row>
    <row r="182" spans="1:8" ht="12.75" x14ac:dyDescent="0.2">
      <c r="A182" s="92">
        <v>45761</v>
      </c>
      <c r="B182" s="93" t="s">
        <v>33</v>
      </c>
      <c r="C182" s="94"/>
      <c r="E182" s="98">
        <f>D182-(C182*D182)</f>
        <v>0</v>
      </c>
      <c r="F182" s="99">
        <f t="shared" si="0"/>
        <v>0</v>
      </c>
      <c r="G182" s="270">
        <f t="shared" si="2"/>
        <v>0</v>
      </c>
      <c r="H182" s="271">
        <f t="shared" si="1"/>
        <v>0</v>
      </c>
    </row>
    <row r="183" spans="1:8" ht="12.75" x14ac:dyDescent="0.2">
      <c r="A183" s="92">
        <v>45762</v>
      </c>
      <c r="B183" s="93" t="s">
        <v>35</v>
      </c>
      <c r="C183" s="94"/>
      <c r="E183" s="98">
        <f>D183-(C183*D183)</f>
        <v>0</v>
      </c>
      <c r="F183" s="99">
        <f t="shared" si="0"/>
        <v>0</v>
      </c>
      <c r="G183" s="270">
        <f t="shared" si="2"/>
        <v>0</v>
      </c>
      <c r="H183" s="271">
        <f t="shared" si="1"/>
        <v>0</v>
      </c>
    </row>
    <row r="184" spans="1:8" ht="12.75" x14ac:dyDescent="0.2">
      <c r="A184" s="92">
        <v>45763</v>
      </c>
      <c r="B184" s="93" t="s">
        <v>37</v>
      </c>
      <c r="C184" s="94"/>
      <c r="E184" s="98">
        <f>D184-(C184*D184)</f>
        <v>0</v>
      </c>
      <c r="F184" s="99">
        <f t="shared" si="0"/>
        <v>0</v>
      </c>
      <c r="G184" s="270">
        <f t="shared" si="2"/>
        <v>0</v>
      </c>
      <c r="H184" s="271">
        <f t="shared" si="1"/>
        <v>0</v>
      </c>
    </row>
    <row r="185" spans="1:8" ht="12.75" x14ac:dyDescent="0.2">
      <c r="A185" s="92">
        <v>45764</v>
      </c>
      <c r="B185" s="93" t="s">
        <v>39</v>
      </c>
      <c r="C185" s="94"/>
      <c r="E185" s="98">
        <f>D185-(C185*D185)</f>
        <v>0</v>
      </c>
      <c r="F185" s="99">
        <f t="shared" si="0"/>
        <v>0</v>
      </c>
      <c r="G185" s="270">
        <f t="shared" si="2"/>
        <v>0</v>
      </c>
      <c r="H185" s="271">
        <f t="shared" si="1"/>
        <v>0</v>
      </c>
    </row>
    <row r="186" spans="1:8" ht="12.75" x14ac:dyDescent="0.2">
      <c r="A186" s="103">
        <v>45765</v>
      </c>
      <c r="B186" s="104" t="s">
        <v>41</v>
      </c>
      <c r="C186" s="105"/>
      <c r="D186" s="108"/>
      <c r="E186" s="98">
        <f>D186-(C186*D186)</f>
        <v>0</v>
      </c>
      <c r="F186" s="99">
        <f t="shared" si="0"/>
        <v>0</v>
      </c>
      <c r="G186" s="270">
        <f t="shared" si="2"/>
        <v>0</v>
      </c>
      <c r="H186" s="271">
        <f t="shared" si="1"/>
        <v>0</v>
      </c>
    </row>
    <row r="187" spans="1:8" ht="12.75" x14ac:dyDescent="0.2">
      <c r="A187" s="103">
        <v>45768</v>
      </c>
      <c r="B187" s="104" t="s">
        <v>33</v>
      </c>
      <c r="C187" s="105"/>
      <c r="D187" s="108"/>
      <c r="E187" s="98">
        <f>D187-(C187*D187)</f>
        <v>0</v>
      </c>
      <c r="F187" s="99">
        <f t="shared" si="0"/>
        <v>0</v>
      </c>
      <c r="G187" s="270">
        <f t="shared" si="2"/>
        <v>0</v>
      </c>
      <c r="H187" s="271">
        <f t="shared" si="1"/>
        <v>0</v>
      </c>
    </row>
    <row r="188" spans="1:8" ht="12.75" x14ac:dyDescent="0.2">
      <c r="A188" s="92">
        <v>45769</v>
      </c>
      <c r="B188" s="93" t="s">
        <v>35</v>
      </c>
      <c r="C188" s="94"/>
      <c r="E188" s="98">
        <f>D188-(C188*D188)</f>
        <v>0</v>
      </c>
      <c r="F188" s="99">
        <f t="shared" si="0"/>
        <v>0</v>
      </c>
      <c r="G188" s="270">
        <f t="shared" si="2"/>
        <v>0</v>
      </c>
      <c r="H188" s="271">
        <f t="shared" si="1"/>
        <v>0</v>
      </c>
    </row>
    <row r="189" spans="1:8" ht="12.75" x14ac:dyDescent="0.2">
      <c r="A189" s="92">
        <v>45770</v>
      </c>
      <c r="B189" s="93" t="s">
        <v>37</v>
      </c>
      <c r="C189" s="94"/>
      <c r="E189" s="98">
        <f>D189-(C189*D189)</f>
        <v>0</v>
      </c>
      <c r="F189" s="99">
        <f t="shared" si="0"/>
        <v>0</v>
      </c>
      <c r="G189" s="270">
        <f t="shared" si="2"/>
        <v>0</v>
      </c>
      <c r="H189" s="271">
        <f t="shared" si="1"/>
        <v>0</v>
      </c>
    </row>
    <row r="190" spans="1:8" ht="12.75" x14ac:dyDescent="0.2">
      <c r="A190" s="92">
        <v>45771</v>
      </c>
      <c r="B190" s="93" t="s">
        <v>39</v>
      </c>
      <c r="C190" s="94"/>
      <c r="E190" s="98">
        <f>D190-(C190*D190)</f>
        <v>0</v>
      </c>
      <c r="F190" s="99">
        <f t="shared" si="0"/>
        <v>0</v>
      </c>
      <c r="G190" s="270">
        <f t="shared" si="2"/>
        <v>0</v>
      </c>
      <c r="H190" s="271">
        <f t="shared" si="1"/>
        <v>0</v>
      </c>
    </row>
    <row r="191" spans="1:8" ht="12.75" x14ac:dyDescent="0.2">
      <c r="A191" s="92">
        <v>45772</v>
      </c>
      <c r="B191" s="93" t="s">
        <v>41</v>
      </c>
      <c r="C191" s="94"/>
      <c r="E191" s="98">
        <f>D191-(C191*D191)</f>
        <v>0</v>
      </c>
      <c r="F191" s="99">
        <f t="shared" si="0"/>
        <v>0</v>
      </c>
      <c r="G191" s="270">
        <f t="shared" si="2"/>
        <v>0</v>
      </c>
      <c r="H191" s="271">
        <f t="shared" si="1"/>
        <v>0</v>
      </c>
    </row>
    <row r="192" spans="1:8" ht="12.75" x14ac:dyDescent="0.2">
      <c r="A192" s="92">
        <v>45775</v>
      </c>
      <c r="B192" s="93" t="s">
        <v>33</v>
      </c>
      <c r="C192" s="94"/>
      <c r="E192" s="98">
        <f>D192-(C192*D192)</f>
        <v>0</v>
      </c>
      <c r="F192" s="99">
        <f t="shared" si="0"/>
        <v>0</v>
      </c>
      <c r="G192" s="270">
        <f t="shared" si="2"/>
        <v>0</v>
      </c>
      <c r="H192" s="271">
        <f t="shared" si="1"/>
        <v>0</v>
      </c>
    </row>
    <row r="193" spans="1:8" ht="12.75" x14ac:dyDescent="0.2">
      <c r="A193" s="92">
        <v>45776</v>
      </c>
      <c r="B193" s="93" t="s">
        <v>35</v>
      </c>
      <c r="C193" s="94"/>
      <c r="E193" s="98">
        <f>D193-(C193*D193)</f>
        <v>0</v>
      </c>
      <c r="F193" s="99">
        <f t="shared" si="0"/>
        <v>0</v>
      </c>
      <c r="G193" s="270">
        <f t="shared" si="2"/>
        <v>0</v>
      </c>
      <c r="H193" s="271">
        <f t="shared" si="1"/>
        <v>0</v>
      </c>
    </row>
    <row r="194" spans="1:8" ht="12.75" x14ac:dyDescent="0.2">
      <c r="A194" s="92">
        <v>45777</v>
      </c>
      <c r="B194" s="93" t="s">
        <v>37</v>
      </c>
      <c r="C194" s="94"/>
      <c r="E194" s="98">
        <f>D194-(C194*D194)</f>
        <v>0</v>
      </c>
      <c r="F194" s="99">
        <f t="shared" si="0"/>
        <v>0</v>
      </c>
      <c r="G194" s="270">
        <f t="shared" si="2"/>
        <v>0</v>
      </c>
      <c r="H194" s="271">
        <f t="shared" si="1"/>
        <v>0</v>
      </c>
    </row>
    <row r="195" spans="1:8" ht="12.75" x14ac:dyDescent="0.2">
      <c r="A195" s="92">
        <v>45778</v>
      </c>
      <c r="B195" s="93" t="s">
        <v>39</v>
      </c>
      <c r="C195" s="94"/>
      <c r="E195" s="98">
        <f>D195-(C195*D195)</f>
        <v>0</v>
      </c>
      <c r="F195" s="99">
        <f t="shared" si="0"/>
        <v>0</v>
      </c>
      <c r="G195" s="270">
        <f t="shared" si="2"/>
        <v>0</v>
      </c>
      <c r="H195" s="271">
        <f t="shared" si="1"/>
        <v>0</v>
      </c>
    </row>
    <row r="196" spans="1:8" ht="12.75" x14ac:dyDescent="0.2">
      <c r="A196" s="92">
        <v>45779</v>
      </c>
      <c r="B196" s="93" t="s">
        <v>41</v>
      </c>
      <c r="C196" s="94"/>
      <c r="E196" s="98">
        <f>D196-(C196*D196)</f>
        <v>0</v>
      </c>
      <c r="F196" s="99">
        <f t="shared" si="0"/>
        <v>0</v>
      </c>
      <c r="G196" s="270">
        <f t="shared" si="2"/>
        <v>0</v>
      </c>
      <c r="H196" s="271">
        <f t="shared" si="1"/>
        <v>0</v>
      </c>
    </row>
    <row r="197" spans="1:8" ht="12.75" x14ac:dyDescent="0.2">
      <c r="A197" s="92">
        <v>45782</v>
      </c>
      <c r="B197" s="93" t="s">
        <v>33</v>
      </c>
      <c r="C197" s="94"/>
      <c r="E197" s="98">
        <f>D197-(C197*D197)</f>
        <v>0</v>
      </c>
      <c r="F197" s="99">
        <f t="shared" si="0"/>
        <v>0</v>
      </c>
      <c r="G197" s="270">
        <f t="shared" si="2"/>
        <v>0</v>
      </c>
      <c r="H197" s="271">
        <f t="shared" si="1"/>
        <v>0</v>
      </c>
    </row>
    <row r="198" spans="1:8" ht="12.75" x14ac:dyDescent="0.2">
      <c r="A198" s="92">
        <v>45783</v>
      </c>
      <c r="B198" s="93" t="s">
        <v>35</v>
      </c>
      <c r="C198" s="94"/>
      <c r="E198" s="98">
        <f>D198-(C198*D198)</f>
        <v>0</v>
      </c>
      <c r="F198" s="99">
        <f t="shared" si="0"/>
        <v>0</v>
      </c>
      <c r="G198" s="270">
        <f t="shared" si="2"/>
        <v>0</v>
      </c>
      <c r="H198" s="271">
        <f t="shared" si="1"/>
        <v>0</v>
      </c>
    </row>
    <row r="199" spans="1:8" ht="12.75" x14ac:dyDescent="0.2">
      <c r="A199" s="92">
        <v>45784</v>
      </c>
      <c r="B199" s="93" t="s">
        <v>37</v>
      </c>
      <c r="C199" s="94"/>
      <c r="E199" s="98">
        <f>D199-(C199*D199)</f>
        <v>0</v>
      </c>
      <c r="F199" s="99">
        <f t="shared" si="0"/>
        <v>0</v>
      </c>
      <c r="G199" s="270">
        <f t="shared" si="2"/>
        <v>0</v>
      </c>
      <c r="H199" s="271">
        <f t="shared" si="1"/>
        <v>0</v>
      </c>
    </row>
    <row r="200" spans="1:8" ht="12.75" x14ac:dyDescent="0.2">
      <c r="A200" s="92">
        <v>45785</v>
      </c>
      <c r="B200" s="93" t="s">
        <v>39</v>
      </c>
      <c r="C200" s="94"/>
      <c r="E200" s="98">
        <f>D200-(C200*D200)</f>
        <v>0</v>
      </c>
      <c r="F200" s="99">
        <f t="shared" si="0"/>
        <v>0</v>
      </c>
      <c r="G200" s="270">
        <f t="shared" si="2"/>
        <v>0</v>
      </c>
      <c r="H200" s="271">
        <f t="shared" si="1"/>
        <v>0</v>
      </c>
    </row>
    <row r="201" spans="1:8" ht="12.75" x14ac:dyDescent="0.2">
      <c r="A201" s="92">
        <v>45786</v>
      </c>
      <c r="B201" s="93" t="s">
        <v>41</v>
      </c>
      <c r="C201" s="94"/>
      <c r="E201" s="98">
        <f>D201-(C201*D201)</f>
        <v>0</v>
      </c>
      <c r="F201" s="99">
        <f t="shared" si="0"/>
        <v>0</v>
      </c>
      <c r="G201" s="270">
        <f t="shared" si="2"/>
        <v>0</v>
      </c>
      <c r="H201" s="271">
        <f t="shared" si="1"/>
        <v>0</v>
      </c>
    </row>
    <row r="202" spans="1:8" ht="12.75" x14ac:dyDescent="0.2">
      <c r="A202" s="92">
        <v>45789</v>
      </c>
      <c r="B202" s="93" t="s">
        <v>33</v>
      </c>
      <c r="C202" s="94"/>
      <c r="E202" s="98">
        <f>D202-(C202*D202)</f>
        <v>0</v>
      </c>
      <c r="F202" s="99">
        <f t="shared" si="0"/>
        <v>0</v>
      </c>
      <c r="G202" s="270">
        <f t="shared" si="2"/>
        <v>0</v>
      </c>
      <c r="H202" s="271">
        <f t="shared" si="1"/>
        <v>0</v>
      </c>
    </row>
    <row r="203" spans="1:8" ht="12.75" x14ac:dyDescent="0.2">
      <c r="A203" s="92">
        <v>45790</v>
      </c>
      <c r="B203" s="93" t="s">
        <v>35</v>
      </c>
      <c r="C203" s="94"/>
      <c r="E203" s="98">
        <f>D203-(C203*D203)</f>
        <v>0</v>
      </c>
      <c r="F203" s="99">
        <f t="shared" si="0"/>
        <v>0</v>
      </c>
      <c r="G203" s="270">
        <f t="shared" si="2"/>
        <v>0</v>
      </c>
      <c r="H203" s="271">
        <f t="shared" si="1"/>
        <v>0</v>
      </c>
    </row>
    <row r="204" spans="1:8" ht="12.75" x14ac:dyDescent="0.2">
      <c r="A204" s="92">
        <v>45791</v>
      </c>
      <c r="B204" s="93" t="s">
        <v>37</v>
      </c>
      <c r="C204" s="94"/>
      <c r="E204" s="98">
        <f>D204-(C204*D204)</f>
        <v>0</v>
      </c>
      <c r="F204" s="99">
        <f t="shared" si="0"/>
        <v>0</v>
      </c>
      <c r="G204" s="270">
        <f t="shared" si="2"/>
        <v>0</v>
      </c>
      <c r="H204" s="271">
        <f t="shared" si="1"/>
        <v>0</v>
      </c>
    </row>
    <row r="205" spans="1:8" ht="12.75" x14ac:dyDescent="0.2">
      <c r="A205" s="92">
        <v>45792</v>
      </c>
      <c r="B205" s="93" t="s">
        <v>39</v>
      </c>
      <c r="C205" s="94"/>
      <c r="E205" s="98">
        <f>D205-(C205*D205)</f>
        <v>0</v>
      </c>
      <c r="F205" s="99">
        <f t="shared" si="0"/>
        <v>0</v>
      </c>
      <c r="G205" s="270">
        <f t="shared" si="2"/>
        <v>0</v>
      </c>
      <c r="H205" s="271">
        <f t="shared" si="1"/>
        <v>0</v>
      </c>
    </row>
    <row r="206" spans="1:8" ht="12.75" x14ac:dyDescent="0.2">
      <c r="A206" s="92">
        <v>45793</v>
      </c>
      <c r="B206" s="93" t="s">
        <v>41</v>
      </c>
      <c r="C206" s="94"/>
      <c r="E206" s="98">
        <f>D206-(C206*D206)</f>
        <v>0</v>
      </c>
      <c r="F206" s="99">
        <f t="shared" si="0"/>
        <v>0</v>
      </c>
      <c r="G206" s="270">
        <f t="shared" si="2"/>
        <v>0</v>
      </c>
      <c r="H206" s="271">
        <f t="shared" si="1"/>
        <v>0</v>
      </c>
    </row>
    <row r="207" spans="1:8" ht="12.75" x14ac:dyDescent="0.2">
      <c r="A207" s="92">
        <v>45796</v>
      </c>
      <c r="B207" s="93" t="s">
        <v>33</v>
      </c>
      <c r="C207" s="94"/>
      <c r="E207" s="98">
        <f>D207-(C207*D207)</f>
        <v>0</v>
      </c>
      <c r="F207" s="99">
        <f t="shared" si="0"/>
        <v>0</v>
      </c>
      <c r="G207" s="270">
        <f t="shared" si="2"/>
        <v>0</v>
      </c>
      <c r="H207" s="271">
        <f t="shared" si="1"/>
        <v>0</v>
      </c>
    </row>
    <row r="208" spans="1:8" ht="12.75" x14ac:dyDescent="0.2">
      <c r="A208" s="92">
        <v>45797</v>
      </c>
      <c r="B208" s="93" t="s">
        <v>35</v>
      </c>
      <c r="C208" s="94"/>
      <c r="E208" s="98">
        <f>D208-(C208*D208)</f>
        <v>0</v>
      </c>
      <c r="F208" s="99">
        <f t="shared" si="0"/>
        <v>0</v>
      </c>
      <c r="G208" s="270">
        <f t="shared" si="2"/>
        <v>0</v>
      </c>
      <c r="H208" s="271">
        <f t="shared" si="1"/>
        <v>0</v>
      </c>
    </row>
    <row r="209" spans="1:8" ht="12.75" x14ac:dyDescent="0.2">
      <c r="A209" s="92">
        <v>45798</v>
      </c>
      <c r="B209" s="93" t="s">
        <v>37</v>
      </c>
      <c r="C209" s="94"/>
      <c r="E209" s="98">
        <f>D209-(C209*D209)</f>
        <v>0</v>
      </c>
      <c r="F209" s="99">
        <f t="shared" si="0"/>
        <v>0</v>
      </c>
      <c r="G209" s="270">
        <f t="shared" si="2"/>
        <v>0</v>
      </c>
      <c r="H209" s="271">
        <f t="shared" si="1"/>
        <v>0</v>
      </c>
    </row>
    <row r="210" spans="1:8" ht="12.75" x14ac:dyDescent="0.2">
      <c r="A210" s="92">
        <v>45799</v>
      </c>
      <c r="B210" s="93" t="s">
        <v>39</v>
      </c>
      <c r="C210" s="94"/>
      <c r="E210" s="98">
        <f>D210-(C210*D210)</f>
        <v>0</v>
      </c>
      <c r="F210" s="99">
        <f t="shared" si="0"/>
        <v>0</v>
      </c>
      <c r="G210" s="270">
        <f t="shared" si="2"/>
        <v>0</v>
      </c>
      <c r="H210" s="271">
        <f t="shared" si="1"/>
        <v>0</v>
      </c>
    </row>
    <row r="211" spans="1:8" ht="12.75" x14ac:dyDescent="0.2">
      <c r="A211" s="92">
        <v>45800</v>
      </c>
      <c r="B211" s="93" t="s">
        <v>41</v>
      </c>
      <c r="C211" s="94"/>
      <c r="E211" s="98">
        <f>D211-(C211*D211)</f>
        <v>0</v>
      </c>
      <c r="F211" s="99">
        <f t="shared" si="0"/>
        <v>0</v>
      </c>
      <c r="G211" s="270">
        <f t="shared" si="2"/>
        <v>0</v>
      </c>
      <c r="H211" s="271">
        <f t="shared" si="1"/>
        <v>0</v>
      </c>
    </row>
    <row r="212" spans="1:8" ht="12.75" x14ac:dyDescent="0.2">
      <c r="A212" s="103">
        <v>45803</v>
      </c>
      <c r="B212" s="104" t="s">
        <v>33</v>
      </c>
      <c r="C212" s="105"/>
      <c r="D212" s="108"/>
      <c r="E212" s="98">
        <f>D212-(C212*D212)</f>
        <v>0</v>
      </c>
      <c r="F212" s="99">
        <f t="shared" si="0"/>
        <v>0</v>
      </c>
      <c r="G212" s="270">
        <f t="shared" si="2"/>
        <v>0</v>
      </c>
      <c r="H212" s="271">
        <f t="shared" si="1"/>
        <v>0</v>
      </c>
    </row>
    <row r="213" spans="1:8" ht="12.75" x14ac:dyDescent="0.2">
      <c r="A213" s="92">
        <v>45804</v>
      </c>
      <c r="B213" s="93" t="s">
        <v>35</v>
      </c>
      <c r="C213" s="94"/>
      <c r="E213" s="98">
        <f>D213-(C213*D213)</f>
        <v>0</v>
      </c>
      <c r="F213" s="99">
        <f t="shared" si="0"/>
        <v>0</v>
      </c>
      <c r="G213" s="270">
        <f t="shared" si="2"/>
        <v>0</v>
      </c>
      <c r="H213" s="271">
        <f t="shared" si="1"/>
        <v>0</v>
      </c>
    </row>
    <row r="214" spans="1:8" ht="12.75" x14ac:dyDescent="0.2">
      <c r="A214" s="92">
        <v>45805</v>
      </c>
      <c r="B214" s="93" t="s">
        <v>37</v>
      </c>
      <c r="C214" s="94"/>
      <c r="E214" s="98">
        <f>D214-(C214*D214)</f>
        <v>0</v>
      </c>
      <c r="F214" s="99">
        <f t="shared" si="0"/>
        <v>0</v>
      </c>
      <c r="G214" s="270">
        <f t="shared" si="2"/>
        <v>0</v>
      </c>
      <c r="H214" s="271">
        <f t="shared" si="1"/>
        <v>0</v>
      </c>
    </row>
    <row r="215" spans="1:8" ht="13.5" thickBot="1" x14ac:dyDescent="0.25">
      <c r="A215" s="92">
        <v>45806</v>
      </c>
      <c r="B215" s="125" t="s">
        <v>39</v>
      </c>
      <c r="C215" s="94"/>
      <c r="E215" s="98">
        <f>D215-(C215*D215)</f>
        <v>0</v>
      </c>
      <c r="F215" s="99">
        <f t="shared" si="0"/>
        <v>0</v>
      </c>
      <c r="G215" s="270">
        <f t="shared" si="2"/>
        <v>0</v>
      </c>
      <c r="H215" s="271">
        <f t="shared" si="1"/>
        <v>0</v>
      </c>
    </row>
    <row r="216" spans="1:8" ht="13.5" hidden="1" thickTop="1" x14ac:dyDescent="0.2">
      <c r="A216" s="95"/>
      <c r="B216" s="95"/>
      <c r="C216" s="94"/>
      <c r="E216" s="98"/>
      <c r="F216" s="126"/>
      <c r="G216" s="127"/>
      <c r="H216" s="128"/>
    </row>
    <row r="217" spans="1:8" ht="13.5" hidden="1" thickTop="1" x14ac:dyDescent="0.2">
      <c r="A217" s="95"/>
      <c r="B217" s="95"/>
      <c r="C217" s="94"/>
      <c r="E217" s="98"/>
      <c r="F217" s="126"/>
      <c r="G217" s="127"/>
      <c r="H217" s="128"/>
    </row>
    <row r="218" spans="1:8" ht="13.5" hidden="1" thickTop="1" x14ac:dyDescent="0.2">
      <c r="A218" s="95"/>
      <c r="B218" s="95"/>
      <c r="C218" s="94"/>
      <c r="E218" s="98"/>
      <c r="F218" s="126"/>
      <c r="G218" s="127"/>
      <c r="H218" s="128"/>
    </row>
    <row r="219" spans="1:8" ht="13.5" hidden="1" thickTop="1" x14ac:dyDescent="0.2">
      <c r="A219" s="95"/>
      <c r="B219" s="95"/>
      <c r="C219" s="94"/>
      <c r="E219" s="98"/>
      <c r="F219" s="126"/>
      <c r="G219" s="127"/>
      <c r="H219" s="128"/>
    </row>
    <row r="220" spans="1:8" ht="13.5" hidden="1" thickTop="1" x14ac:dyDescent="0.2">
      <c r="A220" s="95"/>
      <c r="B220" s="95"/>
      <c r="C220" s="94"/>
      <c r="E220" s="98"/>
      <c r="F220" s="126"/>
      <c r="G220" s="127"/>
      <c r="H220" s="128"/>
    </row>
    <row r="221" spans="1:8" ht="13.5" hidden="1" thickTop="1" x14ac:dyDescent="0.2">
      <c r="A221" s="95"/>
      <c r="B221" s="95"/>
      <c r="C221" s="94"/>
      <c r="E221" s="98"/>
      <c r="F221" s="126"/>
      <c r="G221" s="127"/>
      <c r="H221" s="128"/>
    </row>
    <row r="222" spans="1:8" ht="13.5" hidden="1" thickTop="1" x14ac:dyDescent="0.2">
      <c r="A222" s="95"/>
      <c r="B222" s="95"/>
      <c r="C222" s="94"/>
      <c r="E222" s="98"/>
      <c r="F222" s="126"/>
      <c r="G222" s="127"/>
      <c r="H222" s="128"/>
    </row>
    <row r="223" spans="1:8" ht="13.5" hidden="1" thickTop="1" x14ac:dyDescent="0.2">
      <c r="A223" s="95"/>
      <c r="B223" s="95"/>
      <c r="C223" s="94"/>
      <c r="E223" s="98"/>
      <c r="F223" s="126"/>
      <c r="G223" s="127"/>
      <c r="H223" s="128"/>
    </row>
    <row r="224" spans="1:8" ht="13.5" hidden="1" thickTop="1" x14ac:dyDescent="0.2">
      <c r="A224" s="95"/>
      <c r="B224" s="95"/>
      <c r="C224" s="94"/>
      <c r="E224" s="98"/>
      <c r="F224" s="126"/>
      <c r="G224" s="127"/>
      <c r="H224" s="128"/>
    </row>
    <row r="225" spans="1:8" ht="13.5" hidden="1" thickTop="1" x14ac:dyDescent="0.2">
      <c r="A225" s="95"/>
      <c r="B225" s="95"/>
      <c r="C225" s="94"/>
      <c r="E225" s="98"/>
      <c r="F225" s="126"/>
      <c r="G225" s="127"/>
      <c r="H225" s="128"/>
    </row>
    <row r="226" spans="1:8" ht="13.5" hidden="1" thickTop="1" x14ac:dyDescent="0.2">
      <c r="A226" s="95"/>
      <c r="B226" s="95"/>
      <c r="C226" s="94"/>
      <c r="E226" s="98"/>
      <c r="F226" s="126"/>
      <c r="G226" s="127"/>
      <c r="H226" s="128"/>
    </row>
    <row r="227" spans="1:8" ht="13.5" hidden="1" thickTop="1" x14ac:dyDescent="0.2">
      <c r="A227" s="95"/>
      <c r="B227" s="95"/>
      <c r="C227" s="94"/>
      <c r="E227" s="98"/>
      <c r="F227" s="126"/>
      <c r="G227" s="127"/>
      <c r="H227" s="128"/>
    </row>
    <row r="228" spans="1:8" ht="13.5" hidden="1" thickTop="1" x14ac:dyDescent="0.2">
      <c r="A228" s="95"/>
      <c r="B228" s="95"/>
      <c r="C228" s="94"/>
      <c r="E228" s="98"/>
      <c r="F228" s="126"/>
      <c r="G228" s="127"/>
      <c r="H228" s="128"/>
    </row>
    <row r="229" spans="1:8" ht="13.5" hidden="1" thickTop="1" x14ac:dyDescent="0.2">
      <c r="A229" s="95"/>
      <c r="B229" s="95"/>
      <c r="C229" s="94"/>
      <c r="E229" s="98"/>
      <c r="F229" s="126"/>
      <c r="G229" s="127"/>
      <c r="H229" s="128"/>
    </row>
    <row r="230" spans="1:8" ht="13.5" hidden="1" thickTop="1" x14ac:dyDescent="0.2">
      <c r="A230" s="95"/>
      <c r="B230" s="95"/>
      <c r="C230" s="94"/>
      <c r="E230" s="98"/>
      <c r="F230" s="126"/>
      <c r="G230" s="127"/>
      <c r="H230" s="128"/>
    </row>
    <row r="231" spans="1:8" ht="13.5" hidden="1" thickTop="1" x14ac:dyDescent="0.2">
      <c r="A231" s="95"/>
      <c r="B231" s="95"/>
      <c r="C231" s="94"/>
      <c r="E231" s="98"/>
      <c r="F231" s="126"/>
      <c r="G231" s="127"/>
      <c r="H231" s="128"/>
    </row>
    <row r="232" spans="1:8" ht="13.5" hidden="1" thickTop="1" x14ac:dyDescent="0.2">
      <c r="A232" s="95"/>
      <c r="B232" s="95"/>
      <c r="C232" s="94"/>
      <c r="E232" s="98"/>
      <c r="F232" s="126"/>
      <c r="G232" s="127"/>
      <c r="H232" s="128"/>
    </row>
    <row r="233" spans="1:8" ht="13.5" hidden="1" thickTop="1" x14ac:dyDescent="0.2">
      <c r="A233" s="95"/>
      <c r="B233" s="95"/>
      <c r="C233" s="94"/>
      <c r="E233" s="98"/>
      <c r="F233" s="126"/>
      <c r="G233" s="127"/>
      <c r="H233" s="128"/>
    </row>
    <row r="234" spans="1:8" ht="13.5" hidden="1" thickTop="1" x14ac:dyDescent="0.2">
      <c r="A234" s="95"/>
      <c r="B234" s="95"/>
      <c r="C234" s="94"/>
      <c r="E234" s="98"/>
      <c r="F234" s="126"/>
      <c r="G234" s="127"/>
      <c r="H234" s="128"/>
    </row>
    <row r="235" spans="1:8" ht="13.5" hidden="1" thickTop="1" x14ac:dyDescent="0.2">
      <c r="A235" s="95"/>
      <c r="B235" s="95"/>
      <c r="C235" s="94"/>
      <c r="E235" s="98"/>
      <c r="F235" s="126"/>
      <c r="G235" s="127"/>
      <c r="H235" s="128"/>
    </row>
    <row r="236" spans="1:8" ht="13.5" hidden="1" thickTop="1" x14ac:dyDescent="0.2">
      <c r="A236" s="95"/>
      <c r="B236" s="95"/>
      <c r="C236" s="94"/>
      <c r="E236" s="98"/>
      <c r="F236" s="126"/>
      <c r="G236" s="127"/>
      <c r="H236" s="128"/>
    </row>
    <row r="237" spans="1:8" ht="13.5" hidden="1" thickTop="1" x14ac:dyDescent="0.2">
      <c r="A237" s="95"/>
      <c r="B237" s="95"/>
      <c r="C237" s="94"/>
      <c r="E237" s="98"/>
      <c r="F237" s="126"/>
      <c r="G237" s="127"/>
      <c r="H237" s="128"/>
    </row>
    <row r="238" spans="1:8" ht="13.5" hidden="1" thickTop="1" x14ac:dyDescent="0.2">
      <c r="A238" s="95"/>
      <c r="B238" s="95"/>
      <c r="C238" s="94"/>
      <c r="E238" s="98"/>
      <c r="F238" s="126"/>
      <c r="G238" s="127"/>
      <c r="H238" s="128"/>
    </row>
    <row r="239" spans="1:8" ht="13.5" hidden="1" thickTop="1" x14ac:dyDescent="0.2">
      <c r="A239" s="95"/>
      <c r="B239" s="95"/>
      <c r="C239" s="94"/>
      <c r="E239" s="98"/>
      <c r="F239" s="126"/>
      <c r="G239" s="127"/>
      <c r="H239" s="128"/>
    </row>
    <row r="240" spans="1:8" ht="13.5" hidden="1" thickTop="1" x14ac:dyDescent="0.2">
      <c r="A240" s="95"/>
      <c r="B240" s="95"/>
      <c r="C240" s="94"/>
      <c r="E240" s="98"/>
      <c r="F240" s="126"/>
      <c r="G240" s="127"/>
      <c r="H240" s="128"/>
    </row>
    <row r="241" spans="1:8" ht="13.5" hidden="1" thickTop="1" x14ac:dyDescent="0.2">
      <c r="A241" s="95"/>
      <c r="B241" s="95"/>
      <c r="C241" s="94"/>
      <c r="E241" s="98"/>
      <c r="F241" s="126"/>
      <c r="G241" s="127"/>
      <c r="H241" s="128"/>
    </row>
    <row r="242" spans="1:8" ht="13.5" hidden="1" thickTop="1" x14ac:dyDescent="0.2">
      <c r="A242" s="95"/>
      <c r="B242" s="95"/>
      <c r="C242" s="94"/>
      <c r="E242" s="98"/>
      <c r="F242" s="126"/>
      <c r="G242" s="127"/>
      <c r="H242" s="128"/>
    </row>
    <row r="243" spans="1:8" ht="13.5" hidden="1" thickTop="1" x14ac:dyDescent="0.2">
      <c r="A243" s="95"/>
      <c r="B243" s="95"/>
      <c r="C243" s="94"/>
      <c r="E243" s="98"/>
      <c r="F243" s="126"/>
      <c r="G243" s="127"/>
      <c r="H243" s="128"/>
    </row>
    <row r="244" spans="1:8" ht="13.5" hidden="1" thickTop="1" x14ac:dyDescent="0.2">
      <c r="A244" s="95"/>
      <c r="B244" s="95"/>
      <c r="C244" s="94"/>
      <c r="E244" s="98"/>
      <c r="F244" s="126"/>
      <c r="G244" s="127"/>
      <c r="H244" s="128"/>
    </row>
    <row r="245" spans="1:8" ht="13.5" hidden="1" thickTop="1" x14ac:dyDescent="0.2">
      <c r="A245" s="95"/>
      <c r="B245" s="95"/>
      <c r="C245" s="94"/>
      <c r="E245" s="98"/>
      <c r="F245" s="126"/>
      <c r="G245" s="127"/>
      <c r="H245" s="128"/>
    </row>
    <row r="246" spans="1:8" ht="13.5" hidden="1" thickTop="1" x14ac:dyDescent="0.2">
      <c r="A246" s="95"/>
      <c r="B246" s="95"/>
      <c r="C246" s="94"/>
      <c r="E246" s="98"/>
      <c r="F246" s="126"/>
      <c r="G246" s="127"/>
      <c r="H246" s="128"/>
    </row>
    <row r="247" spans="1:8" ht="13.5" hidden="1" thickTop="1" x14ac:dyDescent="0.2">
      <c r="A247" s="95"/>
      <c r="B247" s="95"/>
      <c r="C247" s="94"/>
      <c r="E247" s="98"/>
      <c r="F247" s="126"/>
      <c r="G247" s="127"/>
      <c r="H247" s="128"/>
    </row>
    <row r="248" spans="1:8" ht="13.5" hidden="1" thickTop="1" x14ac:dyDescent="0.2">
      <c r="A248" s="95"/>
      <c r="B248" s="95"/>
      <c r="C248" s="94"/>
      <c r="E248" s="98"/>
      <c r="F248" s="126"/>
      <c r="G248" s="127"/>
      <c r="H248" s="128"/>
    </row>
    <row r="249" spans="1:8" ht="13.5" hidden="1" thickTop="1" x14ac:dyDescent="0.2">
      <c r="A249" s="95"/>
      <c r="B249" s="95"/>
      <c r="C249" s="94"/>
      <c r="E249" s="98"/>
      <c r="F249" s="126"/>
      <c r="G249" s="127"/>
      <c r="H249" s="128"/>
    </row>
    <row r="250" spans="1:8" ht="13.5" hidden="1" thickTop="1" x14ac:dyDescent="0.2">
      <c r="A250" s="95"/>
      <c r="B250" s="95"/>
      <c r="C250" s="94"/>
      <c r="E250" s="98"/>
      <c r="F250" s="126"/>
      <c r="G250" s="127"/>
      <c r="H250" s="128"/>
    </row>
    <row r="251" spans="1:8" ht="13.5" hidden="1" thickTop="1" x14ac:dyDescent="0.2">
      <c r="A251" s="95"/>
      <c r="B251" s="95"/>
      <c r="C251" s="94"/>
      <c r="E251" s="98"/>
      <c r="F251" s="126"/>
      <c r="G251" s="127"/>
      <c r="H251" s="128"/>
    </row>
    <row r="252" spans="1:8" ht="13.5" hidden="1" thickTop="1" x14ac:dyDescent="0.2">
      <c r="A252" s="95"/>
      <c r="B252" s="95"/>
      <c r="C252" s="94"/>
      <c r="E252" s="98"/>
      <c r="F252" s="126"/>
      <c r="G252" s="127"/>
      <c r="H252" s="128"/>
    </row>
    <row r="253" spans="1:8" ht="13.5" hidden="1" thickTop="1" x14ac:dyDescent="0.2">
      <c r="A253" s="95"/>
      <c r="B253" s="95"/>
      <c r="C253" s="94"/>
      <c r="E253" s="98"/>
      <c r="F253" s="126"/>
      <c r="G253" s="127"/>
      <c r="H253" s="128"/>
    </row>
    <row r="254" spans="1:8" ht="13.5" hidden="1" thickTop="1" x14ac:dyDescent="0.2">
      <c r="A254" s="95"/>
      <c r="B254" s="95"/>
      <c r="C254" s="94"/>
      <c r="E254" s="98"/>
      <c r="F254" s="126"/>
      <c r="G254" s="127"/>
      <c r="H254" s="128"/>
    </row>
    <row r="255" spans="1:8" ht="13.5" hidden="1" thickTop="1" x14ac:dyDescent="0.2">
      <c r="A255" s="95"/>
      <c r="B255" s="95"/>
      <c r="C255" s="94"/>
      <c r="E255" s="98"/>
      <c r="F255" s="126"/>
      <c r="G255" s="127"/>
      <c r="H255" s="128"/>
    </row>
    <row r="256" spans="1:8" ht="13.5" hidden="1" thickTop="1" x14ac:dyDescent="0.2">
      <c r="A256" s="95"/>
      <c r="B256" s="95"/>
      <c r="C256" s="94"/>
      <c r="E256" s="98"/>
      <c r="F256" s="126"/>
      <c r="G256" s="127"/>
      <c r="H256" s="128"/>
    </row>
    <row r="257" spans="1:8" ht="13.5" hidden="1" thickTop="1" x14ac:dyDescent="0.2">
      <c r="A257" s="95"/>
      <c r="B257" s="95"/>
      <c r="C257" s="94"/>
      <c r="E257" s="98"/>
      <c r="F257" s="126"/>
      <c r="G257" s="127"/>
      <c r="H257" s="128"/>
    </row>
    <row r="258" spans="1:8" ht="13.5" hidden="1" thickTop="1" x14ac:dyDescent="0.2">
      <c r="A258" s="95"/>
      <c r="B258" s="95"/>
      <c r="C258" s="94"/>
      <c r="E258" s="98"/>
      <c r="F258" s="126"/>
      <c r="G258" s="127"/>
      <c r="H258" s="128"/>
    </row>
    <row r="259" spans="1:8" ht="13.5" hidden="1" thickTop="1" x14ac:dyDescent="0.2">
      <c r="A259" s="95"/>
      <c r="B259" s="95"/>
      <c r="C259" s="94"/>
      <c r="E259" s="98"/>
      <c r="F259" s="126"/>
      <c r="G259" s="127"/>
      <c r="H259" s="128"/>
    </row>
    <row r="260" spans="1:8" ht="13.5" hidden="1" thickTop="1" x14ac:dyDescent="0.2">
      <c r="A260" s="95"/>
      <c r="B260" s="95"/>
      <c r="C260" s="94"/>
      <c r="E260" s="98"/>
      <c r="F260" s="126"/>
      <c r="G260" s="127"/>
      <c r="H260" s="128"/>
    </row>
    <row r="261" spans="1:8" ht="13.5" hidden="1" thickTop="1" x14ac:dyDescent="0.2">
      <c r="A261" s="95"/>
      <c r="B261" s="95"/>
      <c r="C261" s="94"/>
      <c r="E261" s="98"/>
      <c r="F261" s="126"/>
      <c r="G261" s="127"/>
      <c r="H261" s="128"/>
    </row>
    <row r="262" spans="1:8" ht="13.5" hidden="1" thickTop="1" x14ac:dyDescent="0.2">
      <c r="A262" s="95"/>
      <c r="B262" s="95"/>
      <c r="C262" s="94"/>
      <c r="E262" s="98"/>
      <c r="F262" s="126"/>
      <c r="G262" s="127"/>
      <c r="H262" s="128"/>
    </row>
    <row r="263" spans="1:8" ht="13.5" hidden="1" thickTop="1" x14ac:dyDescent="0.2">
      <c r="A263" s="95"/>
      <c r="B263" s="95"/>
      <c r="C263" s="94"/>
      <c r="E263" s="98"/>
      <c r="F263" s="126"/>
      <c r="G263" s="127"/>
      <c r="H263" s="128"/>
    </row>
    <row r="264" spans="1:8" ht="13.5" hidden="1" thickTop="1" x14ac:dyDescent="0.2">
      <c r="A264" s="95"/>
      <c r="B264" s="95"/>
      <c r="C264" s="94"/>
      <c r="E264" s="98"/>
      <c r="F264" s="126"/>
      <c r="G264" s="127"/>
      <c r="H264" s="128"/>
    </row>
    <row r="265" spans="1:8" ht="13.5" hidden="1" thickTop="1" x14ac:dyDescent="0.2">
      <c r="A265" s="95"/>
      <c r="B265" s="95"/>
      <c r="C265" s="94"/>
      <c r="E265" s="98"/>
      <c r="F265" s="126"/>
      <c r="G265" s="127"/>
      <c r="H265" s="128"/>
    </row>
    <row r="266" spans="1:8" ht="13.5" hidden="1" thickTop="1" x14ac:dyDescent="0.2">
      <c r="A266" s="95"/>
      <c r="B266" s="95"/>
      <c r="C266" s="94"/>
      <c r="E266" s="98"/>
      <c r="F266" s="126"/>
      <c r="G266" s="127"/>
      <c r="H266" s="128"/>
    </row>
    <row r="267" spans="1:8" ht="13.5" hidden="1" thickTop="1" x14ac:dyDescent="0.2">
      <c r="A267" s="95"/>
      <c r="B267" s="95"/>
      <c r="C267" s="94"/>
      <c r="E267" s="98"/>
      <c r="F267" s="126"/>
      <c r="G267" s="127"/>
      <c r="H267" s="128"/>
    </row>
    <row r="268" spans="1:8" ht="13.5" hidden="1" thickTop="1" x14ac:dyDescent="0.2">
      <c r="A268" s="95"/>
      <c r="B268" s="95"/>
      <c r="C268" s="94"/>
      <c r="E268" s="98"/>
      <c r="F268" s="126"/>
      <c r="G268" s="127"/>
      <c r="H268" s="128"/>
    </row>
    <row r="269" spans="1:8" ht="13.5" hidden="1" thickTop="1" x14ac:dyDescent="0.2">
      <c r="A269" s="95"/>
      <c r="B269" s="95"/>
      <c r="C269" s="94"/>
      <c r="E269" s="98"/>
      <c r="F269" s="126"/>
      <c r="G269" s="127"/>
      <c r="H269" s="128"/>
    </row>
    <row r="270" spans="1:8" ht="13.5" hidden="1" thickTop="1" x14ac:dyDescent="0.2">
      <c r="A270" s="95"/>
      <c r="B270" s="95"/>
      <c r="C270" s="94"/>
      <c r="E270" s="98"/>
      <c r="F270" s="126"/>
      <c r="G270" s="127"/>
      <c r="H270" s="128"/>
    </row>
    <row r="271" spans="1:8" ht="13.5" hidden="1" thickTop="1" x14ac:dyDescent="0.2">
      <c r="A271" s="95"/>
      <c r="B271" s="95"/>
      <c r="C271" s="94"/>
      <c r="E271" s="98"/>
      <c r="F271" s="126"/>
      <c r="G271" s="127"/>
      <c r="H271" s="128"/>
    </row>
    <row r="272" spans="1:8" ht="13.5" hidden="1" thickTop="1" x14ac:dyDescent="0.2">
      <c r="A272" s="95"/>
      <c r="B272" s="95"/>
      <c r="C272" s="94"/>
      <c r="E272" s="98"/>
      <c r="F272" s="126"/>
      <c r="G272" s="127"/>
      <c r="H272" s="128"/>
    </row>
    <row r="273" spans="1:8" ht="13.5" hidden="1" thickTop="1" x14ac:dyDescent="0.2">
      <c r="A273" s="95"/>
      <c r="B273" s="95"/>
      <c r="C273" s="94"/>
      <c r="E273" s="98"/>
      <c r="F273" s="126"/>
      <c r="G273" s="127"/>
      <c r="H273" s="128"/>
    </row>
    <row r="274" spans="1:8" ht="13.5" hidden="1" thickTop="1" x14ac:dyDescent="0.2">
      <c r="A274" s="95"/>
      <c r="B274" s="95"/>
      <c r="C274" s="94"/>
      <c r="E274" s="98"/>
      <c r="F274" s="126"/>
      <c r="G274" s="127"/>
      <c r="H274" s="128"/>
    </row>
    <row r="275" spans="1:8" ht="13.5" hidden="1" thickTop="1" x14ac:dyDescent="0.2">
      <c r="A275" s="95"/>
      <c r="B275" s="95"/>
      <c r="C275" s="94"/>
      <c r="E275" s="98"/>
      <c r="F275" s="126"/>
      <c r="G275" s="127"/>
      <c r="H275" s="128"/>
    </row>
    <row r="276" spans="1:8" ht="13.5" hidden="1" thickTop="1" x14ac:dyDescent="0.2">
      <c r="A276" s="95"/>
      <c r="B276" s="95"/>
      <c r="C276" s="94"/>
      <c r="E276" s="98"/>
      <c r="F276" s="126"/>
      <c r="G276" s="127"/>
      <c r="H276" s="128"/>
    </row>
    <row r="277" spans="1:8" ht="13.5" hidden="1" thickTop="1" x14ac:dyDescent="0.2">
      <c r="A277" s="95"/>
      <c r="B277" s="95"/>
      <c r="C277" s="94"/>
      <c r="E277" s="98"/>
      <c r="F277" s="126"/>
      <c r="G277" s="127"/>
      <c r="H277" s="128"/>
    </row>
    <row r="278" spans="1:8" ht="13.5" hidden="1" thickTop="1" x14ac:dyDescent="0.2">
      <c r="A278" s="95"/>
      <c r="B278" s="95"/>
      <c r="C278" s="94"/>
      <c r="E278" s="98"/>
      <c r="F278" s="126"/>
      <c r="G278" s="127"/>
      <c r="H278" s="128"/>
    </row>
    <row r="279" spans="1:8" ht="13.5" hidden="1" thickTop="1" x14ac:dyDescent="0.2">
      <c r="A279" s="95"/>
      <c r="B279" s="95"/>
      <c r="C279" s="94"/>
      <c r="E279" s="98"/>
      <c r="F279" s="126"/>
      <c r="G279" s="127"/>
      <c r="H279" s="128"/>
    </row>
    <row r="280" spans="1:8" ht="13.5" hidden="1" thickTop="1" x14ac:dyDescent="0.2">
      <c r="A280" s="95"/>
      <c r="B280" s="95"/>
      <c r="C280" s="94"/>
      <c r="E280" s="98"/>
      <c r="F280" s="126"/>
      <c r="G280" s="127"/>
      <c r="H280" s="128"/>
    </row>
    <row r="281" spans="1:8" ht="13.5" hidden="1" thickTop="1" x14ac:dyDescent="0.2">
      <c r="A281" s="95"/>
      <c r="B281" s="95"/>
      <c r="C281" s="94"/>
      <c r="E281" s="98"/>
      <c r="F281" s="126"/>
      <c r="G281" s="127"/>
      <c r="H281" s="128"/>
    </row>
    <row r="282" spans="1:8" ht="13.5" hidden="1" thickTop="1" x14ac:dyDescent="0.2">
      <c r="A282" s="95"/>
      <c r="B282" s="95"/>
      <c r="C282" s="94"/>
      <c r="E282" s="98"/>
      <c r="F282" s="126"/>
      <c r="G282" s="127"/>
      <c r="H282" s="128"/>
    </row>
    <row r="283" spans="1:8" ht="13.5" hidden="1" thickTop="1" x14ac:dyDescent="0.2">
      <c r="A283" s="95"/>
      <c r="B283" s="95"/>
      <c r="C283" s="94"/>
      <c r="E283" s="98"/>
      <c r="F283" s="126"/>
      <c r="G283" s="127"/>
      <c r="H283" s="128"/>
    </row>
    <row r="284" spans="1:8" ht="13.5" hidden="1" thickTop="1" x14ac:dyDescent="0.2">
      <c r="A284" s="95"/>
      <c r="B284" s="95"/>
      <c r="C284" s="94"/>
      <c r="E284" s="98"/>
      <c r="F284" s="126"/>
      <c r="G284" s="127"/>
      <c r="H284" s="128"/>
    </row>
    <row r="285" spans="1:8" ht="13.5" hidden="1" thickTop="1" x14ac:dyDescent="0.2">
      <c r="A285" s="95"/>
      <c r="B285" s="95"/>
      <c r="C285" s="94"/>
      <c r="E285" s="98"/>
      <c r="F285" s="126"/>
      <c r="G285" s="127"/>
      <c r="H285" s="128"/>
    </row>
    <row r="286" spans="1:8" ht="13.5" hidden="1" thickTop="1" x14ac:dyDescent="0.2">
      <c r="A286" s="95"/>
      <c r="B286" s="95"/>
      <c r="C286" s="94"/>
      <c r="E286" s="98"/>
      <c r="F286" s="126"/>
      <c r="G286" s="127"/>
      <c r="H286" s="128"/>
    </row>
    <row r="287" spans="1:8" ht="13.5" hidden="1" thickTop="1" x14ac:dyDescent="0.2">
      <c r="A287" s="95"/>
      <c r="B287" s="95"/>
      <c r="C287" s="94"/>
      <c r="E287" s="98"/>
      <c r="F287" s="126"/>
      <c r="G287" s="127"/>
      <c r="H287" s="128"/>
    </row>
    <row r="288" spans="1:8" ht="13.5" hidden="1" thickTop="1" x14ac:dyDescent="0.2">
      <c r="A288" s="95"/>
      <c r="B288" s="95"/>
      <c r="C288" s="94"/>
      <c r="E288" s="98"/>
      <c r="F288" s="126"/>
      <c r="G288" s="127"/>
      <c r="H288" s="128"/>
    </row>
    <row r="289" spans="1:8" ht="13.5" hidden="1" thickTop="1" x14ac:dyDescent="0.2">
      <c r="A289" s="95"/>
      <c r="B289" s="95"/>
      <c r="C289" s="94"/>
      <c r="E289" s="98"/>
      <c r="F289" s="126"/>
      <c r="G289" s="127"/>
      <c r="H289" s="128"/>
    </row>
    <row r="290" spans="1:8" ht="13.5" hidden="1" thickTop="1" x14ac:dyDescent="0.2">
      <c r="A290" s="95"/>
      <c r="B290" s="95"/>
      <c r="C290" s="94"/>
      <c r="E290" s="98"/>
      <c r="F290" s="126"/>
      <c r="G290" s="127"/>
      <c r="H290" s="128"/>
    </row>
    <row r="291" spans="1:8" ht="13.5" hidden="1" thickTop="1" x14ac:dyDescent="0.2">
      <c r="A291" s="95"/>
      <c r="B291" s="95"/>
      <c r="C291" s="94"/>
      <c r="E291" s="98"/>
      <c r="F291" s="126"/>
      <c r="G291" s="127"/>
      <c r="H291" s="128"/>
    </row>
    <row r="292" spans="1:8" ht="13.5" hidden="1" thickTop="1" x14ac:dyDescent="0.2">
      <c r="A292" s="95"/>
      <c r="B292" s="95"/>
      <c r="C292" s="94"/>
      <c r="E292" s="98"/>
      <c r="F292" s="126"/>
      <c r="G292" s="127"/>
      <c r="H292" s="128"/>
    </row>
    <row r="293" spans="1:8" ht="13.5" hidden="1" thickTop="1" x14ac:dyDescent="0.2">
      <c r="A293" s="95"/>
      <c r="B293" s="95"/>
      <c r="C293" s="94"/>
      <c r="E293" s="98"/>
      <c r="F293" s="126"/>
      <c r="G293" s="127"/>
      <c r="H293" s="128"/>
    </row>
    <row r="294" spans="1:8" ht="13.5" hidden="1" thickTop="1" x14ac:dyDescent="0.2">
      <c r="A294" s="95"/>
      <c r="B294" s="95"/>
      <c r="C294" s="94"/>
      <c r="E294" s="98"/>
      <c r="F294" s="126"/>
      <c r="G294" s="127"/>
      <c r="H294" s="128"/>
    </row>
    <row r="295" spans="1:8" ht="13.5" hidden="1" thickTop="1" x14ac:dyDescent="0.2">
      <c r="A295" s="95"/>
      <c r="B295" s="95"/>
      <c r="C295" s="94"/>
      <c r="E295" s="98"/>
      <c r="F295" s="126"/>
      <c r="G295" s="127"/>
      <c r="H295" s="128"/>
    </row>
    <row r="296" spans="1:8" ht="13.5" hidden="1" thickTop="1" x14ac:dyDescent="0.2">
      <c r="A296" s="95"/>
      <c r="B296" s="95"/>
      <c r="C296" s="94"/>
      <c r="E296" s="98"/>
      <c r="F296" s="126"/>
      <c r="G296" s="127"/>
      <c r="H296" s="128"/>
    </row>
    <row r="297" spans="1:8" ht="13.5" hidden="1" thickTop="1" x14ac:dyDescent="0.2">
      <c r="A297" s="95"/>
      <c r="B297" s="95"/>
      <c r="C297" s="94"/>
      <c r="E297" s="98"/>
      <c r="F297" s="126"/>
      <c r="G297" s="127"/>
      <c r="H297" s="128"/>
    </row>
    <row r="298" spans="1:8" ht="13.5" hidden="1" thickTop="1" x14ac:dyDescent="0.2">
      <c r="A298" s="95"/>
      <c r="B298" s="95"/>
      <c r="C298" s="94"/>
      <c r="E298" s="98"/>
      <c r="F298" s="126"/>
      <c r="G298" s="127"/>
      <c r="H298" s="128"/>
    </row>
    <row r="299" spans="1:8" ht="13.5" hidden="1" thickTop="1" x14ac:dyDescent="0.2">
      <c r="A299" s="95"/>
      <c r="B299" s="95"/>
      <c r="C299" s="94"/>
      <c r="E299" s="98"/>
      <c r="F299" s="126"/>
      <c r="G299" s="127"/>
      <c r="H299" s="128"/>
    </row>
    <row r="300" spans="1:8" ht="13.5" hidden="1" thickTop="1" x14ac:dyDescent="0.2">
      <c r="A300" s="95"/>
      <c r="B300" s="95"/>
      <c r="C300" s="94"/>
      <c r="E300" s="98"/>
      <c r="F300" s="126"/>
      <c r="G300" s="127"/>
      <c r="H300" s="128"/>
    </row>
    <row r="301" spans="1:8" ht="13.5" hidden="1" thickTop="1" x14ac:dyDescent="0.2">
      <c r="A301" s="95"/>
      <c r="B301" s="95"/>
      <c r="C301" s="94"/>
      <c r="E301" s="98"/>
      <c r="F301" s="126"/>
      <c r="G301" s="127"/>
      <c r="H301" s="128"/>
    </row>
    <row r="302" spans="1:8" ht="13.5" hidden="1" thickTop="1" x14ac:dyDescent="0.2">
      <c r="A302" s="95"/>
      <c r="B302" s="95"/>
      <c r="C302" s="94"/>
      <c r="E302" s="98"/>
      <c r="F302" s="126"/>
      <c r="G302" s="127"/>
      <c r="H302" s="128"/>
    </row>
    <row r="303" spans="1:8" ht="13.5" hidden="1" thickTop="1" x14ac:dyDescent="0.2">
      <c r="A303" s="95"/>
      <c r="B303" s="95"/>
      <c r="C303" s="94"/>
      <c r="E303" s="98"/>
      <c r="F303" s="126"/>
      <c r="G303" s="127"/>
      <c r="H303" s="128"/>
    </row>
    <row r="304" spans="1:8" ht="13.5" hidden="1" thickTop="1" x14ac:dyDescent="0.2">
      <c r="A304" s="95"/>
      <c r="B304" s="95"/>
      <c r="C304" s="94"/>
      <c r="E304" s="98"/>
      <c r="F304" s="126"/>
      <c r="G304" s="127"/>
      <c r="H304" s="128"/>
    </row>
    <row r="305" spans="1:8" ht="13.5" hidden="1" thickTop="1" x14ac:dyDescent="0.2">
      <c r="A305" s="95"/>
      <c r="B305" s="95"/>
      <c r="C305" s="94"/>
      <c r="E305" s="98"/>
      <c r="F305" s="126"/>
      <c r="G305" s="127"/>
      <c r="H305" s="128"/>
    </row>
    <row r="306" spans="1:8" ht="13.5" hidden="1" thickTop="1" x14ac:dyDescent="0.2">
      <c r="A306" s="95"/>
      <c r="B306" s="95"/>
      <c r="C306" s="94"/>
      <c r="E306" s="98"/>
      <c r="F306" s="126"/>
      <c r="G306" s="127"/>
      <c r="H306" s="128"/>
    </row>
    <row r="307" spans="1:8" ht="13.5" hidden="1" thickTop="1" x14ac:dyDescent="0.2">
      <c r="A307" s="95"/>
      <c r="B307" s="95"/>
      <c r="C307" s="94"/>
      <c r="E307" s="98"/>
      <c r="F307" s="126"/>
      <c r="G307" s="127"/>
      <c r="H307" s="128"/>
    </row>
    <row r="308" spans="1:8" ht="13.5" hidden="1" thickTop="1" x14ac:dyDescent="0.2">
      <c r="A308" s="95"/>
      <c r="B308" s="95"/>
      <c r="C308" s="94"/>
      <c r="E308" s="98"/>
      <c r="F308" s="126"/>
      <c r="G308" s="127"/>
      <c r="H308" s="128"/>
    </row>
    <row r="309" spans="1:8" ht="13.5" hidden="1" thickTop="1" x14ac:dyDescent="0.2">
      <c r="A309" s="95"/>
      <c r="B309" s="95"/>
      <c r="C309" s="94"/>
      <c r="E309" s="98"/>
      <c r="F309" s="126"/>
      <c r="G309" s="127"/>
      <c r="H309" s="128"/>
    </row>
    <row r="310" spans="1:8" ht="13.5" hidden="1" thickTop="1" x14ac:dyDescent="0.2">
      <c r="A310" s="95"/>
      <c r="B310" s="95"/>
      <c r="C310" s="94"/>
      <c r="E310" s="98"/>
      <c r="F310" s="126"/>
      <c r="G310" s="127"/>
      <c r="H310" s="128"/>
    </row>
    <row r="311" spans="1:8" ht="13.5" hidden="1" thickTop="1" x14ac:dyDescent="0.2">
      <c r="A311" s="95"/>
      <c r="B311" s="95"/>
      <c r="C311" s="94"/>
      <c r="E311" s="98"/>
      <c r="F311" s="126"/>
      <c r="G311" s="127"/>
      <c r="H311" s="128"/>
    </row>
    <row r="312" spans="1:8" ht="13.5" hidden="1" thickTop="1" x14ac:dyDescent="0.2">
      <c r="A312" s="95"/>
      <c r="B312" s="95"/>
      <c r="C312" s="94"/>
      <c r="E312" s="98"/>
      <c r="F312" s="126"/>
      <c r="G312" s="127"/>
      <c r="H312" s="128"/>
    </row>
    <row r="313" spans="1:8" ht="13.5" hidden="1" thickTop="1" x14ac:dyDescent="0.2">
      <c r="A313" s="95"/>
      <c r="B313" s="95"/>
      <c r="C313" s="94"/>
      <c r="E313" s="98"/>
      <c r="F313" s="126"/>
      <c r="G313" s="127"/>
      <c r="H313" s="128"/>
    </row>
    <row r="314" spans="1:8" ht="13.5" hidden="1" thickTop="1" x14ac:dyDescent="0.2">
      <c r="A314" s="95"/>
      <c r="B314" s="95"/>
      <c r="C314" s="94"/>
      <c r="E314" s="98"/>
      <c r="F314" s="126"/>
      <c r="G314" s="127"/>
      <c r="H314" s="128"/>
    </row>
    <row r="315" spans="1:8" ht="13.5" hidden="1" thickTop="1" x14ac:dyDescent="0.2">
      <c r="A315" s="95"/>
      <c r="B315" s="95"/>
      <c r="C315" s="94"/>
      <c r="E315" s="98"/>
      <c r="F315" s="126"/>
      <c r="G315" s="127"/>
      <c r="H315" s="128"/>
    </row>
    <row r="316" spans="1:8" ht="13.5" hidden="1" thickTop="1" x14ac:dyDescent="0.2">
      <c r="A316" s="95"/>
      <c r="B316" s="95"/>
      <c r="C316" s="94"/>
      <c r="E316" s="98"/>
      <c r="F316" s="126"/>
      <c r="G316" s="127"/>
      <c r="H316" s="128"/>
    </row>
    <row r="317" spans="1:8" ht="13.5" hidden="1" thickTop="1" x14ac:dyDescent="0.2">
      <c r="A317" s="95"/>
      <c r="B317" s="95"/>
      <c r="C317" s="94"/>
      <c r="E317" s="98"/>
      <c r="F317" s="126"/>
      <c r="G317" s="127"/>
      <c r="H317" s="128"/>
    </row>
    <row r="318" spans="1:8" ht="13.5" hidden="1" thickTop="1" x14ac:dyDescent="0.2">
      <c r="A318" s="95"/>
      <c r="B318" s="95"/>
      <c r="C318" s="94"/>
      <c r="E318" s="98"/>
      <c r="F318" s="126"/>
      <c r="G318" s="127"/>
      <c r="H318" s="128"/>
    </row>
    <row r="319" spans="1:8" ht="13.5" hidden="1" thickTop="1" x14ac:dyDescent="0.2">
      <c r="A319" s="95"/>
      <c r="B319" s="95"/>
      <c r="C319" s="94"/>
      <c r="E319" s="98"/>
      <c r="F319" s="126"/>
      <c r="G319" s="127"/>
      <c r="H319" s="128"/>
    </row>
    <row r="320" spans="1:8" ht="13.5" hidden="1" thickTop="1" x14ac:dyDescent="0.2">
      <c r="A320" s="95"/>
      <c r="B320" s="95"/>
      <c r="C320" s="94"/>
      <c r="E320" s="98"/>
      <c r="F320" s="126"/>
      <c r="G320" s="127"/>
      <c r="H320" s="128"/>
    </row>
    <row r="321" spans="1:8" ht="13.5" hidden="1" thickTop="1" x14ac:dyDescent="0.2">
      <c r="A321" s="95"/>
      <c r="B321" s="95"/>
      <c r="C321" s="94"/>
      <c r="E321" s="98"/>
      <c r="F321" s="126"/>
      <c r="G321" s="127"/>
      <c r="H321" s="128"/>
    </row>
    <row r="322" spans="1:8" ht="13.5" hidden="1" thickTop="1" x14ac:dyDescent="0.2">
      <c r="A322" s="95"/>
      <c r="B322" s="95"/>
      <c r="C322" s="94"/>
      <c r="E322" s="98"/>
      <c r="F322" s="126"/>
      <c r="G322" s="127"/>
      <c r="H322" s="128"/>
    </row>
    <row r="323" spans="1:8" ht="13.5" hidden="1" thickTop="1" x14ac:dyDescent="0.2">
      <c r="A323" s="95"/>
      <c r="B323" s="95"/>
      <c r="C323" s="94"/>
      <c r="E323" s="98"/>
      <c r="F323" s="126"/>
      <c r="G323" s="127"/>
      <c r="H323" s="128"/>
    </row>
    <row r="324" spans="1:8" ht="13.5" hidden="1" thickTop="1" x14ac:dyDescent="0.2">
      <c r="A324" s="95"/>
      <c r="B324" s="95"/>
      <c r="C324" s="94"/>
      <c r="E324" s="98"/>
      <c r="F324" s="126"/>
      <c r="G324" s="127"/>
      <c r="H324" s="128"/>
    </row>
    <row r="325" spans="1:8" ht="13.5" hidden="1" thickTop="1" x14ac:dyDescent="0.2">
      <c r="A325" s="95"/>
      <c r="B325" s="95"/>
      <c r="C325" s="94"/>
      <c r="E325" s="98"/>
      <c r="F325" s="126"/>
      <c r="G325" s="127"/>
      <c r="H325" s="128"/>
    </row>
    <row r="326" spans="1:8" ht="13.5" hidden="1" thickTop="1" x14ac:dyDescent="0.2">
      <c r="A326" s="95"/>
      <c r="B326" s="95"/>
      <c r="C326" s="94"/>
      <c r="E326" s="98"/>
      <c r="F326" s="126"/>
      <c r="G326" s="127"/>
      <c r="H326" s="128"/>
    </row>
    <row r="327" spans="1:8" ht="13.5" hidden="1" thickTop="1" x14ac:dyDescent="0.2">
      <c r="A327" s="95"/>
      <c r="B327" s="95"/>
      <c r="C327" s="94"/>
      <c r="E327" s="98"/>
      <c r="F327" s="126"/>
      <c r="G327" s="127"/>
      <c r="H327" s="128"/>
    </row>
    <row r="328" spans="1:8" ht="13.5" hidden="1" thickTop="1" x14ac:dyDescent="0.2">
      <c r="A328" s="95"/>
      <c r="B328" s="95"/>
      <c r="C328" s="94"/>
      <c r="E328" s="98"/>
      <c r="F328" s="126"/>
      <c r="G328" s="127"/>
      <c r="H328" s="128"/>
    </row>
    <row r="329" spans="1:8" ht="13.5" hidden="1" thickTop="1" x14ac:dyDescent="0.2">
      <c r="A329" s="95"/>
      <c r="B329" s="95"/>
      <c r="C329" s="94"/>
      <c r="E329" s="98"/>
      <c r="F329" s="126"/>
      <c r="G329" s="127"/>
      <c r="H329" s="128"/>
    </row>
    <row r="330" spans="1:8" ht="13.5" hidden="1" thickTop="1" x14ac:dyDescent="0.2">
      <c r="A330" s="95"/>
      <c r="B330" s="95"/>
      <c r="C330" s="94"/>
      <c r="E330" s="98"/>
      <c r="F330" s="126"/>
      <c r="G330" s="127"/>
      <c r="H330" s="128"/>
    </row>
    <row r="331" spans="1:8" ht="13.5" hidden="1" thickTop="1" x14ac:dyDescent="0.2">
      <c r="A331" s="95"/>
      <c r="B331" s="95"/>
      <c r="C331" s="94"/>
      <c r="E331" s="98"/>
      <c r="F331" s="126"/>
      <c r="G331" s="127"/>
      <c r="H331" s="128"/>
    </row>
    <row r="332" spans="1:8" ht="13.5" hidden="1" thickTop="1" x14ac:dyDescent="0.2">
      <c r="A332" s="95"/>
      <c r="B332" s="95"/>
      <c r="C332" s="94"/>
      <c r="E332" s="98"/>
      <c r="F332" s="126"/>
      <c r="G332" s="127"/>
      <c r="H332" s="128"/>
    </row>
    <row r="333" spans="1:8" ht="13.5" hidden="1" thickTop="1" x14ac:dyDescent="0.2">
      <c r="A333" s="95"/>
      <c r="B333" s="95"/>
      <c r="C333" s="94"/>
      <c r="E333" s="98"/>
      <c r="F333" s="126"/>
      <c r="G333" s="127"/>
      <c r="H333" s="128"/>
    </row>
    <row r="334" spans="1:8" ht="13.5" hidden="1" thickTop="1" x14ac:dyDescent="0.2">
      <c r="A334" s="95"/>
      <c r="B334" s="95"/>
      <c r="C334" s="94"/>
      <c r="E334" s="98"/>
      <c r="F334" s="126"/>
      <c r="G334" s="127"/>
      <c r="H334" s="128"/>
    </row>
    <row r="335" spans="1:8" ht="13.5" hidden="1" thickTop="1" x14ac:dyDescent="0.2">
      <c r="A335" s="95"/>
      <c r="B335" s="95"/>
      <c r="C335" s="94"/>
      <c r="E335" s="98"/>
      <c r="F335" s="126"/>
      <c r="G335" s="127"/>
      <c r="H335" s="128"/>
    </row>
    <row r="336" spans="1:8" ht="13.5" hidden="1" thickTop="1" x14ac:dyDescent="0.2">
      <c r="A336" s="95"/>
      <c r="B336" s="95"/>
      <c r="C336" s="94"/>
      <c r="E336" s="98"/>
      <c r="F336" s="126"/>
      <c r="G336" s="127"/>
      <c r="H336" s="128"/>
    </row>
    <row r="337" spans="1:8" ht="13.5" hidden="1" thickTop="1" x14ac:dyDescent="0.2">
      <c r="A337" s="95"/>
      <c r="B337" s="95"/>
      <c r="C337" s="94"/>
      <c r="E337" s="98"/>
      <c r="F337" s="126"/>
      <c r="G337" s="127"/>
      <c r="H337" s="128"/>
    </row>
    <row r="338" spans="1:8" ht="13.5" hidden="1" thickTop="1" x14ac:dyDescent="0.2">
      <c r="A338" s="95"/>
      <c r="B338" s="95"/>
      <c r="C338" s="94"/>
      <c r="E338" s="98"/>
      <c r="F338" s="126"/>
      <c r="G338" s="127"/>
      <c r="H338" s="128"/>
    </row>
    <row r="339" spans="1:8" ht="13.5" hidden="1" thickTop="1" x14ac:dyDescent="0.2">
      <c r="A339" s="95"/>
      <c r="B339" s="95"/>
      <c r="C339" s="94"/>
      <c r="E339" s="98"/>
      <c r="F339" s="126"/>
      <c r="G339" s="127"/>
      <c r="H339" s="128"/>
    </row>
    <row r="340" spans="1:8" ht="13.5" hidden="1" thickTop="1" x14ac:dyDescent="0.2">
      <c r="A340" s="95"/>
      <c r="B340" s="95"/>
      <c r="C340" s="94"/>
      <c r="E340" s="98"/>
      <c r="F340" s="126"/>
      <c r="G340" s="127"/>
      <c r="H340" s="128"/>
    </row>
    <row r="341" spans="1:8" ht="13.5" hidden="1" thickTop="1" x14ac:dyDescent="0.2">
      <c r="A341" s="95"/>
      <c r="B341" s="95"/>
      <c r="C341" s="94"/>
      <c r="E341" s="98"/>
      <c r="F341" s="126"/>
      <c r="G341" s="127"/>
      <c r="H341" s="128"/>
    </row>
    <row r="342" spans="1:8" ht="13.5" hidden="1" thickTop="1" x14ac:dyDescent="0.2">
      <c r="A342" s="95"/>
      <c r="B342" s="95"/>
      <c r="C342" s="94"/>
      <c r="E342" s="98"/>
      <c r="F342" s="126"/>
      <c r="G342" s="127"/>
      <c r="H342" s="128"/>
    </row>
    <row r="343" spans="1:8" ht="13.5" hidden="1" thickTop="1" x14ac:dyDescent="0.2">
      <c r="A343" s="95"/>
      <c r="B343" s="95"/>
      <c r="C343" s="94"/>
      <c r="E343" s="98"/>
      <c r="F343" s="126"/>
      <c r="G343" s="127"/>
      <c r="H343" s="128"/>
    </row>
    <row r="344" spans="1:8" ht="13.5" hidden="1" thickTop="1" x14ac:dyDescent="0.2">
      <c r="A344" s="95"/>
      <c r="B344" s="95"/>
      <c r="C344" s="94"/>
      <c r="E344" s="98"/>
      <c r="F344" s="126"/>
      <c r="G344" s="127"/>
      <c r="H344" s="128"/>
    </row>
    <row r="345" spans="1:8" ht="13.5" hidden="1" thickTop="1" x14ac:dyDescent="0.2">
      <c r="A345" s="95"/>
      <c r="B345" s="95"/>
      <c r="C345" s="94"/>
      <c r="E345" s="98"/>
      <c r="F345" s="126"/>
      <c r="G345" s="127"/>
      <c r="H345" s="128"/>
    </row>
    <row r="346" spans="1:8" ht="13.5" hidden="1" thickTop="1" x14ac:dyDescent="0.2">
      <c r="A346" s="95"/>
      <c r="B346" s="95"/>
      <c r="C346" s="94"/>
      <c r="E346" s="98"/>
      <c r="F346" s="126"/>
      <c r="G346" s="127"/>
      <c r="H346" s="128"/>
    </row>
    <row r="347" spans="1:8" ht="13.5" hidden="1" thickTop="1" x14ac:dyDescent="0.2">
      <c r="A347" s="95"/>
      <c r="B347" s="95"/>
      <c r="C347" s="94"/>
      <c r="E347" s="98"/>
      <c r="F347" s="126"/>
      <c r="G347" s="127"/>
      <c r="H347" s="128"/>
    </row>
    <row r="348" spans="1:8" ht="13.5" hidden="1" thickTop="1" x14ac:dyDescent="0.2">
      <c r="A348" s="95"/>
      <c r="B348" s="95"/>
      <c r="C348" s="94"/>
      <c r="E348" s="98"/>
      <c r="F348" s="126"/>
      <c r="G348" s="127"/>
      <c r="H348" s="128"/>
    </row>
    <row r="349" spans="1:8" ht="13.5" hidden="1" thickTop="1" x14ac:dyDescent="0.2">
      <c r="A349" s="95"/>
      <c r="B349" s="95"/>
      <c r="C349" s="94"/>
      <c r="E349" s="98"/>
      <c r="F349" s="126"/>
      <c r="G349" s="127"/>
      <c r="H349" s="128"/>
    </row>
    <row r="350" spans="1:8" ht="13.5" hidden="1" thickTop="1" x14ac:dyDescent="0.2">
      <c r="A350" s="95"/>
      <c r="B350" s="95"/>
      <c r="C350" s="94"/>
      <c r="E350" s="98"/>
      <c r="F350" s="126"/>
      <c r="G350" s="127"/>
      <c r="H350" s="128"/>
    </row>
    <row r="351" spans="1:8" ht="13.5" hidden="1" thickTop="1" x14ac:dyDescent="0.2">
      <c r="A351" s="95"/>
      <c r="B351" s="95"/>
      <c r="C351" s="94"/>
      <c r="E351" s="98"/>
      <c r="F351" s="126"/>
      <c r="G351" s="127"/>
      <c r="H351" s="128"/>
    </row>
    <row r="352" spans="1:8" ht="13.5" hidden="1" thickTop="1" x14ac:dyDescent="0.2">
      <c r="A352" s="95"/>
      <c r="B352" s="95"/>
      <c r="C352" s="94"/>
      <c r="E352" s="98"/>
      <c r="F352" s="126"/>
      <c r="G352" s="127"/>
      <c r="H352" s="128"/>
    </row>
    <row r="353" spans="1:8" ht="13.5" hidden="1" thickTop="1" x14ac:dyDescent="0.2">
      <c r="A353" s="95"/>
      <c r="B353" s="95"/>
      <c r="C353" s="94"/>
      <c r="E353" s="98"/>
      <c r="F353" s="126"/>
      <c r="G353" s="127"/>
      <c r="H353" s="128"/>
    </row>
    <row r="354" spans="1:8" ht="13.5" hidden="1" thickTop="1" x14ac:dyDescent="0.2">
      <c r="A354" s="95"/>
      <c r="B354" s="95"/>
      <c r="C354" s="94"/>
      <c r="E354" s="98"/>
      <c r="F354" s="126"/>
      <c r="G354" s="127"/>
      <c r="H354" s="128"/>
    </row>
    <row r="355" spans="1:8" ht="13.5" hidden="1" thickTop="1" x14ac:dyDescent="0.2">
      <c r="A355" s="95"/>
      <c r="B355" s="95"/>
      <c r="C355" s="94"/>
      <c r="E355" s="98"/>
      <c r="F355" s="126"/>
      <c r="G355" s="127"/>
      <c r="H355" s="128"/>
    </row>
    <row r="356" spans="1:8" ht="13.5" hidden="1" thickTop="1" x14ac:dyDescent="0.2">
      <c r="A356" s="95"/>
      <c r="B356" s="95"/>
      <c r="C356" s="94"/>
      <c r="E356" s="98"/>
      <c r="F356" s="126"/>
      <c r="G356" s="127"/>
      <c r="H356" s="128"/>
    </row>
    <row r="357" spans="1:8" ht="13.5" hidden="1" thickTop="1" x14ac:dyDescent="0.2">
      <c r="A357" s="95"/>
      <c r="B357" s="95"/>
      <c r="C357" s="94"/>
      <c r="E357" s="98"/>
      <c r="F357" s="126"/>
      <c r="G357" s="127"/>
      <c r="H357" s="128"/>
    </row>
    <row r="358" spans="1:8" ht="13.5" hidden="1" thickTop="1" x14ac:dyDescent="0.2">
      <c r="A358" s="95"/>
      <c r="B358" s="95"/>
      <c r="C358" s="94"/>
      <c r="E358" s="98"/>
      <c r="F358" s="126"/>
      <c r="G358" s="127"/>
      <c r="H358" s="128"/>
    </row>
    <row r="359" spans="1:8" ht="13.5" hidden="1" thickTop="1" x14ac:dyDescent="0.2">
      <c r="A359" s="95"/>
      <c r="B359" s="95"/>
      <c r="C359" s="94"/>
      <c r="E359" s="98"/>
      <c r="F359" s="126"/>
      <c r="G359" s="127"/>
      <c r="H359" s="128"/>
    </row>
    <row r="360" spans="1:8" ht="13.5" hidden="1" thickTop="1" x14ac:dyDescent="0.2">
      <c r="A360" s="95"/>
      <c r="B360" s="95"/>
      <c r="C360" s="94"/>
      <c r="E360" s="98"/>
      <c r="F360" s="126"/>
      <c r="G360" s="127"/>
      <c r="H360" s="128"/>
    </row>
    <row r="361" spans="1:8" ht="13.5" hidden="1" thickTop="1" x14ac:dyDescent="0.2">
      <c r="A361" s="95"/>
      <c r="B361" s="95"/>
      <c r="C361" s="94"/>
      <c r="E361" s="98"/>
      <c r="F361" s="126"/>
      <c r="G361" s="127"/>
      <c r="H361" s="128"/>
    </row>
    <row r="362" spans="1:8" ht="13.5" hidden="1" thickTop="1" x14ac:dyDescent="0.2">
      <c r="A362" s="95"/>
      <c r="B362" s="95"/>
      <c r="C362" s="94"/>
      <c r="E362" s="98"/>
      <c r="F362" s="126"/>
      <c r="G362" s="127"/>
      <c r="H362" s="128"/>
    </row>
    <row r="363" spans="1:8" ht="13.5" hidden="1" thickTop="1" x14ac:dyDescent="0.2">
      <c r="A363" s="95"/>
      <c r="B363" s="95"/>
      <c r="C363" s="94"/>
      <c r="E363" s="98"/>
      <c r="F363" s="126"/>
      <c r="G363" s="127"/>
      <c r="H363" s="128"/>
    </row>
    <row r="364" spans="1:8" ht="13.5" hidden="1" thickTop="1" x14ac:dyDescent="0.2">
      <c r="A364" s="95"/>
      <c r="B364" s="95"/>
      <c r="C364" s="94"/>
      <c r="E364" s="98"/>
      <c r="F364" s="126"/>
      <c r="G364" s="127"/>
      <c r="H364" s="128"/>
    </row>
    <row r="365" spans="1:8" ht="13.5" hidden="1" thickTop="1" x14ac:dyDescent="0.2">
      <c r="A365" s="95"/>
      <c r="B365" s="95"/>
      <c r="C365" s="94"/>
      <c r="E365" s="98"/>
      <c r="F365" s="126"/>
      <c r="G365" s="127"/>
      <c r="H365" s="128"/>
    </row>
    <row r="366" spans="1:8" ht="13.5" hidden="1" thickTop="1" x14ac:dyDescent="0.2">
      <c r="A366" s="95"/>
      <c r="B366" s="95"/>
      <c r="C366" s="94"/>
      <c r="E366" s="98"/>
      <c r="F366" s="126"/>
      <c r="G366" s="127"/>
      <c r="H366" s="128"/>
    </row>
    <row r="367" spans="1:8" ht="13.5" hidden="1" thickTop="1" x14ac:dyDescent="0.2">
      <c r="A367" s="95"/>
      <c r="B367" s="95"/>
      <c r="C367" s="94"/>
      <c r="E367" s="98"/>
      <c r="F367" s="126"/>
      <c r="G367" s="127"/>
      <c r="H367" s="128"/>
    </row>
    <row r="368" spans="1:8" ht="13.5" hidden="1" thickTop="1" x14ac:dyDescent="0.2">
      <c r="A368" s="95"/>
      <c r="B368" s="95"/>
      <c r="C368" s="94"/>
      <c r="E368" s="98"/>
      <c r="F368" s="126"/>
      <c r="G368" s="127"/>
      <c r="H368" s="128"/>
    </row>
    <row r="369" spans="1:8" ht="13.5" hidden="1" thickTop="1" x14ac:dyDescent="0.2">
      <c r="A369" s="95"/>
      <c r="B369" s="95"/>
      <c r="C369" s="94"/>
      <c r="E369" s="98"/>
      <c r="F369" s="126"/>
      <c r="G369" s="127"/>
      <c r="H369" s="128"/>
    </row>
    <row r="370" spans="1:8" ht="13.5" hidden="1" thickTop="1" x14ac:dyDescent="0.2">
      <c r="A370" s="95"/>
      <c r="B370" s="95"/>
      <c r="C370" s="94"/>
      <c r="E370" s="98"/>
      <c r="F370" s="126"/>
      <c r="G370" s="127"/>
      <c r="H370" s="128"/>
    </row>
    <row r="371" spans="1:8" ht="13.5" hidden="1" thickTop="1" x14ac:dyDescent="0.2">
      <c r="A371" s="95"/>
      <c r="B371" s="95"/>
      <c r="C371" s="94"/>
      <c r="E371" s="98"/>
      <c r="F371" s="126"/>
      <c r="G371" s="127"/>
      <c r="H371" s="128"/>
    </row>
    <row r="372" spans="1:8" ht="13.5" hidden="1" thickTop="1" x14ac:dyDescent="0.2">
      <c r="A372" s="95"/>
      <c r="B372" s="95"/>
      <c r="C372" s="94"/>
      <c r="E372" s="98"/>
      <c r="F372" s="126"/>
      <c r="G372" s="127"/>
      <c r="H372" s="128"/>
    </row>
    <row r="373" spans="1:8" ht="13.5" hidden="1" thickTop="1" x14ac:dyDescent="0.2">
      <c r="A373" s="95"/>
      <c r="B373" s="95"/>
      <c r="C373" s="94"/>
      <c r="E373" s="98"/>
      <c r="F373" s="126"/>
      <c r="G373" s="127"/>
      <c r="H373" s="128"/>
    </row>
    <row r="374" spans="1:8" ht="13.5" hidden="1" thickTop="1" x14ac:dyDescent="0.2">
      <c r="A374" s="95"/>
      <c r="B374" s="95"/>
      <c r="C374" s="94"/>
      <c r="E374" s="98"/>
      <c r="F374" s="126"/>
      <c r="G374" s="127"/>
      <c r="H374" s="128"/>
    </row>
    <row r="375" spans="1:8" ht="13.5" hidden="1" thickTop="1" x14ac:dyDescent="0.2">
      <c r="A375" s="95"/>
      <c r="B375" s="95"/>
      <c r="C375" s="94"/>
      <c r="E375" s="98"/>
      <c r="F375" s="126"/>
      <c r="G375" s="127"/>
      <c r="H375" s="128"/>
    </row>
    <row r="376" spans="1:8" ht="13.5" hidden="1" thickTop="1" x14ac:dyDescent="0.2">
      <c r="A376" s="95"/>
      <c r="B376" s="95"/>
      <c r="C376" s="94"/>
      <c r="E376" s="98"/>
      <c r="F376" s="126"/>
      <c r="G376" s="127"/>
      <c r="H376" s="128"/>
    </row>
    <row r="377" spans="1:8" ht="13.5" hidden="1" thickTop="1" x14ac:dyDescent="0.2">
      <c r="A377" s="95"/>
      <c r="B377" s="95"/>
      <c r="C377" s="94"/>
      <c r="E377" s="98"/>
      <c r="F377" s="126"/>
      <c r="G377" s="127"/>
      <c r="H377" s="128"/>
    </row>
    <row r="378" spans="1:8" ht="13.5" hidden="1" thickTop="1" x14ac:dyDescent="0.2">
      <c r="A378" s="95"/>
      <c r="B378" s="95"/>
      <c r="C378" s="94"/>
      <c r="E378" s="98"/>
      <c r="F378" s="126"/>
      <c r="G378" s="127"/>
      <c r="H378" s="128"/>
    </row>
    <row r="379" spans="1:8" ht="13.5" hidden="1" thickTop="1" x14ac:dyDescent="0.2">
      <c r="A379" s="95"/>
      <c r="B379" s="95"/>
      <c r="C379" s="94"/>
      <c r="E379" s="98"/>
      <c r="F379" s="126"/>
      <c r="G379" s="127"/>
      <c r="H379" s="128"/>
    </row>
    <row r="380" spans="1:8" ht="13.5" hidden="1" thickTop="1" x14ac:dyDescent="0.2">
      <c r="A380" s="95"/>
      <c r="B380" s="95"/>
      <c r="C380" s="94"/>
      <c r="E380" s="98"/>
      <c r="F380" s="126"/>
      <c r="G380" s="127"/>
      <c r="H380" s="128"/>
    </row>
    <row r="381" spans="1:8" ht="13.5" hidden="1" thickTop="1" x14ac:dyDescent="0.2">
      <c r="A381" s="95"/>
      <c r="B381" s="95"/>
      <c r="C381" s="94"/>
      <c r="E381" s="98"/>
      <c r="F381" s="126"/>
      <c r="G381" s="127"/>
      <c r="H381" s="128"/>
    </row>
    <row r="382" spans="1:8" ht="13.5" hidden="1" thickTop="1" x14ac:dyDescent="0.2">
      <c r="A382" s="95"/>
      <c r="B382" s="95"/>
      <c r="C382" s="94"/>
      <c r="E382" s="98"/>
      <c r="F382" s="126"/>
      <c r="G382" s="127"/>
      <c r="H382" s="128"/>
    </row>
    <row r="383" spans="1:8" ht="13.5" hidden="1" thickTop="1" x14ac:dyDescent="0.2">
      <c r="A383" s="95"/>
      <c r="B383" s="95"/>
      <c r="C383" s="94"/>
      <c r="E383" s="98"/>
      <c r="F383" s="126"/>
      <c r="G383" s="127"/>
      <c r="H383" s="128"/>
    </row>
    <row r="384" spans="1:8" ht="13.5" hidden="1" thickTop="1" x14ac:dyDescent="0.2">
      <c r="A384" s="95"/>
      <c r="B384" s="95"/>
      <c r="C384" s="94"/>
      <c r="E384" s="98"/>
      <c r="F384" s="126"/>
      <c r="G384" s="127"/>
      <c r="H384" s="128"/>
    </row>
    <row r="385" spans="1:8" ht="13.5" hidden="1" thickTop="1" x14ac:dyDescent="0.2">
      <c r="A385" s="95"/>
      <c r="B385" s="95"/>
      <c r="C385" s="94"/>
      <c r="E385" s="98"/>
      <c r="F385" s="126"/>
      <c r="G385" s="127"/>
      <c r="H385" s="128"/>
    </row>
    <row r="386" spans="1:8" ht="13.5" hidden="1" thickTop="1" x14ac:dyDescent="0.2">
      <c r="A386" s="95"/>
      <c r="B386" s="95"/>
      <c r="C386" s="94"/>
      <c r="E386" s="98"/>
      <c r="F386" s="126"/>
      <c r="G386" s="127"/>
      <c r="H386" s="128"/>
    </row>
    <row r="387" spans="1:8" ht="13.5" hidden="1" thickTop="1" x14ac:dyDescent="0.2">
      <c r="A387" s="95"/>
      <c r="B387" s="95"/>
      <c r="C387" s="94"/>
      <c r="E387" s="98"/>
      <c r="F387" s="126"/>
      <c r="G387" s="127"/>
      <c r="H387" s="128"/>
    </row>
    <row r="388" spans="1:8" ht="13.5" hidden="1" thickTop="1" x14ac:dyDescent="0.2">
      <c r="A388" s="95"/>
      <c r="B388" s="95"/>
      <c r="C388" s="94"/>
      <c r="E388" s="98"/>
      <c r="F388" s="126"/>
      <c r="G388" s="127"/>
      <c r="H388" s="128"/>
    </row>
    <row r="389" spans="1:8" ht="13.5" hidden="1" thickTop="1" x14ac:dyDescent="0.2">
      <c r="A389" s="95"/>
      <c r="B389" s="95"/>
      <c r="C389" s="94"/>
      <c r="E389" s="98"/>
      <c r="F389" s="126"/>
      <c r="G389" s="127"/>
      <c r="H389" s="128"/>
    </row>
    <row r="390" spans="1:8" ht="13.5" hidden="1" thickTop="1" x14ac:dyDescent="0.2">
      <c r="A390" s="95"/>
      <c r="B390" s="95"/>
      <c r="C390" s="94"/>
      <c r="E390" s="98"/>
      <c r="F390" s="126"/>
      <c r="G390" s="127"/>
      <c r="H390" s="128"/>
    </row>
    <row r="391" spans="1:8" ht="13.5" hidden="1" thickTop="1" x14ac:dyDescent="0.2">
      <c r="A391" s="95"/>
      <c r="B391" s="95"/>
      <c r="C391" s="94"/>
      <c r="E391" s="98"/>
      <c r="F391" s="126"/>
      <c r="G391" s="127"/>
      <c r="H391" s="128"/>
    </row>
    <row r="392" spans="1:8" ht="13.5" hidden="1" thickTop="1" x14ac:dyDescent="0.2">
      <c r="A392" s="95"/>
      <c r="B392" s="95"/>
      <c r="C392" s="94"/>
      <c r="E392" s="98"/>
      <c r="F392" s="126"/>
      <c r="G392" s="127"/>
      <c r="H392" s="128"/>
    </row>
    <row r="393" spans="1:8" ht="13.5" hidden="1" thickTop="1" x14ac:dyDescent="0.2">
      <c r="A393" s="95"/>
      <c r="B393" s="95"/>
      <c r="C393" s="94"/>
      <c r="E393" s="98"/>
      <c r="F393" s="126"/>
      <c r="G393" s="127"/>
      <c r="H393" s="128"/>
    </row>
    <row r="394" spans="1:8" ht="13.5" hidden="1" thickTop="1" x14ac:dyDescent="0.2">
      <c r="A394" s="95"/>
      <c r="B394" s="95"/>
      <c r="C394" s="94"/>
      <c r="E394" s="98"/>
      <c r="F394" s="126"/>
      <c r="G394" s="127"/>
      <c r="H394" s="128"/>
    </row>
    <row r="395" spans="1:8" ht="13.5" hidden="1" thickTop="1" x14ac:dyDescent="0.2">
      <c r="A395" s="95"/>
      <c r="B395" s="95"/>
      <c r="C395" s="94"/>
      <c r="E395" s="98"/>
      <c r="F395" s="126"/>
      <c r="G395" s="127"/>
      <c r="H395" s="128"/>
    </row>
    <row r="396" spans="1:8" ht="13.5" hidden="1" thickTop="1" x14ac:dyDescent="0.2">
      <c r="A396" s="95"/>
      <c r="B396" s="95"/>
      <c r="C396" s="94"/>
      <c r="E396" s="98"/>
      <c r="F396" s="126"/>
      <c r="G396" s="127"/>
      <c r="H396" s="128"/>
    </row>
    <row r="397" spans="1:8" ht="13.5" hidden="1" thickTop="1" x14ac:dyDescent="0.2">
      <c r="A397" s="95"/>
      <c r="B397" s="95"/>
      <c r="C397" s="94"/>
      <c r="E397" s="98"/>
      <c r="F397" s="126"/>
      <c r="G397" s="127"/>
      <c r="H397" s="128"/>
    </row>
    <row r="398" spans="1:8" ht="13.5" hidden="1" thickTop="1" x14ac:dyDescent="0.2">
      <c r="A398" s="95"/>
      <c r="B398" s="95"/>
      <c r="C398" s="94"/>
      <c r="E398" s="98"/>
      <c r="F398" s="126"/>
      <c r="G398" s="127"/>
      <c r="H398" s="128"/>
    </row>
    <row r="399" spans="1:8" ht="13.5" hidden="1" thickTop="1" x14ac:dyDescent="0.2">
      <c r="A399" s="95"/>
      <c r="B399" s="95"/>
      <c r="C399" s="94"/>
      <c r="E399" s="98"/>
      <c r="F399" s="126"/>
      <c r="G399" s="127"/>
      <c r="H399" s="128"/>
    </row>
    <row r="400" spans="1:8" ht="13.5" hidden="1" thickTop="1" x14ac:dyDescent="0.2">
      <c r="A400" s="95"/>
      <c r="B400" s="95"/>
      <c r="C400" s="94"/>
      <c r="E400" s="98"/>
      <c r="F400" s="126"/>
      <c r="G400" s="127"/>
      <c r="H400" s="128"/>
    </row>
    <row r="401" spans="1:8" ht="13.5" hidden="1" thickTop="1" x14ac:dyDescent="0.2">
      <c r="A401" s="95"/>
      <c r="B401" s="95"/>
      <c r="C401" s="94"/>
      <c r="E401" s="98"/>
      <c r="F401" s="126"/>
      <c r="G401" s="127"/>
      <c r="H401" s="128"/>
    </row>
    <row r="402" spans="1:8" ht="13.5" hidden="1" thickTop="1" x14ac:dyDescent="0.2">
      <c r="A402" s="95"/>
      <c r="B402" s="95"/>
      <c r="C402" s="94"/>
      <c r="E402" s="98"/>
      <c r="F402" s="126"/>
      <c r="G402" s="127"/>
      <c r="H402" s="128"/>
    </row>
    <row r="403" spans="1:8" ht="13.5" hidden="1" thickTop="1" x14ac:dyDescent="0.2">
      <c r="A403" s="95"/>
      <c r="B403" s="95"/>
      <c r="C403" s="94"/>
      <c r="E403" s="98"/>
      <c r="F403" s="126"/>
      <c r="G403" s="127"/>
      <c r="H403" s="128"/>
    </row>
    <row r="404" spans="1:8" ht="13.5" hidden="1" thickTop="1" x14ac:dyDescent="0.2">
      <c r="A404" s="95"/>
      <c r="B404" s="95"/>
      <c r="C404" s="94"/>
      <c r="E404" s="98"/>
      <c r="F404" s="126"/>
      <c r="G404" s="127"/>
      <c r="H404" s="128"/>
    </row>
    <row r="405" spans="1:8" ht="13.5" hidden="1" thickTop="1" x14ac:dyDescent="0.2">
      <c r="A405" s="95"/>
      <c r="B405" s="95"/>
      <c r="C405" s="94"/>
      <c r="E405" s="98"/>
      <c r="F405" s="126"/>
      <c r="G405" s="127"/>
      <c r="H405" s="128"/>
    </row>
    <row r="406" spans="1:8" ht="13.5" hidden="1" thickTop="1" x14ac:dyDescent="0.2">
      <c r="A406" s="95"/>
      <c r="B406" s="95"/>
      <c r="C406" s="94"/>
      <c r="E406" s="98"/>
      <c r="F406" s="126"/>
      <c r="G406" s="127"/>
      <c r="H406" s="128"/>
    </row>
    <row r="407" spans="1:8" ht="13.5" hidden="1" thickTop="1" x14ac:dyDescent="0.2">
      <c r="A407" s="95"/>
      <c r="B407" s="95"/>
      <c r="C407" s="94"/>
      <c r="E407" s="98"/>
      <c r="F407" s="126"/>
      <c r="G407" s="127"/>
      <c r="H407" s="128"/>
    </row>
    <row r="408" spans="1:8" ht="13.5" hidden="1" thickTop="1" x14ac:dyDescent="0.2">
      <c r="A408" s="95"/>
      <c r="B408" s="95"/>
      <c r="C408" s="94"/>
      <c r="E408" s="98"/>
      <c r="F408" s="126"/>
      <c r="G408" s="127"/>
      <c r="H408" s="128"/>
    </row>
    <row r="409" spans="1:8" ht="13.5" hidden="1" thickTop="1" x14ac:dyDescent="0.2">
      <c r="A409" s="95"/>
      <c r="B409" s="95"/>
      <c r="C409" s="94"/>
      <c r="E409" s="98"/>
      <c r="F409" s="126"/>
      <c r="G409" s="127"/>
      <c r="H409" s="128"/>
    </row>
    <row r="410" spans="1:8" ht="13.5" hidden="1" thickTop="1" x14ac:dyDescent="0.2">
      <c r="A410" s="95"/>
      <c r="B410" s="95"/>
      <c r="C410" s="94"/>
      <c r="E410" s="98"/>
      <c r="F410" s="126"/>
      <c r="G410" s="127"/>
      <c r="H410" s="128"/>
    </row>
    <row r="411" spans="1:8" ht="13.5" hidden="1" thickTop="1" x14ac:dyDescent="0.2">
      <c r="A411" s="95"/>
      <c r="B411" s="95"/>
      <c r="C411" s="94"/>
      <c r="E411" s="98"/>
      <c r="F411" s="126"/>
      <c r="G411" s="127"/>
      <c r="H411" s="128"/>
    </row>
    <row r="412" spans="1:8" ht="13.5" hidden="1" thickTop="1" x14ac:dyDescent="0.2">
      <c r="A412" s="95"/>
      <c r="B412" s="95"/>
      <c r="C412" s="94"/>
      <c r="E412" s="98"/>
      <c r="F412" s="126"/>
      <c r="G412" s="127"/>
      <c r="H412" s="128"/>
    </row>
    <row r="413" spans="1:8" ht="13.5" hidden="1" thickTop="1" x14ac:dyDescent="0.2">
      <c r="A413" s="95"/>
      <c r="B413" s="95"/>
      <c r="C413" s="94"/>
      <c r="E413" s="98"/>
      <c r="F413" s="126"/>
      <c r="G413" s="127"/>
      <c r="H413" s="128"/>
    </row>
    <row r="414" spans="1:8" ht="13.5" hidden="1" thickTop="1" x14ac:dyDescent="0.2">
      <c r="A414" s="95"/>
      <c r="B414" s="95"/>
      <c r="C414" s="94"/>
      <c r="E414" s="98"/>
      <c r="F414" s="126"/>
      <c r="G414" s="127"/>
      <c r="H414" s="128"/>
    </row>
    <row r="415" spans="1:8" ht="13.5" hidden="1" thickTop="1" x14ac:dyDescent="0.2">
      <c r="A415" s="95"/>
      <c r="B415" s="95"/>
      <c r="C415" s="94"/>
      <c r="E415" s="98"/>
      <c r="F415" s="126"/>
      <c r="G415" s="127"/>
      <c r="H415" s="128"/>
    </row>
    <row r="416" spans="1:8" ht="13.5" hidden="1" thickTop="1" x14ac:dyDescent="0.2">
      <c r="A416" s="95"/>
      <c r="B416" s="95"/>
      <c r="C416" s="94"/>
      <c r="E416" s="98"/>
      <c r="F416" s="126"/>
      <c r="G416" s="127"/>
      <c r="H416" s="128"/>
    </row>
    <row r="417" spans="1:8" ht="13.5" hidden="1" thickTop="1" x14ac:dyDescent="0.2">
      <c r="A417" s="95"/>
      <c r="B417" s="95"/>
      <c r="C417" s="94"/>
      <c r="E417" s="98"/>
      <c r="F417" s="126"/>
      <c r="G417" s="127"/>
      <c r="H417" s="128"/>
    </row>
    <row r="418" spans="1:8" ht="13.5" hidden="1" thickTop="1" x14ac:dyDescent="0.2">
      <c r="A418" s="95"/>
      <c r="B418" s="95"/>
      <c r="C418" s="94"/>
      <c r="E418" s="98"/>
      <c r="F418" s="126"/>
      <c r="G418" s="127"/>
      <c r="H418" s="128"/>
    </row>
    <row r="419" spans="1:8" ht="13.5" hidden="1" thickTop="1" x14ac:dyDescent="0.2">
      <c r="A419" s="95"/>
      <c r="B419" s="95"/>
      <c r="C419" s="94"/>
      <c r="E419" s="98"/>
      <c r="F419" s="126"/>
      <c r="G419" s="127"/>
      <c r="H419" s="128"/>
    </row>
    <row r="420" spans="1:8" ht="13.5" hidden="1" thickTop="1" x14ac:dyDescent="0.2">
      <c r="A420" s="95"/>
      <c r="B420" s="95"/>
      <c r="C420" s="94"/>
      <c r="E420" s="98"/>
      <c r="F420" s="126"/>
      <c r="G420" s="127"/>
      <c r="H420" s="128"/>
    </row>
    <row r="421" spans="1:8" ht="13.5" hidden="1" thickTop="1" x14ac:dyDescent="0.2">
      <c r="A421" s="95"/>
      <c r="B421" s="95"/>
      <c r="C421" s="94"/>
      <c r="E421" s="98"/>
      <c r="F421" s="126"/>
      <c r="G421" s="127"/>
      <c r="H421" s="128"/>
    </row>
    <row r="422" spans="1:8" ht="13.5" hidden="1" thickTop="1" x14ac:dyDescent="0.2">
      <c r="A422" s="95"/>
      <c r="B422" s="95"/>
      <c r="C422" s="94"/>
      <c r="E422" s="98"/>
      <c r="F422" s="126"/>
      <c r="G422" s="127"/>
      <c r="H422" s="128"/>
    </row>
    <row r="423" spans="1:8" ht="13.5" hidden="1" thickTop="1" x14ac:dyDescent="0.2">
      <c r="A423" s="95"/>
      <c r="B423" s="95"/>
      <c r="C423" s="94"/>
      <c r="E423" s="98"/>
      <c r="F423" s="126"/>
      <c r="G423" s="127"/>
      <c r="H423" s="128"/>
    </row>
    <row r="424" spans="1:8" ht="13.5" hidden="1" thickTop="1" x14ac:dyDescent="0.2">
      <c r="A424" s="95"/>
      <c r="B424" s="95"/>
      <c r="C424" s="94"/>
      <c r="E424" s="98"/>
      <c r="F424" s="126"/>
      <c r="G424" s="127"/>
      <c r="H424" s="128"/>
    </row>
    <row r="425" spans="1:8" ht="13.5" hidden="1" thickTop="1" x14ac:dyDescent="0.2">
      <c r="A425" s="95"/>
      <c r="B425" s="95"/>
      <c r="C425" s="94"/>
      <c r="E425" s="98"/>
      <c r="F425" s="126"/>
      <c r="G425" s="127"/>
      <c r="H425" s="128"/>
    </row>
    <row r="426" spans="1:8" ht="13.5" hidden="1" thickTop="1" x14ac:dyDescent="0.2">
      <c r="A426" s="95"/>
      <c r="B426" s="95"/>
      <c r="C426" s="94"/>
      <c r="E426" s="98"/>
      <c r="F426" s="126"/>
      <c r="G426" s="127"/>
      <c r="H426" s="128"/>
    </row>
    <row r="427" spans="1:8" ht="13.5" hidden="1" thickTop="1" x14ac:dyDescent="0.2">
      <c r="A427" s="95"/>
      <c r="B427" s="95"/>
      <c r="C427" s="94"/>
      <c r="E427" s="98"/>
      <c r="F427" s="126"/>
      <c r="G427" s="127"/>
      <c r="H427" s="128"/>
    </row>
    <row r="428" spans="1:8" ht="13.5" hidden="1" thickTop="1" x14ac:dyDescent="0.2">
      <c r="A428" s="95"/>
      <c r="B428" s="95"/>
      <c r="C428" s="94"/>
      <c r="E428" s="98"/>
      <c r="F428" s="126"/>
      <c r="G428" s="127"/>
      <c r="H428" s="128"/>
    </row>
    <row r="429" spans="1:8" ht="13.5" hidden="1" thickTop="1" x14ac:dyDescent="0.2">
      <c r="A429" s="95"/>
      <c r="B429" s="95"/>
      <c r="C429" s="94"/>
      <c r="E429" s="98"/>
      <c r="F429" s="126"/>
      <c r="G429" s="127"/>
      <c r="H429" s="128"/>
    </row>
    <row r="430" spans="1:8" ht="13.5" hidden="1" thickTop="1" x14ac:dyDescent="0.2">
      <c r="A430" s="95"/>
      <c r="B430" s="95"/>
      <c r="C430" s="94"/>
      <c r="E430" s="98"/>
      <c r="F430" s="126"/>
      <c r="G430" s="127"/>
      <c r="H430" s="128"/>
    </row>
    <row r="431" spans="1:8" ht="13.5" hidden="1" thickTop="1" x14ac:dyDescent="0.2">
      <c r="A431" s="95"/>
      <c r="B431" s="95"/>
      <c r="C431" s="94"/>
      <c r="E431" s="98"/>
      <c r="F431" s="126"/>
      <c r="G431" s="127"/>
      <c r="H431" s="128"/>
    </row>
    <row r="432" spans="1:8" ht="13.5" hidden="1" thickTop="1" x14ac:dyDescent="0.2">
      <c r="A432" s="95"/>
      <c r="B432" s="95"/>
      <c r="C432" s="94"/>
      <c r="E432" s="98"/>
      <c r="F432" s="126"/>
      <c r="G432" s="127"/>
      <c r="H432" s="128"/>
    </row>
    <row r="433" spans="1:8" ht="13.5" hidden="1" thickTop="1" x14ac:dyDescent="0.2">
      <c r="A433" s="95"/>
      <c r="B433" s="95"/>
      <c r="C433" s="94"/>
      <c r="E433" s="98"/>
      <c r="F433" s="126"/>
      <c r="G433" s="127"/>
      <c r="H433" s="128"/>
    </row>
    <row r="434" spans="1:8" ht="13.5" hidden="1" thickTop="1" x14ac:dyDescent="0.2">
      <c r="A434" s="95"/>
      <c r="B434" s="95"/>
      <c r="C434" s="94"/>
      <c r="E434" s="98"/>
      <c r="F434" s="126"/>
      <c r="G434" s="127"/>
      <c r="H434" s="128"/>
    </row>
    <row r="435" spans="1:8" ht="13.5" hidden="1" thickTop="1" x14ac:dyDescent="0.2">
      <c r="A435" s="95"/>
      <c r="B435" s="95"/>
      <c r="C435" s="94"/>
      <c r="E435" s="98"/>
      <c r="F435" s="126"/>
      <c r="G435" s="127"/>
      <c r="H435" s="128"/>
    </row>
    <row r="436" spans="1:8" ht="13.5" hidden="1" thickTop="1" x14ac:dyDescent="0.2">
      <c r="A436" s="95"/>
      <c r="B436" s="95"/>
      <c r="C436" s="94"/>
      <c r="E436" s="98"/>
      <c r="F436" s="126"/>
      <c r="G436" s="127"/>
      <c r="H436" s="128"/>
    </row>
    <row r="437" spans="1:8" ht="13.5" hidden="1" thickTop="1" x14ac:dyDescent="0.2">
      <c r="A437" s="95"/>
      <c r="B437" s="95"/>
      <c r="C437" s="94"/>
      <c r="E437" s="98"/>
      <c r="F437" s="126"/>
      <c r="G437" s="127"/>
      <c r="H437" s="128"/>
    </row>
    <row r="438" spans="1:8" ht="13.5" hidden="1" thickTop="1" x14ac:dyDescent="0.2">
      <c r="A438" s="95"/>
      <c r="B438" s="95"/>
      <c r="C438" s="94"/>
      <c r="E438" s="98"/>
      <c r="F438" s="126"/>
      <c r="G438" s="127"/>
      <c r="H438" s="128"/>
    </row>
    <row r="439" spans="1:8" ht="13.5" hidden="1" thickTop="1" x14ac:dyDescent="0.2">
      <c r="A439" s="95"/>
      <c r="B439" s="95"/>
      <c r="C439" s="94"/>
      <c r="E439" s="98"/>
      <c r="F439" s="126"/>
      <c r="G439" s="127"/>
      <c r="H439" s="128"/>
    </row>
    <row r="440" spans="1:8" ht="13.5" hidden="1" thickTop="1" x14ac:dyDescent="0.2">
      <c r="A440" s="95"/>
      <c r="B440" s="95"/>
      <c r="C440" s="94"/>
      <c r="E440" s="98"/>
      <c r="F440" s="126"/>
      <c r="G440" s="127"/>
      <c r="H440" s="128"/>
    </row>
    <row r="441" spans="1:8" ht="13.5" hidden="1" thickTop="1" x14ac:dyDescent="0.2">
      <c r="A441" s="95"/>
      <c r="B441" s="95"/>
      <c r="C441" s="94"/>
      <c r="E441" s="98"/>
      <c r="F441" s="126"/>
      <c r="G441" s="127"/>
      <c r="H441" s="128"/>
    </row>
    <row r="442" spans="1:8" ht="13.5" hidden="1" thickTop="1" x14ac:dyDescent="0.2">
      <c r="A442" s="95"/>
      <c r="B442" s="95"/>
      <c r="C442" s="94"/>
      <c r="E442" s="98"/>
      <c r="F442" s="126"/>
      <c r="G442" s="127"/>
      <c r="H442" s="128"/>
    </row>
    <row r="443" spans="1:8" ht="13.5" hidden="1" thickTop="1" x14ac:dyDescent="0.2">
      <c r="A443" s="95"/>
      <c r="B443" s="95"/>
      <c r="C443" s="94"/>
      <c r="E443" s="98"/>
      <c r="F443" s="126"/>
      <c r="G443" s="127"/>
      <c r="H443" s="128"/>
    </row>
    <row r="444" spans="1:8" ht="13.5" hidden="1" thickTop="1" x14ac:dyDescent="0.2">
      <c r="A444" s="95"/>
      <c r="B444" s="95"/>
      <c r="C444" s="94"/>
      <c r="E444" s="98"/>
      <c r="F444" s="126"/>
      <c r="G444" s="127"/>
      <c r="H444" s="128"/>
    </row>
    <row r="445" spans="1:8" ht="13.5" hidden="1" thickTop="1" x14ac:dyDescent="0.2">
      <c r="A445" s="95"/>
      <c r="B445" s="95"/>
      <c r="C445" s="94"/>
      <c r="E445" s="98"/>
      <c r="F445" s="126"/>
      <c r="G445" s="127"/>
      <c r="H445" s="128"/>
    </row>
    <row r="446" spans="1:8" ht="13.5" hidden="1" thickTop="1" x14ac:dyDescent="0.2">
      <c r="A446" s="95"/>
      <c r="B446" s="95"/>
      <c r="C446" s="94"/>
      <c r="E446" s="98"/>
      <c r="F446" s="126"/>
      <c r="G446" s="127"/>
      <c r="H446" s="128"/>
    </row>
    <row r="447" spans="1:8" ht="13.5" hidden="1" thickTop="1" x14ac:dyDescent="0.2">
      <c r="A447" s="95"/>
      <c r="B447" s="95"/>
      <c r="C447" s="94"/>
      <c r="E447" s="98"/>
      <c r="F447" s="126"/>
      <c r="G447" s="127"/>
      <c r="H447" s="128"/>
    </row>
    <row r="448" spans="1:8" ht="13.5" hidden="1" thickTop="1" x14ac:dyDescent="0.2">
      <c r="A448" s="95"/>
      <c r="B448" s="95"/>
      <c r="C448" s="94"/>
      <c r="E448" s="98"/>
      <c r="F448" s="126"/>
      <c r="G448" s="127"/>
      <c r="H448" s="128"/>
    </row>
    <row r="449" spans="1:8" ht="13.5" hidden="1" thickTop="1" x14ac:dyDescent="0.2">
      <c r="A449" s="95"/>
      <c r="B449" s="95"/>
      <c r="C449" s="94"/>
      <c r="E449" s="98"/>
      <c r="F449" s="126"/>
      <c r="G449" s="127"/>
      <c r="H449" s="128"/>
    </row>
    <row r="450" spans="1:8" ht="13.5" hidden="1" thickTop="1" x14ac:dyDescent="0.2">
      <c r="A450" s="95"/>
      <c r="B450" s="95"/>
      <c r="C450" s="94"/>
      <c r="E450" s="98"/>
      <c r="F450" s="126"/>
      <c r="G450" s="127"/>
      <c r="H450" s="128"/>
    </row>
    <row r="451" spans="1:8" ht="13.5" hidden="1" thickTop="1" x14ac:dyDescent="0.2">
      <c r="A451" s="95"/>
      <c r="B451" s="95"/>
      <c r="C451" s="94"/>
      <c r="E451" s="98"/>
      <c r="F451" s="126"/>
      <c r="G451" s="127"/>
      <c r="H451" s="128"/>
    </row>
    <row r="452" spans="1:8" ht="13.5" hidden="1" thickTop="1" x14ac:dyDescent="0.2">
      <c r="A452" s="95"/>
      <c r="B452" s="95"/>
      <c r="C452" s="94"/>
      <c r="E452" s="98"/>
      <c r="F452" s="126"/>
      <c r="G452" s="127"/>
      <c r="H452" s="128"/>
    </row>
    <row r="453" spans="1:8" ht="13.5" hidden="1" thickTop="1" x14ac:dyDescent="0.2">
      <c r="A453" s="95"/>
      <c r="B453" s="95"/>
      <c r="C453" s="94"/>
      <c r="E453" s="98"/>
      <c r="F453" s="126"/>
      <c r="G453" s="127"/>
      <c r="H453" s="128"/>
    </row>
    <row r="454" spans="1:8" ht="13.5" hidden="1" thickTop="1" x14ac:dyDescent="0.2">
      <c r="A454" s="95"/>
      <c r="B454" s="95"/>
      <c r="C454" s="94"/>
      <c r="E454" s="98"/>
      <c r="F454" s="126"/>
      <c r="G454" s="127"/>
      <c r="H454" s="128"/>
    </row>
    <row r="455" spans="1:8" ht="13.5" hidden="1" thickTop="1" x14ac:dyDescent="0.2">
      <c r="A455" s="95"/>
      <c r="B455" s="95"/>
      <c r="C455" s="94"/>
      <c r="E455" s="98"/>
      <c r="F455" s="126"/>
      <c r="G455" s="127"/>
      <c r="H455" s="128"/>
    </row>
    <row r="456" spans="1:8" ht="13.5" hidden="1" thickTop="1" x14ac:dyDescent="0.2">
      <c r="A456" s="95"/>
      <c r="B456" s="95"/>
      <c r="C456" s="94"/>
      <c r="E456" s="98"/>
      <c r="F456" s="126"/>
      <c r="G456" s="127"/>
      <c r="H456" s="128"/>
    </row>
    <row r="457" spans="1:8" ht="13.5" hidden="1" thickTop="1" x14ac:dyDescent="0.2">
      <c r="A457" s="95"/>
      <c r="B457" s="95"/>
      <c r="C457" s="94"/>
      <c r="E457" s="98"/>
      <c r="F457" s="126"/>
      <c r="G457" s="127"/>
      <c r="H457" s="128"/>
    </row>
    <row r="458" spans="1:8" ht="13.5" hidden="1" thickTop="1" x14ac:dyDescent="0.2">
      <c r="A458" s="95"/>
      <c r="B458" s="95"/>
      <c r="C458" s="94"/>
      <c r="E458" s="98"/>
      <c r="F458" s="126"/>
      <c r="G458" s="127"/>
      <c r="H458" s="128"/>
    </row>
    <row r="459" spans="1:8" ht="13.5" hidden="1" thickTop="1" x14ac:dyDescent="0.2">
      <c r="A459" s="95"/>
      <c r="B459" s="95"/>
      <c r="C459" s="94"/>
      <c r="E459" s="98"/>
      <c r="F459" s="126"/>
      <c r="G459" s="127"/>
      <c r="H459" s="128"/>
    </row>
    <row r="460" spans="1:8" ht="13.5" hidden="1" thickTop="1" x14ac:dyDescent="0.2">
      <c r="A460" s="95"/>
      <c r="B460" s="95"/>
      <c r="C460" s="94"/>
      <c r="E460" s="98"/>
      <c r="F460" s="126"/>
      <c r="G460" s="127"/>
      <c r="H460" s="128"/>
    </row>
    <row r="461" spans="1:8" ht="13.5" hidden="1" thickTop="1" x14ac:dyDescent="0.2">
      <c r="A461" s="95"/>
      <c r="B461" s="95"/>
      <c r="C461" s="94"/>
      <c r="E461" s="98"/>
      <c r="F461" s="126"/>
      <c r="G461" s="127"/>
      <c r="H461" s="128"/>
    </row>
    <row r="462" spans="1:8" ht="13.5" hidden="1" thickTop="1" x14ac:dyDescent="0.2">
      <c r="A462" s="95"/>
      <c r="B462" s="95"/>
      <c r="C462" s="94"/>
      <c r="E462" s="98"/>
      <c r="F462" s="126"/>
      <c r="G462" s="127"/>
      <c r="H462" s="128"/>
    </row>
    <row r="463" spans="1:8" ht="13.5" hidden="1" thickTop="1" x14ac:dyDescent="0.2">
      <c r="A463" s="95"/>
      <c r="B463" s="95"/>
      <c r="C463" s="94"/>
      <c r="E463" s="98"/>
      <c r="F463" s="126"/>
      <c r="G463" s="127"/>
      <c r="H463" s="128"/>
    </row>
    <row r="464" spans="1:8" ht="13.5" hidden="1" thickTop="1" x14ac:dyDescent="0.2">
      <c r="A464" s="95"/>
      <c r="B464" s="95"/>
      <c r="C464" s="94"/>
      <c r="E464" s="98"/>
      <c r="F464" s="126"/>
      <c r="G464" s="127"/>
      <c r="H464" s="128"/>
    </row>
    <row r="465" spans="1:8" ht="13.5" hidden="1" thickTop="1" x14ac:dyDescent="0.2">
      <c r="A465" s="95"/>
      <c r="B465" s="95"/>
      <c r="C465" s="94"/>
      <c r="E465" s="98"/>
      <c r="F465" s="126"/>
      <c r="G465" s="127"/>
      <c r="H465" s="128"/>
    </row>
    <row r="466" spans="1:8" ht="13.5" hidden="1" thickTop="1" x14ac:dyDescent="0.2">
      <c r="A466" s="95"/>
      <c r="B466" s="95"/>
      <c r="C466" s="94"/>
      <c r="E466" s="98"/>
      <c r="F466" s="126"/>
      <c r="G466" s="127"/>
      <c r="H466" s="128"/>
    </row>
    <row r="467" spans="1:8" ht="13.5" hidden="1" thickTop="1" x14ac:dyDescent="0.2">
      <c r="A467" s="95"/>
      <c r="B467" s="95"/>
      <c r="C467" s="94"/>
      <c r="E467" s="98"/>
      <c r="F467" s="126"/>
      <c r="G467" s="127"/>
      <c r="H467" s="128"/>
    </row>
    <row r="468" spans="1:8" ht="13.5" hidden="1" thickTop="1" x14ac:dyDescent="0.2">
      <c r="A468" s="95"/>
      <c r="B468" s="95"/>
      <c r="C468" s="94"/>
      <c r="E468" s="98"/>
      <c r="F468" s="126"/>
      <c r="G468" s="127"/>
      <c r="H468" s="128"/>
    </row>
    <row r="469" spans="1:8" ht="13.5" hidden="1" thickTop="1" x14ac:dyDescent="0.2">
      <c r="A469" s="95"/>
      <c r="B469" s="95"/>
      <c r="C469" s="94"/>
      <c r="E469" s="98"/>
      <c r="F469" s="126"/>
      <c r="G469" s="127"/>
      <c r="H469" s="128"/>
    </row>
    <row r="470" spans="1:8" ht="13.5" hidden="1" thickTop="1" x14ac:dyDescent="0.2">
      <c r="A470" s="95"/>
      <c r="B470" s="95"/>
      <c r="C470" s="94"/>
      <c r="E470" s="98"/>
      <c r="F470" s="126"/>
      <c r="G470" s="127"/>
      <c r="H470" s="128"/>
    </row>
    <row r="471" spans="1:8" ht="13.5" hidden="1" thickTop="1" x14ac:dyDescent="0.2">
      <c r="A471" s="95"/>
      <c r="B471" s="95"/>
      <c r="C471" s="94"/>
      <c r="E471" s="98"/>
      <c r="F471" s="126"/>
      <c r="G471" s="127"/>
      <c r="H471" s="128"/>
    </row>
    <row r="472" spans="1:8" ht="13.5" hidden="1" thickTop="1" x14ac:dyDescent="0.2">
      <c r="A472" s="95"/>
      <c r="B472" s="95"/>
      <c r="C472" s="94"/>
      <c r="E472" s="98"/>
      <c r="F472" s="126"/>
      <c r="G472" s="127"/>
      <c r="H472" s="128"/>
    </row>
    <row r="473" spans="1:8" ht="13.5" hidden="1" thickTop="1" x14ac:dyDescent="0.2">
      <c r="A473" s="95"/>
      <c r="B473" s="95"/>
      <c r="C473" s="94"/>
      <c r="E473" s="98"/>
      <c r="F473" s="126"/>
      <c r="G473" s="127"/>
      <c r="H473" s="128"/>
    </row>
    <row r="474" spans="1:8" ht="13.5" hidden="1" thickTop="1" x14ac:dyDescent="0.2">
      <c r="A474" s="95"/>
      <c r="B474" s="95"/>
      <c r="C474" s="94"/>
      <c r="E474" s="98"/>
      <c r="F474" s="126"/>
      <c r="G474" s="127"/>
      <c r="H474" s="128"/>
    </row>
    <row r="475" spans="1:8" ht="13.5" hidden="1" thickTop="1" x14ac:dyDescent="0.2">
      <c r="A475" s="95"/>
      <c r="B475" s="95"/>
      <c r="C475" s="94"/>
      <c r="E475" s="98"/>
      <c r="F475" s="126"/>
      <c r="G475" s="127"/>
      <c r="H475" s="128"/>
    </row>
    <row r="476" spans="1:8" ht="13.5" hidden="1" thickTop="1" x14ac:dyDescent="0.2">
      <c r="A476" s="95"/>
      <c r="B476" s="95"/>
      <c r="C476" s="94"/>
      <c r="E476" s="98"/>
      <c r="F476" s="126"/>
      <c r="G476" s="127"/>
      <c r="H476" s="128"/>
    </row>
    <row r="477" spans="1:8" ht="13.5" hidden="1" thickTop="1" x14ac:dyDescent="0.2">
      <c r="A477" s="95"/>
      <c r="B477" s="95"/>
      <c r="C477" s="94"/>
      <c r="E477" s="98"/>
      <c r="F477" s="126"/>
      <c r="G477" s="127"/>
      <c r="H477" s="128"/>
    </row>
    <row r="478" spans="1:8" ht="13.5" hidden="1" thickTop="1" x14ac:dyDescent="0.2">
      <c r="A478" s="95"/>
      <c r="B478" s="95"/>
      <c r="C478" s="94"/>
      <c r="E478" s="98"/>
      <c r="F478" s="126"/>
      <c r="G478" s="127"/>
      <c r="H478" s="128"/>
    </row>
    <row r="479" spans="1:8" ht="13.5" hidden="1" thickTop="1" x14ac:dyDescent="0.2">
      <c r="A479" s="95"/>
      <c r="B479" s="95"/>
      <c r="C479" s="94"/>
      <c r="E479" s="98"/>
      <c r="F479" s="126"/>
      <c r="G479" s="127"/>
      <c r="H479" s="128"/>
    </row>
    <row r="480" spans="1:8" ht="13.5" hidden="1" thickTop="1" x14ac:dyDescent="0.2">
      <c r="A480" s="95"/>
      <c r="B480" s="95"/>
      <c r="C480" s="94"/>
      <c r="E480" s="98"/>
      <c r="F480" s="126"/>
      <c r="G480" s="127"/>
      <c r="H480" s="128"/>
    </row>
    <row r="481" spans="1:8" ht="13.5" hidden="1" thickTop="1" x14ac:dyDescent="0.2">
      <c r="A481" s="95"/>
      <c r="B481" s="95"/>
      <c r="C481" s="94"/>
      <c r="E481" s="98"/>
      <c r="F481" s="126"/>
      <c r="G481" s="127"/>
      <c r="H481" s="128"/>
    </row>
    <row r="482" spans="1:8" ht="13.5" hidden="1" thickTop="1" x14ac:dyDescent="0.2">
      <c r="A482" s="95"/>
      <c r="B482" s="95"/>
      <c r="C482" s="94"/>
      <c r="E482" s="98"/>
      <c r="F482" s="126"/>
      <c r="G482" s="127"/>
      <c r="H482" s="128"/>
    </row>
    <row r="483" spans="1:8" ht="13.5" hidden="1" thickTop="1" x14ac:dyDescent="0.2">
      <c r="A483" s="95"/>
      <c r="B483" s="95"/>
      <c r="C483" s="94"/>
      <c r="E483" s="98"/>
      <c r="F483" s="126"/>
      <c r="G483" s="127"/>
      <c r="H483" s="128"/>
    </row>
    <row r="484" spans="1:8" ht="13.5" hidden="1" thickTop="1" x14ac:dyDescent="0.2">
      <c r="A484" s="95"/>
      <c r="B484" s="95"/>
      <c r="C484" s="94"/>
      <c r="E484" s="98"/>
      <c r="F484" s="126"/>
      <c r="G484" s="127"/>
      <c r="H484" s="128"/>
    </row>
    <row r="485" spans="1:8" ht="13.5" hidden="1" thickTop="1" x14ac:dyDescent="0.2">
      <c r="A485" s="95"/>
      <c r="B485" s="95"/>
      <c r="C485" s="94"/>
      <c r="E485" s="98"/>
      <c r="F485" s="126"/>
      <c r="G485" s="127"/>
      <c r="H485" s="128"/>
    </row>
    <row r="486" spans="1:8" ht="13.5" hidden="1" thickTop="1" x14ac:dyDescent="0.2">
      <c r="A486" s="95"/>
      <c r="B486" s="95"/>
      <c r="C486" s="94"/>
      <c r="E486" s="98"/>
      <c r="F486" s="126"/>
      <c r="G486" s="127"/>
      <c r="H486" s="128"/>
    </row>
    <row r="487" spans="1:8" ht="13.5" hidden="1" thickTop="1" x14ac:dyDescent="0.2">
      <c r="A487" s="95"/>
      <c r="B487" s="95"/>
      <c r="C487" s="94"/>
      <c r="E487" s="98"/>
      <c r="F487" s="126"/>
      <c r="G487" s="127"/>
      <c r="H487" s="128"/>
    </row>
    <row r="488" spans="1:8" ht="13.5" hidden="1" thickTop="1" x14ac:dyDescent="0.2">
      <c r="A488" s="95"/>
      <c r="B488" s="95"/>
      <c r="C488" s="94"/>
      <c r="E488" s="98"/>
      <c r="F488" s="126"/>
      <c r="G488" s="127"/>
      <c r="H488" s="128"/>
    </row>
    <row r="489" spans="1:8" ht="13.5" hidden="1" thickTop="1" x14ac:dyDescent="0.2">
      <c r="A489" s="95"/>
      <c r="B489" s="95"/>
      <c r="C489" s="94"/>
      <c r="E489" s="98"/>
      <c r="F489" s="126"/>
      <c r="G489" s="127"/>
      <c r="H489" s="128"/>
    </row>
    <row r="490" spans="1:8" ht="13.5" hidden="1" thickTop="1" x14ac:dyDescent="0.2">
      <c r="A490" s="95"/>
      <c r="B490" s="95"/>
      <c r="C490" s="94"/>
      <c r="E490" s="98"/>
      <c r="F490" s="126"/>
      <c r="G490" s="127"/>
      <c r="H490" s="128"/>
    </row>
    <row r="491" spans="1:8" ht="13.5" hidden="1" thickTop="1" x14ac:dyDescent="0.2">
      <c r="A491" s="95"/>
      <c r="B491" s="95"/>
      <c r="C491" s="94"/>
      <c r="E491" s="98"/>
      <c r="F491" s="126"/>
      <c r="G491" s="127"/>
      <c r="H491" s="128"/>
    </row>
    <row r="492" spans="1:8" ht="13.5" hidden="1" thickTop="1" x14ac:dyDescent="0.2">
      <c r="A492" s="95"/>
      <c r="B492" s="95"/>
      <c r="C492" s="94"/>
      <c r="E492" s="98"/>
      <c r="F492" s="126"/>
      <c r="G492" s="127"/>
      <c r="H492" s="128"/>
    </row>
    <row r="493" spans="1:8" ht="13.5" hidden="1" thickTop="1" x14ac:dyDescent="0.2">
      <c r="A493" s="95"/>
      <c r="B493" s="95"/>
      <c r="C493" s="94"/>
      <c r="E493" s="98"/>
      <c r="F493" s="126"/>
      <c r="G493" s="127"/>
      <c r="H493" s="128"/>
    </row>
    <row r="494" spans="1:8" ht="13.5" hidden="1" thickTop="1" x14ac:dyDescent="0.2">
      <c r="A494" s="95"/>
      <c r="B494" s="95"/>
      <c r="C494" s="94"/>
      <c r="E494" s="98"/>
      <c r="F494" s="126"/>
      <c r="G494" s="127"/>
      <c r="H494" s="128"/>
    </row>
    <row r="495" spans="1:8" ht="13.5" hidden="1" thickTop="1" x14ac:dyDescent="0.2">
      <c r="A495" s="95"/>
      <c r="B495" s="95"/>
      <c r="C495" s="94"/>
      <c r="E495" s="98"/>
      <c r="F495" s="126"/>
      <c r="G495" s="127"/>
      <c r="H495" s="128"/>
    </row>
    <row r="496" spans="1:8" ht="13.5" hidden="1" thickTop="1" x14ac:dyDescent="0.2">
      <c r="A496" s="95"/>
      <c r="B496" s="95"/>
      <c r="C496" s="94"/>
      <c r="E496" s="98"/>
      <c r="F496" s="126"/>
      <c r="G496" s="127"/>
      <c r="H496" s="128"/>
    </row>
    <row r="497" spans="1:8" ht="13.5" hidden="1" thickTop="1" x14ac:dyDescent="0.2">
      <c r="A497" s="95"/>
      <c r="B497" s="95"/>
      <c r="C497" s="94"/>
      <c r="E497" s="98"/>
      <c r="F497" s="126"/>
      <c r="G497" s="127"/>
      <c r="H497" s="128"/>
    </row>
    <row r="498" spans="1:8" ht="13.5" hidden="1" thickTop="1" x14ac:dyDescent="0.2">
      <c r="A498" s="95"/>
      <c r="B498" s="95"/>
      <c r="C498" s="94"/>
      <c r="E498" s="98"/>
      <c r="F498" s="126"/>
      <c r="G498" s="127"/>
      <c r="H498" s="128"/>
    </row>
    <row r="499" spans="1:8" ht="13.5" hidden="1" thickTop="1" x14ac:dyDescent="0.2">
      <c r="A499" s="95"/>
      <c r="B499" s="95"/>
      <c r="C499" s="94"/>
      <c r="E499" s="98"/>
      <c r="F499" s="126"/>
      <c r="G499" s="127"/>
      <c r="H499" s="128"/>
    </row>
    <row r="500" spans="1:8" ht="13.5" hidden="1" thickTop="1" x14ac:dyDescent="0.2">
      <c r="A500" s="95"/>
      <c r="B500" s="95"/>
      <c r="C500" s="94"/>
      <c r="E500" s="98"/>
      <c r="F500" s="126"/>
      <c r="G500" s="127"/>
      <c r="H500" s="128"/>
    </row>
    <row r="501" spans="1:8" ht="13.5" hidden="1" thickTop="1" x14ac:dyDescent="0.2">
      <c r="A501" s="95"/>
      <c r="B501" s="95"/>
      <c r="C501" s="94"/>
      <c r="E501" s="98"/>
      <c r="F501" s="126"/>
      <c r="G501" s="127"/>
      <c r="H501" s="128"/>
    </row>
    <row r="502" spans="1:8" ht="13.5" hidden="1" thickTop="1" x14ac:dyDescent="0.2">
      <c r="A502" s="95"/>
      <c r="B502" s="95"/>
      <c r="C502" s="94"/>
      <c r="E502" s="98"/>
      <c r="F502" s="126"/>
      <c r="G502" s="127"/>
      <c r="H502" s="128"/>
    </row>
    <row r="503" spans="1:8" ht="13.5" hidden="1" thickTop="1" x14ac:dyDescent="0.2">
      <c r="A503" s="95"/>
      <c r="B503" s="95"/>
      <c r="C503" s="94"/>
      <c r="E503" s="98"/>
      <c r="F503" s="126"/>
      <c r="G503" s="127"/>
      <c r="H503" s="128"/>
    </row>
    <row r="504" spans="1:8" ht="13.5" hidden="1" thickTop="1" x14ac:dyDescent="0.2">
      <c r="A504" s="95"/>
      <c r="B504" s="95"/>
      <c r="C504" s="94"/>
      <c r="E504" s="98"/>
      <c r="F504" s="126"/>
      <c r="G504" s="127"/>
      <c r="H504" s="128"/>
    </row>
    <row r="505" spans="1:8" ht="13.5" hidden="1" thickTop="1" x14ac:dyDescent="0.2">
      <c r="A505" s="95"/>
      <c r="B505" s="95"/>
      <c r="C505" s="94"/>
      <c r="E505" s="98"/>
      <c r="F505" s="126"/>
      <c r="G505" s="127"/>
      <c r="H505" s="128"/>
    </row>
    <row r="506" spans="1:8" ht="13.5" hidden="1" thickTop="1" x14ac:dyDescent="0.2">
      <c r="A506" s="95"/>
      <c r="B506" s="95"/>
      <c r="C506" s="94"/>
      <c r="E506" s="98"/>
      <c r="F506" s="126"/>
      <c r="G506" s="127"/>
      <c r="H506" s="128"/>
    </row>
    <row r="507" spans="1:8" ht="13.5" hidden="1" thickTop="1" x14ac:dyDescent="0.2">
      <c r="A507" s="95"/>
      <c r="B507" s="95"/>
      <c r="C507" s="94"/>
      <c r="E507" s="98"/>
      <c r="F507" s="126"/>
      <c r="G507" s="127"/>
      <c r="H507" s="128"/>
    </row>
    <row r="508" spans="1:8" ht="13.5" hidden="1" thickTop="1" x14ac:dyDescent="0.2">
      <c r="A508" s="95"/>
      <c r="B508" s="95"/>
      <c r="C508" s="94"/>
      <c r="E508" s="98"/>
      <c r="F508" s="126"/>
      <c r="G508" s="127"/>
      <c r="H508" s="128"/>
    </row>
    <row r="509" spans="1:8" ht="13.5" hidden="1" thickTop="1" x14ac:dyDescent="0.2">
      <c r="A509" s="95"/>
      <c r="B509" s="95"/>
      <c r="C509" s="94"/>
      <c r="E509" s="98"/>
      <c r="F509" s="126"/>
      <c r="G509" s="127"/>
      <c r="H509" s="128"/>
    </row>
    <row r="510" spans="1:8" ht="13.5" hidden="1" thickTop="1" x14ac:dyDescent="0.2">
      <c r="A510" s="95"/>
      <c r="B510" s="95"/>
      <c r="C510" s="94"/>
      <c r="E510" s="98"/>
      <c r="F510" s="126"/>
      <c r="G510" s="127"/>
      <c r="H510" s="128"/>
    </row>
    <row r="511" spans="1:8" ht="13.5" hidden="1" thickTop="1" x14ac:dyDescent="0.2">
      <c r="A511" s="95"/>
      <c r="B511" s="95"/>
      <c r="C511" s="94"/>
      <c r="E511" s="98"/>
      <c r="F511" s="126"/>
      <c r="G511" s="127"/>
      <c r="H511" s="128"/>
    </row>
    <row r="512" spans="1:8" ht="13.5" hidden="1" thickTop="1" x14ac:dyDescent="0.2">
      <c r="A512" s="95"/>
      <c r="B512" s="95"/>
      <c r="C512" s="94"/>
      <c r="E512" s="98"/>
      <c r="F512" s="126"/>
      <c r="G512" s="127"/>
      <c r="H512" s="128"/>
    </row>
    <row r="513" spans="1:8" ht="13.5" hidden="1" thickTop="1" x14ac:dyDescent="0.2">
      <c r="A513" s="95"/>
      <c r="B513" s="95"/>
      <c r="C513" s="94"/>
      <c r="E513" s="98"/>
      <c r="F513" s="126"/>
      <c r="G513" s="127"/>
      <c r="H513" s="128"/>
    </row>
    <row r="514" spans="1:8" ht="13.5" hidden="1" thickTop="1" x14ac:dyDescent="0.2">
      <c r="A514" s="95"/>
      <c r="B514" s="95"/>
      <c r="C514" s="94"/>
      <c r="E514" s="98"/>
      <c r="F514" s="126"/>
      <c r="G514" s="127"/>
      <c r="H514" s="128"/>
    </row>
    <row r="515" spans="1:8" ht="13.5" hidden="1" thickTop="1" x14ac:dyDescent="0.2">
      <c r="A515" s="95"/>
      <c r="B515" s="95"/>
      <c r="C515" s="94"/>
      <c r="E515" s="98"/>
      <c r="F515" s="126"/>
      <c r="G515" s="127"/>
      <c r="H515" s="128"/>
    </row>
    <row r="516" spans="1:8" ht="13.5" hidden="1" thickTop="1" x14ac:dyDescent="0.2">
      <c r="A516" s="95"/>
      <c r="B516" s="95"/>
      <c r="C516" s="94"/>
      <c r="E516" s="98"/>
      <c r="F516" s="126"/>
      <c r="G516" s="127"/>
      <c r="H516" s="128"/>
    </row>
    <row r="517" spans="1:8" ht="13.5" hidden="1" thickTop="1" x14ac:dyDescent="0.2">
      <c r="A517" s="95"/>
      <c r="B517" s="95"/>
      <c r="C517" s="94"/>
      <c r="E517" s="98"/>
      <c r="F517" s="126"/>
      <c r="G517" s="127"/>
      <c r="H517" s="128"/>
    </row>
    <row r="518" spans="1:8" ht="13.5" hidden="1" thickTop="1" x14ac:dyDescent="0.2">
      <c r="A518" s="95"/>
      <c r="B518" s="95"/>
      <c r="C518" s="94"/>
      <c r="E518" s="98"/>
      <c r="F518" s="126"/>
      <c r="G518" s="127"/>
      <c r="H518" s="128"/>
    </row>
    <row r="519" spans="1:8" ht="13.5" hidden="1" thickTop="1" x14ac:dyDescent="0.2">
      <c r="A519" s="95"/>
      <c r="B519" s="95"/>
      <c r="C519" s="94"/>
      <c r="E519" s="98"/>
      <c r="F519" s="126"/>
      <c r="G519" s="127"/>
      <c r="H519" s="128"/>
    </row>
    <row r="520" spans="1:8" ht="13.5" hidden="1" thickTop="1" x14ac:dyDescent="0.2">
      <c r="A520" s="95"/>
      <c r="B520" s="95"/>
      <c r="C520" s="94"/>
      <c r="E520" s="98"/>
      <c r="F520" s="126"/>
      <c r="G520" s="127"/>
      <c r="H520" s="128"/>
    </row>
    <row r="521" spans="1:8" ht="13.5" hidden="1" thickTop="1" x14ac:dyDescent="0.2">
      <c r="A521" s="95"/>
      <c r="B521" s="95"/>
      <c r="C521" s="94"/>
      <c r="E521" s="98"/>
      <c r="F521" s="126"/>
      <c r="G521" s="127"/>
      <c r="H521" s="128"/>
    </row>
    <row r="522" spans="1:8" ht="13.5" hidden="1" thickTop="1" x14ac:dyDescent="0.2">
      <c r="A522" s="95"/>
      <c r="B522" s="95"/>
      <c r="C522" s="94"/>
      <c r="E522" s="98"/>
      <c r="F522" s="126"/>
      <c r="G522" s="127"/>
      <c r="H522" s="128"/>
    </row>
    <row r="523" spans="1:8" ht="13.5" hidden="1" thickTop="1" x14ac:dyDescent="0.2">
      <c r="A523" s="95"/>
      <c r="B523" s="95"/>
      <c r="C523" s="94"/>
      <c r="E523" s="98"/>
      <c r="F523" s="126"/>
      <c r="G523" s="127"/>
      <c r="H523" s="128"/>
    </row>
    <row r="524" spans="1:8" ht="13.5" hidden="1" thickTop="1" x14ac:dyDescent="0.2">
      <c r="A524" s="95"/>
      <c r="B524" s="95"/>
      <c r="C524" s="94"/>
      <c r="E524" s="98"/>
      <c r="F524" s="126"/>
      <c r="G524" s="127"/>
      <c r="H524" s="128"/>
    </row>
    <row r="525" spans="1:8" ht="13.5" hidden="1" thickTop="1" x14ac:dyDescent="0.2">
      <c r="A525" s="95"/>
      <c r="B525" s="95"/>
      <c r="C525" s="94"/>
      <c r="E525" s="98"/>
      <c r="F525" s="126"/>
      <c r="G525" s="127"/>
      <c r="H525" s="128"/>
    </row>
    <row r="526" spans="1:8" ht="13.5" hidden="1" thickTop="1" x14ac:dyDescent="0.2">
      <c r="A526" s="95"/>
      <c r="B526" s="95"/>
      <c r="C526" s="94"/>
      <c r="E526" s="98"/>
      <c r="F526" s="126"/>
      <c r="G526" s="127"/>
      <c r="H526" s="128"/>
    </row>
    <row r="527" spans="1:8" ht="13.5" hidden="1" thickTop="1" x14ac:dyDescent="0.2">
      <c r="A527" s="95"/>
      <c r="B527" s="95"/>
      <c r="C527" s="94"/>
      <c r="E527" s="98"/>
      <c r="F527" s="126"/>
      <c r="G527" s="127"/>
      <c r="H527" s="128"/>
    </row>
    <row r="528" spans="1:8" ht="13.5" hidden="1" thickTop="1" x14ac:dyDescent="0.2">
      <c r="A528" s="95"/>
      <c r="B528" s="95"/>
      <c r="C528" s="94"/>
      <c r="E528" s="98"/>
      <c r="F528" s="126"/>
      <c r="G528" s="127"/>
      <c r="H528" s="128"/>
    </row>
    <row r="529" spans="1:8" ht="13.5" hidden="1" thickTop="1" x14ac:dyDescent="0.2">
      <c r="A529" s="95"/>
      <c r="B529" s="95"/>
      <c r="C529" s="94"/>
      <c r="E529" s="98"/>
      <c r="F529" s="126"/>
      <c r="G529" s="127"/>
      <c r="H529" s="128"/>
    </row>
    <row r="530" spans="1:8" ht="13.5" hidden="1" thickTop="1" x14ac:dyDescent="0.2">
      <c r="A530" s="95"/>
      <c r="B530" s="95"/>
      <c r="C530" s="94"/>
      <c r="E530" s="98"/>
      <c r="F530" s="126"/>
      <c r="G530" s="127"/>
      <c r="H530" s="128"/>
    </row>
    <row r="531" spans="1:8" ht="13.5" hidden="1" thickTop="1" x14ac:dyDescent="0.2">
      <c r="A531" s="95"/>
      <c r="B531" s="95"/>
      <c r="C531" s="94"/>
      <c r="E531" s="98"/>
      <c r="F531" s="126"/>
      <c r="G531" s="127"/>
      <c r="H531" s="128"/>
    </row>
    <row r="532" spans="1:8" ht="13.5" hidden="1" thickTop="1" x14ac:dyDescent="0.2">
      <c r="A532" s="95"/>
      <c r="B532" s="95"/>
      <c r="C532" s="94"/>
      <c r="E532" s="98"/>
      <c r="F532" s="126"/>
      <c r="G532" s="127"/>
      <c r="H532" s="128"/>
    </row>
    <row r="533" spans="1:8" ht="13.5" hidden="1" thickTop="1" x14ac:dyDescent="0.2">
      <c r="A533" s="95"/>
      <c r="B533" s="95"/>
      <c r="C533" s="94"/>
      <c r="E533" s="98"/>
      <c r="F533" s="126"/>
      <c r="G533" s="127"/>
      <c r="H533" s="128"/>
    </row>
    <row r="534" spans="1:8" ht="13.5" hidden="1" thickTop="1" x14ac:dyDescent="0.2">
      <c r="A534" s="95"/>
      <c r="B534" s="95"/>
      <c r="C534" s="94"/>
      <c r="E534" s="98"/>
      <c r="F534" s="126"/>
      <c r="G534" s="127"/>
      <c r="H534" s="128"/>
    </row>
    <row r="535" spans="1:8" ht="13.5" hidden="1" thickTop="1" x14ac:dyDescent="0.2">
      <c r="A535" s="95"/>
      <c r="B535" s="95"/>
      <c r="C535" s="94"/>
      <c r="E535" s="98"/>
      <c r="F535" s="126"/>
      <c r="G535" s="127"/>
      <c r="H535" s="128"/>
    </row>
    <row r="536" spans="1:8" ht="13.5" hidden="1" thickTop="1" x14ac:dyDescent="0.2">
      <c r="A536" s="95"/>
      <c r="B536" s="95"/>
      <c r="C536" s="94"/>
      <c r="E536" s="98"/>
      <c r="F536" s="126"/>
      <c r="G536" s="127"/>
      <c r="H536" s="128"/>
    </row>
    <row r="537" spans="1:8" ht="13.5" hidden="1" thickTop="1" x14ac:dyDescent="0.2">
      <c r="A537" s="95"/>
      <c r="B537" s="95"/>
      <c r="C537" s="94"/>
      <c r="E537" s="98"/>
      <c r="F537" s="126"/>
      <c r="G537" s="127"/>
      <c r="H537" s="128"/>
    </row>
    <row r="538" spans="1:8" ht="13.5" hidden="1" thickTop="1" x14ac:dyDescent="0.2">
      <c r="A538" s="95"/>
      <c r="B538" s="95"/>
      <c r="C538" s="94"/>
      <c r="E538" s="98"/>
      <c r="F538" s="126"/>
      <c r="G538" s="127"/>
      <c r="H538" s="128"/>
    </row>
    <row r="539" spans="1:8" ht="13.5" hidden="1" thickTop="1" x14ac:dyDescent="0.2">
      <c r="A539" s="95"/>
      <c r="B539" s="95"/>
      <c r="C539" s="94"/>
      <c r="E539" s="98"/>
      <c r="F539" s="126"/>
      <c r="G539" s="127"/>
      <c r="H539" s="128"/>
    </row>
    <row r="540" spans="1:8" ht="13.5" hidden="1" thickTop="1" x14ac:dyDescent="0.2">
      <c r="A540" s="95"/>
      <c r="B540" s="95"/>
      <c r="C540" s="94"/>
      <c r="E540" s="98"/>
      <c r="F540" s="126"/>
      <c r="G540" s="127"/>
      <c r="H540" s="128"/>
    </row>
    <row r="541" spans="1:8" ht="13.5" hidden="1" thickTop="1" x14ac:dyDescent="0.2">
      <c r="A541" s="95"/>
      <c r="B541" s="95"/>
      <c r="C541" s="94"/>
      <c r="E541" s="98"/>
      <c r="F541" s="126"/>
      <c r="G541" s="127"/>
      <c r="H541" s="128"/>
    </row>
    <row r="542" spans="1:8" ht="13.5" hidden="1" thickTop="1" x14ac:dyDescent="0.2">
      <c r="A542" s="95"/>
      <c r="B542" s="95"/>
      <c r="C542" s="94"/>
      <c r="E542" s="98"/>
      <c r="F542" s="126"/>
      <c r="G542" s="127"/>
      <c r="H542" s="128"/>
    </row>
    <row r="543" spans="1:8" ht="13.5" hidden="1" thickTop="1" x14ac:dyDescent="0.2">
      <c r="A543" s="95"/>
      <c r="B543" s="95"/>
      <c r="C543" s="94"/>
      <c r="E543" s="98"/>
      <c r="F543" s="126"/>
      <c r="G543" s="127"/>
      <c r="H543" s="128"/>
    </row>
    <row r="544" spans="1:8" ht="13.5" hidden="1" thickTop="1" x14ac:dyDescent="0.2">
      <c r="A544" s="95"/>
      <c r="B544" s="95"/>
      <c r="C544" s="94"/>
      <c r="E544" s="98"/>
      <c r="F544" s="126"/>
      <c r="G544" s="127"/>
      <c r="H544" s="128"/>
    </row>
    <row r="545" spans="1:8" ht="13.5" hidden="1" thickTop="1" x14ac:dyDescent="0.2">
      <c r="A545" s="95"/>
      <c r="B545" s="95"/>
      <c r="C545" s="94"/>
      <c r="E545" s="98"/>
      <c r="F545" s="126"/>
      <c r="G545" s="127"/>
      <c r="H545" s="128"/>
    </row>
    <row r="546" spans="1:8" ht="13.5" hidden="1" thickTop="1" x14ac:dyDescent="0.2">
      <c r="A546" s="95"/>
      <c r="B546" s="95"/>
      <c r="C546" s="94"/>
      <c r="E546" s="98"/>
      <c r="F546" s="126"/>
      <c r="G546" s="127"/>
      <c r="H546" s="128"/>
    </row>
    <row r="547" spans="1:8" ht="13.5" hidden="1" thickTop="1" x14ac:dyDescent="0.2">
      <c r="A547" s="95"/>
      <c r="B547" s="95"/>
      <c r="C547" s="94"/>
      <c r="E547" s="98"/>
      <c r="F547" s="126"/>
      <c r="G547" s="127"/>
      <c r="H547" s="128"/>
    </row>
    <row r="548" spans="1:8" ht="13.5" hidden="1" thickTop="1" x14ac:dyDescent="0.2">
      <c r="A548" s="95"/>
      <c r="B548" s="95"/>
      <c r="C548" s="94"/>
      <c r="E548" s="98"/>
      <c r="F548" s="126"/>
      <c r="G548" s="127"/>
      <c r="H548" s="128"/>
    </row>
    <row r="549" spans="1:8" ht="13.5" hidden="1" thickTop="1" x14ac:dyDescent="0.2">
      <c r="A549" s="95"/>
      <c r="B549" s="95"/>
      <c r="C549" s="94"/>
      <c r="E549" s="98"/>
      <c r="F549" s="126"/>
      <c r="G549" s="127"/>
      <c r="H549" s="128"/>
    </row>
    <row r="550" spans="1:8" ht="13.5" hidden="1" thickTop="1" x14ac:dyDescent="0.2">
      <c r="A550" s="95"/>
      <c r="B550" s="95"/>
      <c r="C550" s="94"/>
      <c r="E550" s="98"/>
      <c r="F550" s="126"/>
      <c r="G550" s="127"/>
      <c r="H550" s="128"/>
    </row>
    <row r="551" spans="1:8" ht="13.5" hidden="1" thickTop="1" x14ac:dyDescent="0.2">
      <c r="A551" s="95"/>
      <c r="B551" s="95"/>
      <c r="C551" s="94"/>
      <c r="E551" s="98"/>
      <c r="F551" s="126"/>
      <c r="G551" s="127"/>
      <c r="H551" s="128"/>
    </row>
    <row r="552" spans="1:8" ht="13.5" hidden="1" thickTop="1" x14ac:dyDescent="0.2">
      <c r="A552" s="95"/>
      <c r="B552" s="95"/>
      <c r="C552" s="94"/>
      <c r="E552" s="98"/>
      <c r="F552" s="126"/>
      <c r="G552" s="127"/>
      <c r="H552" s="128"/>
    </row>
    <row r="553" spans="1:8" ht="13.5" hidden="1" thickTop="1" x14ac:dyDescent="0.2">
      <c r="A553" s="95"/>
      <c r="B553" s="95"/>
      <c r="C553" s="94"/>
      <c r="E553" s="98"/>
      <c r="F553" s="126"/>
      <c r="G553" s="127"/>
      <c r="H553" s="128"/>
    </row>
    <row r="554" spans="1:8" ht="13.5" hidden="1" thickTop="1" x14ac:dyDescent="0.2">
      <c r="A554" s="95"/>
      <c r="B554" s="95"/>
      <c r="C554" s="94"/>
      <c r="E554" s="98"/>
      <c r="F554" s="126"/>
      <c r="G554" s="127"/>
      <c r="H554" s="128"/>
    </row>
    <row r="555" spans="1:8" ht="13.5" hidden="1" thickTop="1" x14ac:dyDescent="0.2">
      <c r="A555" s="95"/>
      <c r="B555" s="95"/>
      <c r="C555" s="94"/>
      <c r="E555" s="98"/>
      <c r="F555" s="126"/>
      <c r="G555" s="127"/>
      <c r="H555" s="128"/>
    </row>
    <row r="556" spans="1:8" ht="13.5" hidden="1" thickTop="1" x14ac:dyDescent="0.2">
      <c r="A556" s="95"/>
      <c r="B556" s="95"/>
      <c r="C556" s="94"/>
      <c r="E556" s="98"/>
      <c r="F556" s="126"/>
      <c r="G556" s="127"/>
      <c r="H556" s="128"/>
    </row>
    <row r="557" spans="1:8" ht="13.5" hidden="1" thickTop="1" x14ac:dyDescent="0.2">
      <c r="A557" s="95"/>
      <c r="B557" s="95"/>
      <c r="C557" s="94"/>
      <c r="E557" s="98"/>
      <c r="F557" s="126"/>
      <c r="G557" s="127"/>
      <c r="H557" s="128"/>
    </row>
    <row r="558" spans="1:8" ht="13.5" hidden="1" thickTop="1" x14ac:dyDescent="0.2">
      <c r="A558" s="95"/>
      <c r="B558" s="95"/>
      <c r="C558" s="94"/>
      <c r="E558" s="98"/>
      <c r="F558" s="126"/>
      <c r="G558" s="127"/>
      <c r="H558" s="128"/>
    </row>
    <row r="559" spans="1:8" ht="13.5" hidden="1" thickTop="1" x14ac:dyDescent="0.2">
      <c r="A559" s="95"/>
      <c r="B559" s="95"/>
      <c r="C559" s="94"/>
      <c r="E559" s="98"/>
      <c r="F559" s="126"/>
      <c r="G559" s="127"/>
      <c r="H559" s="128"/>
    </row>
    <row r="560" spans="1:8" ht="13.5" hidden="1" thickTop="1" x14ac:dyDescent="0.2">
      <c r="A560" s="95"/>
      <c r="B560" s="95"/>
      <c r="C560" s="94"/>
      <c r="E560" s="98"/>
      <c r="F560" s="126"/>
      <c r="G560" s="127"/>
      <c r="H560" s="128"/>
    </row>
    <row r="561" spans="1:8" ht="13.5" hidden="1" thickTop="1" x14ac:dyDescent="0.2">
      <c r="A561" s="95"/>
      <c r="B561" s="95"/>
      <c r="C561" s="94"/>
      <c r="E561" s="98"/>
      <c r="F561" s="126"/>
      <c r="G561" s="127"/>
      <c r="H561" s="128"/>
    </row>
    <row r="562" spans="1:8" ht="13.5" hidden="1" thickTop="1" x14ac:dyDescent="0.2">
      <c r="A562" s="95"/>
      <c r="B562" s="95"/>
      <c r="C562" s="94"/>
      <c r="E562" s="98"/>
      <c r="F562" s="126"/>
      <c r="G562" s="127"/>
      <c r="H562" s="128"/>
    </row>
    <row r="563" spans="1:8" ht="13.5" hidden="1" thickTop="1" x14ac:dyDescent="0.2">
      <c r="A563" s="95"/>
      <c r="B563" s="95"/>
      <c r="C563" s="94"/>
      <c r="E563" s="98"/>
      <c r="F563" s="126"/>
      <c r="G563" s="127"/>
      <c r="H563" s="128"/>
    </row>
    <row r="564" spans="1:8" ht="13.5" hidden="1" thickTop="1" x14ac:dyDescent="0.2">
      <c r="A564" s="95"/>
      <c r="B564" s="95"/>
      <c r="C564" s="94"/>
      <c r="E564" s="98"/>
      <c r="F564" s="126"/>
      <c r="G564" s="127"/>
      <c r="H564" s="128"/>
    </row>
    <row r="565" spans="1:8" ht="13.5" hidden="1" thickTop="1" x14ac:dyDescent="0.2">
      <c r="A565" s="95"/>
      <c r="B565" s="95"/>
      <c r="C565" s="94"/>
      <c r="E565" s="98"/>
      <c r="F565" s="126"/>
      <c r="G565" s="127"/>
      <c r="H565" s="128"/>
    </row>
    <row r="566" spans="1:8" ht="13.5" hidden="1" thickTop="1" x14ac:dyDescent="0.2">
      <c r="A566" s="95"/>
      <c r="B566" s="95"/>
      <c r="C566" s="94"/>
      <c r="E566" s="98"/>
      <c r="F566" s="126"/>
      <c r="G566" s="127"/>
      <c r="H566" s="128"/>
    </row>
    <row r="567" spans="1:8" ht="13.5" hidden="1" thickTop="1" x14ac:dyDescent="0.2">
      <c r="A567" s="95"/>
      <c r="B567" s="95"/>
      <c r="C567" s="94"/>
      <c r="E567" s="98"/>
      <c r="F567" s="126"/>
      <c r="G567" s="127"/>
      <c r="H567" s="128"/>
    </row>
    <row r="568" spans="1:8" ht="13.5" hidden="1" thickTop="1" x14ac:dyDescent="0.2">
      <c r="A568" s="95"/>
      <c r="B568" s="95"/>
      <c r="C568" s="94"/>
      <c r="E568" s="98"/>
      <c r="F568" s="126"/>
      <c r="G568" s="127"/>
      <c r="H568" s="128"/>
    </row>
    <row r="569" spans="1:8" ht="13.5" hidden="1" thickTop="1" x14ac:dyDescent="0.2">
      <c r="A569" s="95"/>
      <c r="B569" s="95"/>
      <c r="C569" s="94"/>
      <c r="E569" s="98"/>
      <c r="F569" s="126"/>
      <c r="G569" s="127"/>
      <c r="H569" s="128"/>
    </row>
    <row r="570" spans="1:8" ht="13.5" hidden="1" thickTop="1" x14ac:dyDescent="0.2">
      <c r="A570" s="95"/>
      <c r="B570" s="95"/>
      <c r="C570" s="94"/>
      <c r="E570" s="98"/>
      <c r="F570" s="126"/>
      <c r="G570" s="127"/>
      <c r="H570" s="128"/>
    </row>
    <row r="571" spans="1:8" ht="13.5" hidden="1" thickTop="1" x14ac:dyDescent="0.2">
      <c r="A571" s="95"/>
      <c r="B571" s="95"/>
      <c r="C571" s="94"/>
      <c r="E571" s="98"/>
      <c r="F571" s="126"/>
      <c r="G571" s="127"/>
      <c r="H571" s="128"/>
    </row>
    <row r="572" spans="1:8" ht="13.5" hidden="1" thickTop="1" x14ac:dyDescent="0.2">
      <c r="A572" s="95"/>
      <c r="B572" s="95"/>
      <c r="C572" s="94"/>
      <c r="E572" s="98"/>
      <c r="F572" s="126"/>
      <c r="G572" s="127"/>
      <c r="H572" s="128"/>
    </row>
    <row r="573" spans="1:8" ht="13.5" hidden="1" thickTop="1" x14ac:dyDescent="0.2">
      <c r="A573" s="95"/>
      <c r="B573" s="95"/>
      <c r="C573" s="94"/>
      <c r="E573" s="98"/>
      <c r="F573" s="126"/>
      <c r="G573" s="127"/>
      <c r="H573" s="128"/>
    </row>
    <row r="574" spans="1:8" ht="13.5" hidden="1" thickTop="1" x14ac:dyDescent="0.2">
      <c r="A574" s="95"/>
      <c r="B574" s="95"/>
      <c r="C574" s="94"/>
      <c r="E574" s="98"/>
      <c r="F574" s="126"/>
      <c r="G574" s="127"/>
      <c r="H574" s="128"/>
    </row>
    <row r="575" spans="1:8" ht="13.5" hidden="1" thickTop="1" x14ac:dyDescent="0.2">
      <c r="A575" s="95"/>
      <c r="B575" s="95"/>
      <c r="C575" s="94"/>
      <c r="E575" s="98"/>
      <c r="F575" s="126"/>
      <c r="G575" s="127"/>
      <c r="H575" s="128"/>
    </row>
    <row r="576" spans="1:8" ht="13.5" hidden="1" thickTop="1" x14ac:dyDescent="0.2">
      <c r="A576" s="95"/>
      <c r="B576" s="95"/>
      <c r="C576" s="94"/>
      <c r="E576" s="98"/>
      <c r="F576" s="126"/>
      <c r="G576" s="127"/>
      <c r="H576" s="128"/>
    </row>
    <row r="577" spans="1:8" ht="13.5" hidden="1" thickTop="1" x14ac:dyDescent="0.2">
      <c r="A577" s="95"/>
      <c r="B577" s="95"/>
      <c r="C577" s="94"/>
      <c r="E577" s="98"/>
      <c r="F577" s="126"/>
      <c r="G577" s="127"/>
      <c r="H577" s="128"/>
    </row>
    <row r="578" spans="1:8" ht="13.5" hidden="1" thickTop="1" x14ac:dyDescent="0.2">
      <c r="A578" s="95"/>
      <c r="B578" s="95"/>
      <c r="C578" s="94"/>
      <c r="E578" s="98"/>
      <c r="F578" s="126"/>
      <c r="G578" s="127"/>
      <c r="H578" s="128"/>
    </row>
    <row r="579" spans="1:8" ht="13.5" hidden="1" thickTop="1" x14ac:dyDescent="0.2">
      <c r="A579" s="95"/>
      <c r="B579" s="95"/>
      <c r="C579" s="94"/>
      <c r="E579" s="98"/>
      <c r="F579" s="126"/>
      <c r="G579" s="127"/>
      <c r="H579" s="128"/>
    </row>
    <row r="580" spans="1:8" ht="13.5" hidden="1" thickTop="1" x14ac:dyDescent="0.2">
      <c r="A580" s="95"/>
      <c r="B580" s="95"/>
      <c r="C580" s="94"/>
      <c r="E580" s="98"/>
      <c r="F580" s="126"/>
      <c r="G580" s="127"/>
      <c r="H580" s="128"/>
    </row>
    <row r="581" spans="1:8" ht="13.5" hidden="1" thickTop="1" x14ac:dyDescent="0.2">
      <c r="A581" s="95"/>
      <c r="B581" s="95"/>
      <c r="C581" s="94"/>
      <c r="E581" s="98"/>
      <c r="F581" s="126"/>
      <c r="G581" s="127"/>
      <c r="H581" s="128"/>
    </row>
    <row r="582" spans="1:8" ht="13.5" hidden="1" thickTop="1" x14ac:dyDescent="0.2">
      <c r="A582" s="95"/>
      <c r="B582" s="95"/>
      <c r="C582" s="94"/>
      <c r="E582" s="98"/>
      <c r="F582" s="126"/>
      <c r="G582" s="127"/>
      <c r="H582" s="128"/>
    </row>
    <row r="583" spans="1:8" ht="13.5" hidden="1" thickTop="1" x14ac:dyDescent="0.2">
      <c r="A583" s="95"/>
      <c r="B583" s="95"/>
      <c r="C583" s="94"/>
      <c r="E583" s="98"/>
      <c r="F583" s="126"/>
      <c r="G583" s="127"/>
      <c r="H583" s="128"/>
    </row>
    <row r="584" spans="1:8" ht="13.5" hidden="1" thickTop="1" x14ac:dyDescent="0.2">
      <c r="A584" s="95"/>
      <c r="B584" s="95"/>
      <c r="C584" s="94"/>
      <c r="E584" s="98"/>
      <c r="F584" s="126"/>
      <c r="G584" s="127"/>
      <c r="H584" s="128"/>
    </row>
    <row r="585" spans="1:8" ht="13.5" hidden="1" thickTop="1" x14ac:dyDescent="0.2">
      <c r="A585" s="95"/>
      <c r="B585" s="95"/>
      <c r="C585" s="94"/>
      <c r="E585" s="98"/>
      <c r="F585" s="126"/>
      <c r="G585" s="127"/>
      <c r="H585" s="128"/>
    </row>
    <row r="586" spans="1:8" ht="13.5" hidden="1" thickTop="1" x14ac:dyDescent="0.2">
      <c r="A586" s="95"/>
      <c r="B586" s="95"/>
      <c r="C586" s="94"/>
      <c r="E586" s="98"/>
      <c r="F586" s="126"/>
      <c r="G586" s="127"/>
      <c r="H586" s="128"/>
    </row>
    <row r="587" spans="1:8" ht="13.5" hidden="1" thickTop="1" x14ac:dyDescent="0.2">
      <c r="A587" s="95"/>
      <c r="B587" s="95"/>
      <c r="C587" s="94"/>
      <c r="E587" s="98"/>
      <c r="F587" s="126"/>
      <c r="G587" s="127"/>
      <c r="H587" s="128"/>
    </row>
    <row r="588" spans="1:8" ht="13.5" hidden="1" thickTop="1" x14ac:dyDescent="0.2">
      <c r="A588" s="95"/>
      <c r="B588" s="95"/>
      <c r="C588" s="94"/>
      <c r="E588" s="98"/>
      <c r="F588" s="126"/>
      <c r="G588" s="127"/>
      <c r="H588" s="128"/>
    </row>
    <row r="589" spans="1:8" ht="13.5" hidden="1" thickTop="1" x14ac:dyDescent="0.2">
      <c r="A589" s="95"/>
      <c r="B589" s="95"/>
      <c r="C589" s="94"/>
      <c r="E589" s="98"/>
      <c r="F589" s="126"/>
      <c r="G589" s="127"/>
      <c r="H589" s="128"/>
    </row>
    <row r="590" spans="1:8" ht="13.5" hidden="1" thickTop="1" x14ac:dyDescent="0.2">
      <c r="A590" s="95"/>
      <c r="B590" s="95"/>
      <c r="C590" s="94"/>
      <c r="E590" s="98"/>
      <c r="F590" s="126"/>
      <c r="G590" s="127"/>
      <c r="H590" s="128"/>
    </row>
    <row r="591" spans="1:8" ht="13.5" hidden="1" thickTop="1" x14ac:dyDescent="0.2">
      <c r="A591" s="95"/>
      <c r="B591" s="95"/>
      <c r="C591" s="94"/>
      <c r="E591" s="98"/>
      <c r="F591" s="126"/>
      <c r="G591" s="127"/>
      <c r="H591" s="128"/>
    </row>
    <row r="592" spans="1:8" ht="13.5" hidden="1" thickTop="1" x14ac:dyDescent="0.2">
      <c r="A592" s="95"/>
      <c r="B592" s="95"/>
      <c r="C592" s="94"/>
      <c r="E592" s="98"/>
      <c r="F592" s="126"/>
      <c r="G592" s="127"/>
      <c r="H592" s="128"/>
    </row>
    <row r="593" spans="1:8" ht="13.5" hidden="1" thickTop="1" x14ac:dyDescent="0.2">
      <c r="A593" s="95"/>
      <c r="B593" s="95"/>
      <c r="C593" s="94"/>
      <c r="E593" s="98"/>
      <c r="F593" s="126"/>
      <c r="G593" s="127"/>
      <c r="H593" s="128"/>
    </row>
    <row r="594" spans="1:8" ht="13.5" hidden="1" thickTop="1" x14ac:dyDescent="0.2">
      <c r="A594" s="95"/>
      <c r="B594" s="95"/>
      <c r="C594" s="94"/>
      <c r="E594" s="98"/>
      <c r="F594" s="126"/>
      <c r="G594" s="127"/>
      <c r="H594" s="128"/>
    </row>
    <row r="595" spans="1:8" ht="13.5" hidden="1" thickTop="1" x14ac:dyDescent="0.2">
      <c r="A595" s="95"/>
      <c r="B595" s="95"/>
      <c r="C595" s="94"/>
      <c r="E595" s="98"/>
      <c r="F595" s="126"/>
      <c r="G595" s="127"/>
      <c r="H595" s="128"/>
    </row>
    <row r="596" spans="1:8" ht="13.5" hidden="1" thickTop="1" x14ac:dyDescent="0.2">
      <c r="A596" s="95"/>
      <c r="B596" s="95"/>
      <c r="C596" s="94"/>
      <c r="E596" s="98"/>
      <c r="F596" s="126"/>
      <c r="G596" s="127"/>
      <c r="H596" s="128"/>
    </row>
    <row r="597" spans="1:8" ht="13.5" hidden="1" thickTop="1" x14ac:dyDescent="0.2">
      <c r="A597" s="95"/>
      <c r="B597" s="95"/>
      <c r="C597" s="94"/>
      <c r="E597" s="98"/>
      <c r="F597" s="126"/>
      <c r="G597" s="127"/>
      <c r="H597" s="128"/>
    </row>
    <row r="598" spans="1:8" ht="13.5" hidden="1" thickTop="1" x14ac:dyDescent="0.2">
      <c r="A598" s="95"/>
      <c r="B598" s="95"/>
      <c r="C598" s="94"/>
      <c r="E598" s="98"/>
      <c r="F598" s="126"/>
      <c r="G598" s="127"/>
      <c r="H598" s="128"/>
    </row>
    <row r="599" spans="1:8" ht="13.5" hidden="1" thickTop="1" x14ac:dyDescent="0.2">
      <c r="A599" s="95"/>
      <c r="B599" s="95"/>
      <c r="C599" s="94"/>
      <c r="E599" s="98"/>
      <c r="F599" s="126"/>
      <c r="G599" s="127"/>
      <c r="H599" s="128"/>
    </row>
    <row r="600" spans="1:8" ht="13.5" hidden="1" thickTop="1" x14ac:dyDescent="0.2">
      <c r="A600" s="95"/>
      <c r="B600" s="95"/>
      <c r="C600" s="94"/>
      <c r="E600" s="98"/>
      <c r="F600" s="126"/>
      <c r="G600" s="127"/>
      <c r="H600" s="128"/>
    </row>
    <row r="601" spans="1:8" ht="13.5" hidden="1" thickTop="1" x14ac:dyDescent="0.2">
      <c r="A601" s="95"/>
      <c r="B601" s="95"/>
      <c r="C601" s="94"/>
      <c r="E601" s="98"/>
      <c r="F601" s="126"/>
      <c r="G601" s="127"/>
      <c r="H601" s="128"/>
    </row>
    <row r="602" spans="1:8" ht="13.5" hidden="1" thickTop="1" x14ac:dyDescent="0.2">
      <c r="A602" s="95"/>
      <c r="B602" s="95"/>
      <c r="C602" s="94"/>
      <c r="E602" s="98"/>
      <c r="F602" s="126"/>
      <c r="G602" s="127"/>
      <c r="H602" s="128"/>
    </row>
    <row r="603" spans="1:8" ht="13.5" hidden="1" thickTop="1" x14ac:dyDescent="0.2">
      <c r="A603" s="95"/>
      <c r="B603" s="95"/>
      <c r="C603" s="94"/>
      <c r="E603" s="98"/>
      <c r="F603" s="126"/>
      <c r="G603" s="127"/>
      <c r="H603" s="128"/>
    </row>
    <row r="604" spans="1:8" ht="13.5" hidden="1" thickTop="1" x14ac:dyDescent="0.2">
      <c r="A604" s="95"/>
      <c r="B604" s="95"/>
      <c r="C604" s="94"/>
      <c r="E604" s="98"/>
      <c r="F604" s="126"/>
      <c r="G604" s="127"/>
      <c r="H604" s="128"/>
    </row>
    <row r="605" spans="1:8" ht="13.5" hidden="1" thickTop="1" x14ac:dyDescent="0.2">
      <c r="A605" s="95"/>
      <c r="B605" s="95"/>
      <c r="C605" s="94"/>
      <c r="E605" s="98"/>
      <c r="F605" s="126"/>
      <c r="G605" s="127"/>
      <c r="H605" s="128"/>
    </row>
    <row r="606" spans="1:8" ht="13.5" hidden="1" thickTop="1" x14ac:dyDescent="0.2">
      <c r="A606" s="95"/>
      <c r="B606" s="95"/>
      <c r="C606" s="94"/>
      <c r="E606" s="98"/>
      <c r="F606" s="126"/>
      <c r="G606" s="127"/>
      <c r="H606" s="128"/>
    </row>
    <row r="607" spans="1:8" ht="13.5" hidden="1" thickTop="1" x14ac:dyDescent="0.2">
      <c r="A607" s="95"/>
      <c r="B607" s="95"/>
      <c r="C607" s="94"/>
      <c r="E607" s="98"/>
      <c r="F607" s="126"/>
      <c r="G607" s="127"/>
      <c r="H607" s="128"/>
    </row>
    <row r="608" spans="1:8" ht="13.5" hidden="1" thickTop="1" x14ac:dyDescent="0.2">
      <c r="A608" s="95"/>
      <c r="B608" s="95"/>
      <c r="C608" s="94"/>
      <c r="E608" s="98"/>
      <c r="F608" s="126"/>
      <c r="G608" s="127"/>
      <c r="H608" s="128"/>
    </row>
    <row r="609" spans="1:8" ht="13.5" hidden="1" thickTop="1" x14ac:dyDescent="0.2">
      <c r="A609" s="95"/>
      <c r="B609" s="95"/>
      <c r="C609" s="94"/>
      <c r="E609" s="98"/>
      <c r="F609" s="126"/>
      <c r="G609" s="127"/>
      <c r="H609" s="128"/>
    </row>
    <row r="610" spans="1:8" ht="13.5" hidden="1" thickTop="1" x14ac:dyDescent="0.2">
      <c r="A610" s="95"/>
      <c r="B610" s="95"/>
      <c r="C610" s="94"/>
      <c r="E610" s="98"/>
      <c r="F610" s="126"/>
      <c r="G610" s="127"/>
      <c r="H610" s="128"/>
    </row>
    <row r="611" spans="1:8" ht="13.5" hidden="1" thickTop="1" x14ac:dyDescent="0.2">
      <c r="A611" s="95"/>
      <c r="B611" s="95"/>
      <c r="C611" s="94"/>
      <c r="E611" s="98"/>
      <c r="F611" s="126"/>
      <c r="G611" s="127"/>
      <c r="H611" s="128"/>
    </row>
    <row r="612" spans="1:8" ht="13.5" hidden="1" thickTop="1" x14ac:dyDescent="0.2">
      <c r="A612" s="95"/>
      <c r="B612" s="95"/>
      <c r="C612" s="94"/>
      <c r="E612" s="98"/>
      <c r="F612" s="126"/>
      <c r="G612" s="127"/>
      <c r="H612" s="128"/>
    </row>
    <row r="613" spans="1:8" ht="13.5" hidden="1" thickTop="1" x14ac:dyDescent="0.2">
      <c r="A613" s="95"/>
      <c r="B613" s="95"/>
      <c r="C613" s="94"/>
      <c r="E613" s="98"/>
      <c r="F613" s="126"/>
      <c r="G613" s="127"/>
      <c r="H613" s="128"/>
    </row>
    <row r="614" spans="1:8" ht="13.5" hidden="1" thickTop="1" x14ac:dyDescent="0.2">
      <c r="A614" s="95"/>
      <c r="B614" s="95"/>
      <c r="C614" s="94"/>
      <c r="E614" s="98"/>
      <c r="F614" s="126"/>
      <c r="G614" s="127"/>
      <c r="H614" s="128"/>
    </row>
    <row r="615" spans="1:8" ht="13.5" hidden="1" thickTop="1" x14ac:dyDescent="0.2">
      <c r="A615" s="95"/>
      <c r="B615" s="95"/>
      <c r="C615" s="94"/>
      <c r="E615" s="98"/>
      <c r="F615" s="126"/>
      <c r="G615" s="127"/>
      <c r="H615" s="128"/>
    </row>
    <row r="616" spans="1:8" ht="13.5" hidden="1" thickTop="1" x14ac:dyDescent="0.2">
      <c r="A616" s="95"/>
      <c r="B616" s="95"/>
      <c r="C616" s="94"/>
      <c r="E616" s="98"/>
      <c r="F616" s="126"/>
      <c r="G616" s="127"/>
      <c r="H616" s="128"/>
    </row>
    <row r="617" spans="1:8" ht="13.5" hidden="1" thickTop="1" x14ac:dyDescent="0.2">
      <c r="A617" s="95"/>
      <c r="B617" s="95"/>
      <c r="C617" s="94"/>
      <c r="E617" s="98"/>
      <c r="F617" s="126"/>
      <c r="G617" s="127"/>
      <c r="H617" s="128"/>
    </row>
    <row r="618" spans="1:8" ht="13.5" hidden="1" thickTop="1" x14ac:dyDescent="0.2">
      <c r="A618" s="95"/>
      <c r="B618" s="95"/>
      <c r="C618" s="94"/>
      <c r="E618" s="98"/>
      <c r="F618" s="126"/>
      <c r="G618" s="127"/>
      <c r="H618" s="128"/>
    </row>
    <row r="619" spans="1:8" ht="13.5" hidden="1" thickTop="1" x14ac:dyDescent="0.2">
      <c r="A619" s="95"/>
      <c r="B619" s="95"/>
      <c r="C619" s="94"/>
      <c r="E619" s="98"/>
      <c r="F619" s="126"/>
      <c r="G619" s="127"/>
      <c r="H619" s="128"/>
    </row>
    <row r="620" spans="1:8" ht="13.5" hidden="1" thickTop="1" x14ac:dyDescent="0.2">
      <c r="A620" s="95"/>
      <c r="B620" s="95"/>
      <c r="C620" s="94"/>
      <c r="E620" s="98"/>
      <c r="F620" s="126"/>
      <c r="G620" s="127"/>
      <c r="H620" s="128"/>
    </row>
    <row r="621" spans="1:8" ht="13.5" hidden="1" thickTop="1" x14ac:dyDescent="0.2">
      <c r="A621" s="95"/>
      <c r="B621" s="95"/>
      <c r="C621" s="94"/>
      <c r="E621" s="98"/>
      <c r="F621" s="126"/>
      <c r="G621" s="127"/>
      <c r="H621" s="128"/>
    </row>
    <row r="622" spans="1:8" ht="13.5" hidden="1" thickTop="1" x14ac:dyDescent="0.2">
      <c r="A622" s="95"/>
      <c r="B622" s="95"/>
      <c r="C622" s="94"/>
      <c r="E622" s="98"/>
      <c r="F622" s="126"/>
      <c r="G622" s="127"/>
      <c r="H622" s="128"/>
    </row>
    <row r="623" spans="1:8" ht="13.5" hidden="1" thickTop="1" x14ac:dyDescent="0.2">
      <c r="A623" s="95"/>
      <c r="B623" s="95"/>
      <c r="C623" s="94"/>
      <c r="E623" s="98"/>
      <c r="F623" s="126"/>
      <c r="G623" s="127"/>
      <c r="H623" s="128"/>
    </row>
    <row r="624" spans="1:8" ht="13.5" hidden="1" thickTop="1" x14ac:dyDescent="0.2">
      <c r="A624" s="95"/>
      <c r="B624" s="95"/>
      <c r="C624" s="94"/>
      <c r="E624" s="98"/>
      <c r="F624" s="126"/>
      <c r="G624" s="127"/>
      <c r="H624" s="128"/>
    </row>
    <row r="625" spans="1:8" ht="13.5" hidden="1" thickTop="1" x14ac:dyDescent="0.2">
      <c r="A625" s="95"/>
      <c r="B625" s="95"/>
      <c r="C625" s="94"/>
      <c r="E625" s="98"/>
      <c r="F625" s="126"/>
      <c r="G625" s="127"/>
      <c r="H625" s="128"/>
    </row>
    <row r="626" spans="1:8" ht="13.5" hidden="1" thickTop="1" x14ac:dyDescent="0.2">
      <c r="A626" s="95"/>
      <c r="B626" s="95"/>
      <c r="C626" s="94"/>
      <c r="E626" s="98"/>
      <c r="F626" s="126"/>
      <c r="G626" s="127"/>
      <c r="H626" s="128"/>
    </row>
    <row r="627" spans="1:8" ht="13.5" hidden="1" thickTop="1" x14ac:dyDescent="0.2">
      <c r="A627" s="95"/>
      <c r="B627" s="95"/>
      <c r="C627" s="94"/>
      <c r="E627" s="98"/>
      <c r="F627" s="126"/>
      <c r="G627" s="127"/>
      <c r="H627" s="128"/>
    </row>
    <row r="628" spans="1:8" ht="13.5" hidden="1" thickTop="1" x14ac:dyDescent="0.2">
      <c r="A628" s="95"/>
      <c r="B628" s="95"/>
      <c r="C628" s="94"/>
      <c r="E628" s="98"/>
      <c r="F628" s="126"/>
      <c r="G628" s="127"/>
      <c r="H628" s="128"/>
    </row>
    <row r="629" spans="1:8" ht="13.5" hidden="1" thickTop="1" x14ac:dyDescent="0.2">
      <c r="A629" s="95"/>
      <c r="B629" s="95"/>
      <c r="C629" s="94"/>
      <c r="E629" s="98"/>
      <c r="F629" s="126"/>
      <c r="G629" s="127"/>
      <c r="H629" s="128"/>
    </row>
    <row r="630" spans="1:8" ht="13.5" hidden="1" thickTop="1" x14ac:dyDescent="0.2">
      <c r="A630" s="95"/>
      <c r="B630" s="95"/>
      <c r="C630" s="94"/>
      <c r="E630" s="98"/>
      <c r="F630" s="126"/>
      <c r="G630" s="127"/>
      <c r="H630" s="128"/>
    </row>
    <row r="631" spans="1:8" ht="13.5" hidden="1" thickTop="1" x14ac:dyDescent="0.2">
      <c r="A631" s="95"/>
      <c r="B631" s="95"/>
      <c r="C631" s="94"/>
      <c r="E631" s="98"/>
      <c r="F631" s="126"/>
      <c r="G631" s="127"/>
      <c r="H631" s="128"/>
    </row>
    <row r="632" spans="1:8" ht="13.5" hidden="1" thickTop="1" x14ac:dyDescent="0.2">
      <c r="A632" s="95"/>
      <c r="B632" s="95"/>
      <c r="C632" s="94"/>
      <c r="E632" s="98"/>
      <c r="F632" s="126"/>
      <c r="G632" s="127"/>
      <c r="H632" s="128"/>
    </row>
    <row r="633" spans="1:8" ht="13.5" hidden="1" thickTop="1" x14ac:dyDescent="0.2">
      <c r="A633" s="95"/>
      <c r="B633" s="95"/>
      <c r="C633" s="94"/>
      <c r="E633" s="98"/>
      <c r="F633" s="126"/>
      <c r="G633" s="127"/>
      <c r="H633" s="128"/>
    </row>
    <row r="634" spans="1:8" ht="13.5" hidden="1" thickTop="1" x14ac:dyDescent="0.2">
      <c r="A634" s="95"/>
      <c r="B634" s="95"/>
      <c r="C634" s="94"/>
      <c r="E634" s="98"/>
      <c r="F634" s="126"/>
      <c r="G634" s="127"/>
      <c r="H634" s="128"/>
    </row>
    <row r="635" spans="1:8" ht="13.5" hidden="1" thickTop="1" x14ac:dyDescent="0.2">
      <c r="A635" s="95"/>
      <c r="B635" s="95"/>
      <c r="C635" s="94"/>
      <c r="E635" s="98"/>
      <c r="F635" s="126"/>
      <c r="G635" s="127"/>
      <c r="H635" s="128"/>
    </row>
    <row r="636" spans="1:8" ht="13.5" hidden="1" thickTop="1" x14ac:dyDescent="0.2">
      <c r="A636" s="95"/>
      <c r="B636" s="95"/>
      <c r="C636" s="94"/>
      <c r="E636" s="98"/>
      <c r="F636" s="126"/>
      <c r="G636" s="127"/>
      <c r="H636" s="128"/>
    </row>
    <row r="637" spans="1:8" ht="13.5" hidden="1" thickTop="1" x14ac:dyDescent="0.2">
      <c r="A637" s="95"/>
      <c r="B637" s="95"/>
      <c r="C637" s="94"/>
      <c r="E637" s="98"/>
      <c r="F637" s="126"/>
      <c r="G637" s="127"/>
      <c r="H637" s="128"/>
    </row>
    <row r="638" spans="1:8" ht="13.5" hidden="1" thickTop="1" x14ac:dyDescent="0.2">
      <c r="A638" s="95"/>
      <c r="B638" s="95"/>
      <c r="C638" s="94"/>
      <c r="E638" s="98"/>
      <c r="F638" s="126"/>
      <c r="G638" s="127"/>
      <c r="H638" s="128"/>
    </row>
    <row r="639" spans="1:8" ht="13.5" hidden="1" thickTop="1" x14ac:dyDescent="0.2">
      <c r="A639" s="95"/>
      <c r="B639" s="95"/>
      <c r="C639" s="94"/>
      <c r="E639" s="98"/>
      <c r="F639" s="126"/>
      <c r="G639" s="127"/>
      <c r="H639" s="128"/>
    </row>
    <row r="640" spans="1:8" ht="13.5" hidden="1" thickTop="1" x14ac:dyDescent="0.2">
      <c r="A640" s="95"/>
      <c r="B640" s="95"/>
      <c r="C640" s="94"/>
      <c r="E640" s="98"/>
      <c r="F640" s="126"/>
      <c r="G640" s="127"/>
      <c r="H640" s="128"/>
    </row>
    <row r="641" spans="1:8" ht="13.5" hidden="1" thickTop="1" x14ac:dyDescent="0.2">
      <c r="A641" s="95"/>
      <c r="B641" s="95"/>
      <c r="C641" s="94"/>
      <c r="E641" s="98"/>
      <c r="F641" s="126"/>
      <c r="G641" s="127"/>
      <c r="H641" s="128"/>
    </row>
    <row r="642" spans="1:8" ht="13.5" hidden="1" thickTop="1" x14ac:dyDescent="0.2">
      <c r="A642" s="95"/>
      <c r="B642" s="95"/>
      <c r="C642" s="94"/>
      <c r="E642" s="98"/>
      <c r="F642" s="126"/>
      <c r="G642" s="127"/>
      <c r="H642" s="128"/>
    </row>
    <row r="643" spans="1:8" ht="13.5" hidden="1" thickTop="1" x14ac:dyDescent="0.2">
      <c r="A643" s="95"/>
      <c r="B643" s="95"/>
      <c r="C643" s="94"/>
      <c r="E643" s="98"/>
      <c r="F643" s="126"/>
      <c r="G643" s="127"/>
      <c r="H643" s="128"/>
    </row>
    <row r="644" spans="1:8" ht="13.5" hidden="1" thickTop="1" x14ac:dyDescent="0.2">
      <c r="A644" s="95"/>
      <c r="B644" s="95"/>
      <c r="C644" s="94"/>
      <c r="E644" s="98"/>
      <c r="F644" s="126"/>
      <c r="G644" s="127"/>
      <c r="H644" s="128"/>
    </row>
    <row r="645" spans="1:8" ht="13.5" hidden="1" thickTop="1" x14ac:dyDescent="0.2">
      <c r="A645" s="95"/>
      <c r="B645" s="95"/>
      <c r="C645" s="94"/>
      <c r="E645" s="98"/>
      <c r="F645" s="126"/>
      <c r="G645" s="127"/>
      <c r="H645" s="128"/>
    </row>
    <row r="646" spans="1:8" ht="13.5" hidden="1" thickTop="1" x14ac:dyDescent="0.2">
      <c r="A646" s="95"/>
      <c r="B646" s="95"/>
      <c r="C646" s="94"/>
      <c r="E646" s="98"/>
      <c r="F646" s="126"/>
      <c r="G646" s="127"/>
      <c r="H646" s="128"/>
    </row>
    <row r="647" spans="1:8" ht="13.5" hidden="1" thickTop="1" x14ac:dyDescent="0.2">
      <c r="A647" s="95"/>
      <c r="B647" s="95"/>
      <c r="C647" s="94"/>
      <c r="E647" s="98"/>
      <c r="F647" s="126"/>
      <c r="G647" s="127"/>
      <c r="H647" s="128"/>
    </row>
    <row r="648" spans="1:8" ht="13.5" hidden="1" thickTop="1" x14ac:dyDescent="0.2">
      <c r="A648" s="95"/>
      <c r="B648" s="95"/>
      <c r="C648" s="94"/>
      <c r="E648" s="98"/>
      <c r="F648" s="126"/>
      <c r="G648" s="127"/>
      <c r="H648" s="128"/>
    </row>
    <row r="649" spans="1:8" ht="13.5" hidden="1" thickTop="1" x14ac:dyDescent="0.2">
      <c r="A649" s="95"/>
      <c r="B649" s="95"/>
      <c r="C649" s="94"/>
      <c r="E649" s="98"/>
      <c r="F649" s="126"/>
      <c r="G649" s="127"/>
      <c r="H649" s="128"/>
    </row>
    <row r="650" spans="1:8" ht="13.5" hidden="1" thickTop="1" x14ac:dyDescent="0.2">
      <c r="A650" s="95"/>
      <c r="B650" s="95"/>
      <c r="C650" s="94"/>
      <c r="E650" s="98"/>
      <c r="F650" s="126"/>
      <c r="G650" s="127"/>
      <c r="H650" s="128"/>
    </row>
    <row r="651" spans="1:8" ht="13.5" hidden="1" thickTop="1" x14ac:dyDescent="0.2">
      <c r="A651" s="95"/>
      <c r="B651" s="95"/>
      <c r="C651" s="94"/>
      <c r="E651" s="98"/>
      <c r="F651" s="126"/>
      <c r="G651" s="127"/>
      <c r="H651" s="128"/>
    </row>
    <row r="652" spans="1:8" ht="13.5" hidden="1" thickTop="1" x14ac:dyDescent="0.2">
      <c r="A652" s="95"/>
      <c r="B652" s="95"/>
      <c r="C652" s="94"/>
      <c r="E652" s="98"/>
      <c r="F652" s="126"/>
      <c r="G652" s="127"/>
      <c r="H652" s="128"/>
    </row>
    <row r="653" spans="1:8" ht="13.5" hidden="1" thickTop="1" x14ac:dyDescent="0.2">
      <c r="A653" s="95"/>
      <c r="B653" s="95"/>
      <c r="C653" s="94"/>
      <c r="E653" s="98"/>
      <c r="F653" s="126"/>
      <c r="G653" s="127"/>
      <c r="H653" s="128"/>
    </row>
    <row r="654" spans="1:8" ht="13.5" hidden="1" thickTop="1" x14ac:dyDescent="0.2">
      <c r="A654" s="95"/>
      <c r="B654" s="95"/>
      <c r="C654" s="94"/>
      <c r="E654" s="98"/>
      <c r="F654" s="126"/>
      <c r="G654" s="127"/>
      <c r="H654" s="128"/>
    </row>
    <row r="655" spans="1:8" ht="13.5" hidden="1" thickTop="1" x14ac:dyDescent="0.2">
      <c r="A655" s="95"/>
      <c r="B655" s="95"/>
      <c r="C655" s="94"/>
      <c r="E655" s="98"/>
      <c r="F655" s="126"/>
      <c r="G655" s="127"/>
      <c r="H655" s="128"/>
    </row>
    <row r="656" spans="1:8" ht="13.5" hidden="1" thickTop="1" x14ac:dyDescent="0.2">
      <c r="A656" s="95"/>
      <c r="B656" s="95"/>
      <c r="C656" s="94"/>
      <c r="E656" s="98"/>
      <c r="F656" s="126"/>
      <c r="G656" s="127"/>
      <c r="H656" s="128"/>
    </row>
    <row r="657" spans="1:8" ht="13.5" hidden="1" thickTop="1" x14ac:dyDescent="0.2">
      <c r="A657" s="95"/>
      <c r="B657" s="95"/>
      <c r="C657" s="94"/>
      <c r="E657" s="98"/>
      <c r="F657" s="126"/>
      <c r="G657" s="127"/>
      <c r="H657" s="128"/>
    </row>
    <row r="658" spans="1:8" ht="13.5" hidden="1" thickTop="1" x14ac:dyDescent="0.2">
      <c r="A658" s="95"/>
      <c r="B658" s="95"/>
      <c r="C658" s="94"/>
      <c r="E658" s="98"/>
      <c r="F658" s="126"/>
      <c r="G658" s="127"/>
      <c r="H658" s="128"/>
    </row>
    <row r="659" spans="1:8" ht="13.5" hidden="1" thickTop="1" x14ac:dyDescent="0.2">
      <c r="A659" s="95"/>
      <c r="B659" s="95"/>
      <c r="C659" s="94"/>
      <c r="E659" s="98"/>
      <c r="F659" s="126"/>
      <c r="G659" s="127"/>
      <c r="H659" s="128"/>
    </row>
    <row r="660" spans="1:8" ht="13.5" hidden="1" thickTop="1" x14ac:dyDescent="0.2">
      <c r="A660" s="95"/>
      <c r="B660" s="95"/>
      <c r="C660" s="94"/>
      <c r="E660" s="98"/>
      <c r="F660" s="126"/>
      <c r="G660" s="127"/>
      <c r="H660" s="128"/>
    </row>
    <row r="661" spans="1:8" ht="13.5" hidden="1" thickTop="1" x14ac:dyDescent="0.2">
      <c r="A661" s="95"/>
      <c r="B661" s="95"/>
      <c r="C661" s="94"/>
      <c r="E661" s="98"/>
      <c r="F661" s="126"/>
      <c r="G661" s="127"/>
      <c r="H661" s="128"/>
    </row>
    <row r="662" spans="1:8" ht="13.5" hidden="1" thickTop="1" x14ac:dyDescent="0.2">
      <c r="A662" s="95"/>
      <c r="B662" s="95"/>
      <c r="C662" s="94"/>
      <c r="E662" s="98"/>
      <c r="F662" s="126"/>
      <c r="G662" s="127"/>
      <c r="H662" s="128"/>
    </row>
    <row r="663" spans="1:8" ht="13.5" hidden="1" thickTop="1" x14ac:dyDescent="0.2">
      <c r="A663" s="95"/>
      <c r="B663" s="95"/>
      <c r="C663" s="94"/>
      <c r="E663" s="98"/>
      <c r="F663" s="126"/>
      <c r="G663" s="127"/>
      <c r="H663" s="128"/>
    </row>
    <row r="664" spans="1:8" ht="13.5" hidden="1" thickTop="1" x14ac:dyDescent="0.2">
      <c r="A664" s="95"/>
      <c r="B664" s="95"/>
      <c r="C664" s="94"/>
      <c r="E664" s="98"/>
      <c r="F664" s="126"/>
      <c r="G664" s="127"/>
      <c r="H664" s="128"/>
    </row>
    <row r="665" spans="1:8" ht="13.5" hidden="1" thickTop="1" x14ac:dyDescent="0.2">
      <c r="A665" s="95"/>
      <c r="B665" s="95"/>
      <c r="C665" s="94"/>
      <c r="E665" s="98"/>
      <c r="F665" s="126"/>
      <c r="G665" s="127"/>
      <c r="H665" s="128"/>
    </row>
    <row r="666" spans="1:8" ht="13.5" hidden="1" thickTop="1" x14ac:dyDescent="0.2">
      <c r="A666" s="95"/>
      <c r="B666" s="95"/>
      <c r="C666" s="94"/>
      <c r="E666" s="98"/>
      <c r="F666" s="126"/>
      <c r="G666" s="127"/>
      <c r="H666" s="128"/>
    </row>
    <row r="667" spans="1:8" ht="13.5" hidden="1" thickTop="1" x14ac:dyDescent="0.2">
      <c r="A667" s="95"/>
      <c r="B667" s="95"/>
      <c r="C667" s="94"/>
      <c r="E667" s="98"/>
      <c r="F667" s="126"/>
      <c r="G667" s="127"/>
      <c r="H667" s="128"/>
    </row>
    <row r="668" spans="1:8" ht="13.5" hidden="1" thickTop="1" x14ac:dyDescent="0.2">
      <c r="A668" s="95"/>
      <c r="B668" s="95"/>
      <c r="C668" s="94"/>
      <c r="E668" s="98"/>
      <c r="F668" s="126"/>
      <c r="G668" s="127"/>
      <c r="H668" s="128"/>
    </row>
    <row r="669" spans="1:8" ht="13.5" hidden="1" thickTop="1" x14ac:dyDescent="0.2">
      <c r="A669" s="95"/>
      <c r="B669" s="95"/>
      <c r="C669" s="94"/>
      <c r="E669" s="98"/>
      <c r="F669" s="126"/>
      <c r="G669" s="127"/>
      <c r="H669" s="128"/>
    </row>
    <row r="670" spans="1:8" ht="13.5" hidden="1" thickTop="1" x14ac:dyDescent="0.2">
      <c r="A670" s="95"/>
      <c r="B670" s="95"/>
      <c r="C670" s="94"/>
      <c r="E670" s="98"/>
      <c r="F670" s="126"/>
      <c r="G670" s="127"/>
      <c r="H670" s="128"/>
    </row>
    <row r="671" spans="1:8" ht="13.5" hidden="1" thickTop="1" x14ac:dyDescent="0.2">
      <c r="A671" s="95"/>
      <c r="B671" s="95"/>
      <c r="C671" s="94"/>
      <c r="E671" s="98"/>
      <c r="F671" s="126"/>
      <c r="G671" s="127"/>
      <c r="H671" s="128"/>
    </row>
    <row r="672" spans="1:8" ht="13.5" hidden="1" thickTop="1" x14ac:dyDescent="0.2">
      <c r="A672" s="95"/>
      <c r="B672" s="95"/>
      <c r="C672" s="94"/>
      <c r="E672" s="98"/>
      <c r="F672" s="126"/>
      <c r="G672" s="127"/>
      <c r="H672" s="128"/>
    </row>
    <row r="673" spans="1:8" ht="13.5" hidden="1" thickTop="1" x14ac:dyDescent="0.2">
      <c r="A673" s="95"/>
      <c r="B673" s="95"/>
      <c r="C673" s="94"/>
      <c r="E673" s="98"/>
      <c r="F673" s="126"/>
      <c r="G673" s="127"/>
      <c r="H673" s="128"/>
    </row>
    <row r="674" spans="1:8" ht="13.5" hidden="1" thickTop="1" x14ac:dyDescent="0.2">
      <c r="A674" s="95"/>
      <c r="B674" s="95"/>
      <c r="C674" s="94"/>
      <c r="E674" s="98"/>
      <c r="F674" s="126"/>
      <c r="G674" s="127"/>
      <c r="H674" s="128"/>
    </row>
    <row r="675" spans="1:8" ht="13.5" hidden="1" thickTop="1" x14ac:dyDescent="0.2">
      <c r="A675" s="95"/>
      <c r="B675" s="95"/>
      <c r="C675" s="94"/>
      <c r="E675" s="98"/>
      <c r="F675" s="126"/>
      <c r="G675" s="127"/>
      <c r="H675" s="128"/>
    </row>
    <row r="676" spans="1:8" ht="13.5" hidden="1" thickTop="1" x14ac:dyDescent="0.2">
      <c r="A676" s="95"/>
      <c r="B676" s="95"/>
      <c r="C676" s="94"/>
      <c r="E676" s="98"/>
      <c r="F676" s="126"/>
      <c r="G676" s="127"/>
      <c r="H676" s="128"/>
    </row>
    <row r="677" spans="1:8" ht="13.5" hidden="1" thickTop="1" x14ac:dyDescent="0.2">
      <c r="A677" s="95"/>
      <c r="B677" s="95"/>
      <c r="C677" s="94"/>
      <c r="E677" s="98"/>
      <c r="F677" s="126"/>
      <c r="G677" s="127"/>
      <c r="H677" s="128"/>
    </row>
    <row r="678" spans="1:8" ht="13.5" hidden="1" thickTop="1" x14ac:dyDescent="0.2">
      <c r="A678" s="95"/>
      <c r="B678" s="95"/>
      <c r="C678" s="94"/>
      <c r="E678" s="98"/>
      <c r="F678" s="126"/>
      <c r="G678" s="127"/>
      <c r="H678" s="128"/>
    </row>
    <row r="679" spans="1:8" ht="13.5" hidden="1" thickTop="1" x14ac:dyDescent="0.2">
      <c r="A679" s="95"/>
      <c r="B679" s="95"/>
      <c r="C679" s="94"/>
      <c r="E679" s="98"/>
      <c r="F679" s="126"/>
      <c r="G679" s="127"/>
      <c r="H679" s="128"/>
    </row>
    <row r="680" spans="1:8" ht="13.5" hidden="1" thickTop="1" x14ac:dyDescent="0.2">
      <c r="A680" s="95"/>
      <c r="B680" s="95"/>
      <c r="C680" s="94"/>
      <c r="E680" s="98"/>
      <c r="F680" s="126"/>
      <c r="G680" s="127"/>
      <c r="H680" s="128"/>
    </row>
    <row r="681" spans="1:8" ht="13.5" hidden="1" thickTop="1" x14ac:dyDescent="0.2">
      <c r="A681" s="95"/>
      <c r="B681" s="95"/>
      <c r="C681" s="94"/>
      <c r="E681" s="98"/>
      <c r="F681" s="126"/>
      <c r="G681" s="127"/>
      <c r="H681" s="128"/>
    </row>
    <row r="682" spans="1:8" ht="13.5" hidden="1" thickTop="1" x14ac:dyDescent="0.2">
      <c r="A682" s="95"/>
      <c r="B682" s="95"/>
      <c r="C682" s="94"/>
      <c r="E682" s="98"/>
      <c r="F682" s="126"/>
      <c r="G682" s="127"/>
      <c r="H682" s="128"/>
    </row>
    <row r="683" spans="1:8" ht="13.5" hidden="1" thickTop="1" x14ac:dyDescent="0.2">
      <c r="A683" s="95"/>
      <c r="B683" s="95"/>
      <c r="C683" s="94"/>
      <c r="E683" s="98"/>
      <c r="F683" s="126"/>
      <c r="G683" s="127"/>
      <c r="H683" s="128"/>
    </row>
    <row r="684" spans="1:8" ht="13.5" hidden="1" thickTop="1" x14ac:dyDescent="0.2">
      <c r="A684" s="95"/>
      <c r="B684" s="95"/>
      <c r="C684" s="94"/>
      <c r="E684" s="98"/>
      <c r="F684" s="126"/>
      <c r="G684" s="127"/>
      <c r="H684" s="128"/>
    </row>
    <row r="685" spans="1:8" ht="13.5" hidden="1" thickTop="1" x14ac:dyDescent="0.2">
      <c r="A685" s="95"/>
      <c r="B685" s="95"/>
      <c r="C685" s="94"/>
      <c r="E685" s="98"/>
      <c r="F685" s="126"/>
      <c r="G685" s="127"/>
      <c r="H685" s="128"/>
    </row>
    <row r="686" spans="1:8" ht="13.5" hidden="1" thickTop="1" x14ac:dyDescent="0.2">
      <c r="A686" s="95"/>
      <c r="B686" s="95"/>
      <c r="C686" s="94"/>
      <c r="E686" s="98"/>
      <c r="F686" s="126"/>
      <c r="G686" s="127"/>
      <c r="H686" s="128"/>
    </row>
    <row r="687" spans="1:8" ht="13.5" hidden="1" thickTop="1" x14ac:dyDescent="0.2">
      <c r="A687" s="95"/>
      <c r="B687" s="95"/>
      <c r="C687" s="94"/>
      <c r="E687" s="98"/>
      <c r="F687" s="126"/>
      <c r="G687" s="127"/>
      <c r="H687" s="128"/>
    </row>
    <row r="688" spans="1:8" ht="13.5" hidden="1" thickTop="1" x14ac:dyDescent="0.2">
      <c r="A688" s="95"/>
      <c r="B688" s="95"/>
      <c r="C688" s="94"/>
      <c r="E688" s="98"/>
      <c r="F688" s="126"/>
      <c r="G688" s="127"/>
      <c r="H688" s="128"/>
    </row>
    <row r="689" spans="1:8" ht="13.5" hidden="1" thickTop="1" x14ac:dyDescent="0.2">
      <c r="A689" s="95"/>
      <c r="B689" s="95"/>
      <c r="C689" s="94"/>
      <c r="E689" s="98"/>
      <c r="F689" s="126"/>
      <c r="G689" s="127"/>
      <c r="H689" s="128"/>
    </row>
    <row r="690" spans="1:8" ht="13.5" hidden="1" thickTop="1" x14ac:dyDescent="0.2">
      <c r="A690" s="95"/>
      <c r="B690" s="95"/>
      <c r="C690" s="94"/>
      <c r="E690" s="98"/>
      <c r="F690" s="126"/>
      <c r="G690" s="127"/>
      <c r="H690" s="128"/>
    </row>
    <row r="691" spans="1:8" ht="13.5" hidden="1" thickTop="1" x14ac:dyDescent="0.2">
      <c r="A691" s="95"/>
      <c r="B691" s="95"/>
      <c r="C691" s="94"/>
      <c r="E691" s="98"/>
      <c r="F691" s="126"/>
      <c r="G691" s="127"/>
      <c r="H691" s="128"/>
    </row>
    <row r="692" spans="1:8" ht="13.5" hidden="1" thickTop="1" x14ac:dyDescent="0.2">
      <c r="A692" s="95"/>
      <c r="B692" s="95"/>
      <c r="C692" s="94"/>
      <c r="E692" s="98"/>
      <c r="F692" s="126"/>
      <c r="G692" s="127"/>
      <c r="H692" s="128"/>
    </row>
    <row r="693" spans="1:8" ht="13.5" hidden="1" thickTop="1" x14ac:dyDescent="0.2">
      <c r="A693" s="95"/>
      <c r="B693" s="95"/>
      <c r="C693" s="94"/>
      <c r="E693" s="98"/>
      <c r="F693" s="126"/>
      <c r="G693" s="127"/>
      <c r="H693" s="128"/>
    </row>
    <row r="694" spans="1:8" ht="13.5" hidden="1" thickTop="1" x14ac:dyDescent="0.2">
      <c r="A694" s="95"/>
      <c r="B694" s="95"/>
      <c r="C694" s="94"/>
      <c r="E694" s="98"/>
      <c r="F694" s="126"/>
      <c r="G694" s="127"/>
      <c r="H694" s="128"/>
    </row>
    <row r="695" spans="1:8" ht="13.5" hidden="1" thickTop="1" x14ac:dyDescent="0.2">
      <c r="A695" s="95"/>
      <c r="B695" s="95"/>
      <c r="C695" s="94"/>
      <c r="E695" s="98"/>
      <c r="F695" s="126"/>
      <c r="G695" s="127"/>
      <c r="H695" s="128"/>
    </row>
    <row r="696" spans="1:8" ht="13.5" hidden="1" thickTop="1" x14ac:dyDescent="0.2">
      <c r="A696" s="95"/>
      <c r="B696" s="95"/>
      <c r="C696" s="94"/>
      <c r="E696" s="98"/>
      <c r="F696" s="126"/>
      <c r="G696" s="127"/>
      <c r="H696" s="128"/>
    </row>
    <row r="697" spans="1:8" ht="13.5" hidden="1" thickTop="1" x14ac:dyDescent="0.2">
      <c r="A697" s="95"/>
      <c r="B697" s="95"/>
      <c r="C697" s="94"/>
      <c r="E697" s="98"/>
      <c r="F697" s="126"/>
      <c r="G697" s="127"/>
      <c r="H697" s="128"/>
    </row>
    <row r="698" spans="1:8" ht="13.5" hidden="1" thickTop="1" x14ac:dyDescent="0.2">
      <c r="A698" s="95"/>
      <c r="B698" s="95"/>
      <c r="C698" s="94"/>
      <c r="E698" s="98"/>
      <c r="F698" s="126"/>
      <c r="G698" s="127"/>
      <c r="H698" s="128"/>
    </row>
    <row r="699" spans="1:8" ht="13.5" hidden="1" thickTop="1" x14ac:dyDescent="0.2">
      <c r="A699" s="95"/>
      <c r="B699" s="95"/>
      <c r="C699" s="94"/>
      <c r="E699" s="98"/>
      <c r="F699" s="126"/>
      <c r="G699" s="127"/>
      <c r="H699" s="128"/>
    </row>
    <row r="700" spans="1:8" ht="13.5" hidden="1" thickTop="1" x14ac:dyDescent="0.2">
      <c r="A700" s="95"/>
      <c r="B700" s="95"/>
      <c r="C700" s="94"/>
      <c r="E700" s="98"/>
      <c r="F700" s="126"/>
      <c r="G700" s="127"/>
      <c r="H700" s="128"/>
    </row>
    <row r="701" spans="1:8" ht="13.5" hidden="1" thickTop="1" x14ac:dyDescent="0.2">
      <c r="A701" s="95"/>
      <c r="B701" s="95"/>
      <c r="C701" s="94"/>
      <c r="E701" s="98"/>
      <c r="F701" s="126"/>
      <c r="G701" s="127"/>
      <c r="H701" s="128"/>
    </row>
    <row r="702" spans="1:8" ht="13.5" hidden="1" thickTop="1" x14ac:dyDescent="0.2">
      <c r="A702" s="95"/>
      <c r="B702" s="95"/>
      <c r="C702" s="94"/>
      <c r="E702" s="98"/>
      <c r="F702" s="126"/>
      <c r="G702" s="127"/>
      <c r="H702" s="128"/>
    </row>
    <row r="703" spans="1:8" ht="13.5" hidden="1" thickTop="1" x14ac:dyDescent="0.2">
      <c r="A703" s="95"/>
      <c r="B703" s="95"/>
      <c r="C703" s="94"/>
      <c r="E703" s="98"/>
      <c r="F703" s="126"/>
      <c r="G703" s="127"/>
      <c r="H703" s="128"/>
    </row>
    <row r="704" spans="1:8" ht="13.5" hidden="1" thickTop="1" x14ac:dyDescent="0.2">
      <c r="A704" s="95"/>
      <c r="B704" s="95"/>
      <c r="C704" s="94"/>
      <c r="E704" s="98"/>
      <c r="F704" s="126"/>
      <c r="G704" s="127"/>
      <c r="H704" s="128"/>
    </row>
    <row r="705" spans="1:8" ht="13.5" hidden="1" thickTop="1" x14ac:dyDescent="0.2">
      <c r="A705" s="95"/>
      <c r="B705" s="95"/>
      <c r="C705" s="94"/>
      <c r="E705" s="98"/>
      <c r="F705" s="126"/>
      <c r="G705" s="127"/>
      <c r="H705" s="128"/>
    </row>
    <row r="706" spans="1:8" ht="13.5" hidden="1" thickTop="1" x14ac:dyDescent="0.2">
      <c r="A706" s="95"/>
      <c r="B706" s="95"/>
      <c r="C706" s="94"/>
      <c r="E706" s="98"/>
      <c r="F706" s="126"/>
      <c r="G706" s="127"/>
      <c r="H706" s="128"/>
    </row>
    <row r="707" spans="1:8" ht="13.5" hidden="1" thickTop="1" x14ac:dyDescent="0.2">
      <c r="A707" s="95"/>
      <c r="B707" s="95"/>
      <c r="C707" s="94"/>
      <c r="E707" s="98"/>
      <c r="F707" s="126"/>
      <c r="G707" s="127"/>
      <c r="H707" s="128"/>
    </row>
    <row r="708" spans="1:8" ht="13.5" hidden="1" thickTop="1" x14ac:dyDescent="0.2">
      <c r="A708" s="95"/>
      <c r="B708" s="95"/>
      <c r="C708" s="94"/>
      <c r="E708" s="98"/>
      <c r="F708" s="126"/>
      <c r="G708" s="127"/>
      <c r="H708" s="128"/>
    </row>
    <row r="709" spans="1:8" ht="13.5" hidden="1" thickTop="1" x14ac:dyDescent="0.2">
      <c r="A709" s="95"/>
      <c r="B709" s="95"/>
      <c r="C709" s="94"/>
      <c r="E709" s="98"/>
      <c r="F709" s="126"/>
      <c r="G709" s="127"/>
      <c r="H709" s="128"/>
    </row>
    <row r="710" spans="1:8" ht="13.5" hidden="1" thickTop="1" x14ac:dyDescent="0.2">
      <c r="A710" s="95"/>
      <c r="B710" s="95"/>
      <c r="C710" s="94"/>
      <c r="E710" s="98"/>
      <c r="F710" s="126"/>
      <c r="G710" s="127"/>
      <c r="H710" s="128"/>
    </row>
    <row r="711" spans="1:8" ht="13.5" hidden="1" thickTop="1" x14ac:dyDescent="0.2">
      <c r="A711" s="95"/>
      <c r="B711" s="95"/>
      <c r="C711" s="94"/>
      <c r="E711" s="98"/>
      <c r="F711" s="126"/>
      <c r="G711" s="127"/>
      <c r="H711" s="128"/>
    </row>
    <row r="712" spans="1:8" ht="13.5" hidden="1" thickTop="1" x14ac:dyDescent="0.2">
      <c r="A712" s="95"/>
      <c r="B712" s="95"/>
      <c r="C712" s="94"/>
      <c r="E712" s="98"/>
      <c r="F712" s="126"/>
      <c r="G712" s="127"/>
      <c r="H712" s="128"/>
    </row>
    <row r="713" spans="1:8" ht="13.5" hidden="1" thickTop="1" x14ac:dyDescent="0.2">
      <c r="A713" s="95"/>
      <c r="B713" s="95"/>
      <c r="C713" s="94"/>
      <c r="E713" s="98"/>
      <c r="F713" s="126"/>
      <c r="G713" s="127"/>
      <c r="H713" s="128"/>
    </row>
    <row r="714" spans="1:8" ht="13.5" hidden="1" thickTop="1" x14ac:dyDescent="0.2">
      <c r="A714" s="95"/>
      <c r="B714" s="95"/>
      <c r="C714" s="94"/>
      <c r="E714" s="98"/>
      <c r="F714" s="126"/>
      <c r="G714" s="127"/>
      <c r="H714" s="128"/>
    </row>
    <row r="715" spans="1:8" ht="13.5" hidden="1" thickTop="1" x14ac:dyDescent="0.2">
      <c r="A715" s="95"/>
      <c r="B715" s="95"/>
      <c r="C715" s="94"/>
      <c r="E715" s="98"/>
      <c r="F715" s="126"/>
      <c r="G715" s="127"/>
      <c r="H715" s="128"/>
    </row>
    <row r="716" spans="1:8" ht="13.5" hidden="1" thickTop="1" x14ac:dyDescent="0.2">
      <c r="A716" s="95"/>
      <c r="B716" s="95"/>
      <c r="C716" s="94"/>
      <c r="E716" s="98"/>
      <c r="F716" s="126"/>
      <c r="G716" s="127"/>
      <c r="H716" s="128"/>
    </row>
    <row r="717" spans="1:8" ht="13.5" hidden="1" thickTop="1" x14ac:dyDescent="0.2">
      <c r="A717" s="95"/>
      <c r="B717" s="95"/>
      <c r="C717" s="94"/>
      <c r="E717" s="98"/>
      <c r="F717" s="126"/>
      <c r="G717" s="127"/>
      <c r="H717" s="128"/>
    </row>
    <row r="718" spans="1:8" ht="13.5" hidden="1" thickTop="1" x14ac:dyDescent="0.2">
      <c r="A718" s="95"/>
      <c r="B718" s="95"/>
      <c r="C718" s="94"/>
      <c r="E718" s="98"/>
      <c r="F718" s="126"/>
      <c r="G718" s="127"/>
      <c r="H718" s="128"/>
    </row>
    <row r="719" spans="1:8" ht="13.5" hidden="1" thickTop="1" x14ac:dyDescent="0.2">
      <c r="A719" s="95"/>
      <c r="B719" s="95"/>
      <c r="C719" s="94"/>
      <c r="E719" s="98"/>
      <c r="F719" s="126"/>
      <c r="G719" s="127"/>
      <c r="H719" s="128"/>
    </row>
    <row r="720" spans="1:8" ht="13.5" hidden="1" thickTop="1" x14ac:dyDescent="0.2">
      <c r="A720" s="95"/>
      <c r="B720" s="95"/>
      <c r="C720" s="94"/>
      <c r="E720" s="98"/>
      <c r="F720" s="126"/>
      <c r="G720" s="127"/>
      <c r="H720" s="128"/>
    </row>
    <row r="721" spans="1:8" ht="13.5" hidden="1" thickTop="1" x14ac:dyDescent="0.2">
      <c r="A721" s="95"/>
      <c r="B721" s="95"/>
      <c r="C721" s="94"/>
      <c r="E721" s="98"/>
      <c r="F721" s="126"/>
      <c r="G721" s="127"/>
      <c r="H721" s="128"/>
    </row>
    <row r="722" spans="1:8" ht="13.5" hidden="1" thickTop="1" x14ac:dyDescent="0.2">
      <c r="A722" s="95"/>
      <c r="B722" s="95"/>
      <c r="C722" s="94"/>
      <c r="E722" s="98"/>
      <c r="F722" s="126"/>
      <c r="G722" s="127"/>
      <c r="H722" s="128"/>
    </row>
    <row r="723" spans="1:8" ht="13.5" hidden="1" thickTop="1" x14ac:dyDescent="0.2">
      <c r="A723" s="95"/>
      <c r="B723" s="95"/>
      <c r="C723" s="94"/>
      <c r="E723" s="98"/>
      <c r="F723" s="126"/>
      <c r="G723" s="127"/>
      <c r="H723" s="128"/>
    </row>
    <row r="724" spans="1:8" ht="13.5" hidden="1" thickTop="1" x14ac:dyDescent="0.2">
      <c r="A724" s="95"/>
      <c r="B724" s="95"/>
      <c r="C724" s="94"/>
      <c r="E724" s="98"/>
      <c r="F724" s="126"/>
      <c r="G724" s="127"/>
      <c r="H724" s="128"/>
    </row>
    <row r="725" spans="1:8" ht="13.5" hidden="1" thickTop="1" x14ac:dyDescent="0.2">
      <c r="A725" s="95"/>
      <c r="B725" s="95"/>
      <c r="C725" s="94"/>
      <c r="E725" s="98"/>
      <c r="F725" s="126"/>
      <c r="G725" s="127"/>
      <c r="H725" s="128"/>
    </row>
    <row r="726" spans="1:8" ht="13.5" hidden="1" thickTop="1" x14ac:dyDescent="0.2">
      <c r="A726" s="95"/>
      <c r="B726" s="95"/>
      <c r="C726" s="94"/>
      <c r="E726" s="98"/>
      <c r="F726" s="126"/>
      <c r="G726" s="127"/>
      <c r="H726" s="128"/>
    </row>
    <row r="727" spans="1:8" ht="13.5" hidden="1" thickTop="1" x14ac:dyDescent="0.2">
      <c r="A727" s="95"/>
      <c r="B727" s="95"/>
      <c r="C727" s="94"/>
      <c r="E727" s="98"/>
      <c r="F727" s="126"/>
      <c r="G727" s="127"/>
      <c r="H727" s="128"/>
    </row>
    <row r="728" spans="1:8" ht="13.5" hidden="1" thickTop="1" x14ac:dyDescent="0.2">
      <c r="A728" s="95"/>
      <c r="B728" s="95"/>
      <c r="C728" s="94"/>
      <c r="E728" s="98"/>
      <c r="F728" s="126"/>
      <c r="G728" s="127"/>
      <c r="H728" s="128"/>
    </row>
    <row r="729" spans="1:8" ht="13.5" hidden="1" thickTop="1" x14ac:dyDescent="0.2">
      <c r="A729" s="95"/>
      <c r="B729" s="95"/>
      <c r="C729" s="94"/>
      <c r="E729" s="98"/>
      <c r="F729" s="126"/>
      <c r="G729" s="127"/>
      <c r="H729" s="128"/>
    </row>
    <row r="730" spans="1:8" ht="13.5" hidden="1" thickTop="1" x14ac:dyDescent="0.2">
      <c r="A730" s="95"/>
      <c r="B730" s="95"/>
      <c r="C730" s="94"/>
      <c r="E730" s="98"/>
      <c r="F730" s="126"/>
      <c r="G730" s="127"/>
      <c r="H730" s="128"/>
    </row>
    <row r="731" spans="1:8" ht="13.5" hidden="1" thickTop="1" x14ac:dyDescent="0.2">
      <c r="A731" s="95"/>
      <c r="B731" s="95"/>
      <c r="C731" s="94"/>
      <c r="E731" s="98"/>
      <c r="F731" s="126"/>
      <c r="G731" s="127"/>
      <c r="H731" s="128"/>
    </row>
    <row r="732" spans="1:8" ht="13.5" hidden="1" thickTop="1" x14ac:dyDescent="0.2">
      <c r="A732" s="95"/>
      <c r="B732" s="95"/>
      <c r="C732" s="94"/>
      <c r="E732" s="98"/>
      <c r="F732" s="126"/>
      <c r="G732" s="127"/>
      <c r="H732" s="128"/>
    </row>
    <row r="733" spans="1:8" ht="13.5" hidden="1" thickTop="1" x14ac:dyDescent="0.2">
      <c r="A733" s="95"/>
      <c r="B733" s="95"/>
      <c r="C733" s="94"/>
      <c r="E733" s="98"/>
      <c r="F733" s="126"/>
      <c r="G733" s="127"/>
      <c r="H733" s="128"/>
    </row>
    <row r="734" spans="1:8" ht="13.5" hidden="1" thickTop="1" x14ac:dyDescent="0.2">
      <c r="A734" s="95"/>
      <c r="B734" s="95"/>
      <c r="C734" s="94"/>
      <c r="E734" s="98"/>
      <c r="F734" s="126"/>
      <c r="G734" s="127"/>
      <c r="H734" s="128"/>
    </row>
    <row r="735" spans="1:8" ht="13.5" hidden="1" thickTop="1" x14ac:dyDescent="0.2">
      <c r="A735" s="95"/>
      <c r="B735" s="95"/>
      <c r="C735" s="94"/>
      <c r="E735" s="98"/>
      <c r="F735" s="126"/>
      <c r="G735" s="127"/>
      <c r="H735" s="128"/>
    </row>
    <row r="736" spans="1:8" ht="13.5" hidden="1" thickTop="1" x14ac:dyDescent="0.2">
      <c r="A736" s="95"/>
      <c r="B736" s="95"/>
      <c r="C736" s="94"/>
      <c r="E736" s="98"/>
      <c r="F736" s="126"/>
      <c r="G736" s="127"/>
      <c r="H736" s="128"/>
    </row>
    <row r="737" spans="1:8" ht="13.5" hidden="1" thickTop="1" x14ac:dyDescent="0.2">
      <c r="A737" s="95"/>
      <c r="B737" s="95"/>
      <c r="C737" s="94"/>
      <c r="E737" s="98"/>
      <c r="F737" s="126"/>
      <c r="G737" s="127"/>
      <c r="H737" s="128"/>
    </row>
    <row r="738" spans="1:8" ht="13.5" hidden="1" thickTop="1" x14ac:dyDescent="0.2">
      <c r="A738" s="95"/>
      <c r="B738" s="95"/>
      <c r="C738" s="94"/>
      <c r="E738" s="98"/>
      <c r="F738" s="126"/>
      <c r="G738" s="127"/>
      <c r="H738" s="128"/>
    </row>
    <row r="739" spans="1:8" ht="13.5" hidden="1" thickTop="1" x14ac:dyDescent="0.2">
      <c r="A739" s="95"/>
      <c r="B739" s="95"/>
      <c r="C739" s="94"/>
      <c r="E739" s="98"/>
      <c r="F739" s="126"/>
      <c r="G739" s="127"/>
      <c r="H739" s="128"/>
    </row>
    <row r="740" spans="1:8" ht="13.5" hidden="1" thickTop="1" x14ac:dyDescent="0.2">
      <c r="A740" s="95"/>
      <c r="B740" s="95"/>
      <c r="C740" s="94"/>
      <c r="E740" s="98"/>
      <c r="F740" s="126"/>
      <c r="G740" s="127"/>
      <c r="H740" s="128"/>
    </row>
    <row r="741" spans="1:8" ht="13.5" hidden="1" thickTop="1" x14ac:dyDescent="0.2">
      <c r="A741" s="95"/>
      <c r="B741" s="95"/>
      <c r="C741" s="94"/>
      <c r="E741" s="98"/>
      <c r="F741" s="126"/>
      <c r="G741" s="127"/>
      <c r="H741" s="128"/>
    </row>
    <row r="742" spans="1:8" ht="13.5" hidden="1" thickTop="1" x14ac:dyDescent="0.2">
      <c r="A742" s="95"/>
      <c r="B742" s="95"/>
      <c r="C742" s="94"/>
      <c r="E742" s="98"/>
      <c r="F742" s="126"/>
      <c r="G742" s="127"/>
      <c r="H742" s="128"/>
    </row>
    <row r="743" spans="1:8" ht="13.5" hidden="1" thickTop="1" x14ac:dyDescent="0.2">
      <c r="A743" s="95"/>
      <c r="B743" s="95"/>
      <c r="C743" s="94"/>
      <c r="E743" s="98"/>
      <c r="F743" s="126"/>
      <c r="G743" s="127"/>
      <c r="H743" s="128"/>
    </row>
    <row r="744" spans="1:8" ht="13.5" hidden="1" thickTop="1" x14ac:dyDescent="0.2">
      <c r="A744" s="95"/>
      <c r="B744" s="95"/>
      <c r="C744" s="94"/>
      <c r="E744" s="98"/>
      <c r="F744" s="126"/>
      <c r="G744" s="127"/>
      <c r="H744" s="128"/>
    </row>
    <row r="745" spans="1:8" ht="13.5" hidden="1" thickTop="1" x14ac:dyDescent="0.2">
      <c r="A745" s="95"/>
      <c r="B745" s="95"/>
      <c r="C745" s="94"/>
      <c r="E745" s="98"/>
      <c r="F745" s="126"/>
      <c r="G745" s="127"/>
      <c r="H745" s="128"/>
    </row>
    <row r="746" spans="1:8" ht="13.5" hidden="1" thickTop="1" x14ac:dyDescent="0.2">
      <c r="A746" s="95"/>
      <c r="B746" s="95"/>
      <c r="C746" s="94"/>
      <c r="E746" s="98"/>
      <c r="F746" s="126"/>
      <c r="G746" s="127"/>
      <c r="H746" s="128"/>
    </row>
    <row r="747" spans="1:8" ht="13.5" hidden="1" thickTop="1" x14ac:dyDescent="0.2">
      <c r="A747" s="95"/>
      <c r="B747" s="95"/>
      <c r="C747" s="94"/>
      <c r="E747" s="98"/>
      <c r="F747" s="126"/>
      <c r="G747" s="127"/>
      <c r="H747" s="128"/>
    </row>
    <row r="748" spans="1:8" ht="13.5" hidden="1" thickTop="1" x14ac:dyDescent="0.2">
      <c r="A748" s="95"/>
      <c r="B748" s="95"/>
      <c r="C748" s="94"/>
      <c r="E748" s="98"/>
      <c r="F748" s="126"/>
      <c r="G748" s="127"/>
      <c r="H748" s="128"/>
    </row>
    <row r="749" spans="1:8" ht="13.5" hidden="1" thickTop="1" x14ac:dyDescent="0.2">
      <c r="A749" s="95"/>
      <c r="B749" s="95"/>
      <c r="C749" s="94"/>
      <c r="E749" s="98"/>
      <c r="F749" s="126"/>
      <c r="G749" s="127"/>
      <c r="H749" s="128"/>
    </row>
    <row r="750" spans="1:8" ht="13.5" hidden="1" thickTop="1" x14ac:dyDescent="0.2">
      <c r="A750" s="95"/>
      <c r="B750" s="95"/>
      <c r="C750" s="94"/>
      <c r="E750" s="98"/>
      <c r="F750" s="126"/>
      <c r="G750" s="127"/>
      <c r="H750" s="128"/>
    </row>
    <row r="751" spans="1:8" ht="13.5" hidden="1" thickTop="1" x14ac:dyDescent="0.2">
      <c r="A751" s="95"/>
      <c r="B751" s="95"/>
      <c r="C751" s="94"/>
      <c r="E751" s="98"/>
      <c r="F751" s="126"/>
      <c r="G751" s="127"/>
      <c r="H751" s="128"/>
    </row>
    <row r="752" spans="1:8" ht="13.5" hidden="1" thickTop="1" x14ac:dyDescent="0.2">
      <c r="A752" s="95"/>
      <c r="B752" s="95"/>
      <c r="C752" s="94"/>
      <c r="E752" s="98"/>
      <c r="F752" s="126"/>
      <c r="G752" s="127"/>
      <c r="H752" s="128"/>
    </row>
    <row r="753" spans="1:8" ht="13.5" hidden="1" thickTop="1" x14ac:dyDescent="0.2">
      <c r="A753" s="95"/>
      <c r="B753" s="95"/>
      <c r="C753" s="94"/>
      <c r="E753" s="98"/>
      <c r="F753" s="126"/>
      <c r="G753" s="127"/>
      <c r="H753" s="128"/>
    </row>
    <row r="754" spans="1:8" ht="13.5" hidden="1" thickTop="1" x14ac:dyDescent="0.2">
      <c r="A754" s="95"/>
      <c r="B754" s="95"/>
      <c r="C754" s="94"/>
      <c r="E754" s="98"/>
      <c r="F754" s="126"/>
      <c r="G754" s="127"/>
      <c r="H754" s="128"/>
    </row>
    <row r="755" spans="1:8" ht="13.5" hidden="1" thickTop="1" x14ac:dyDescent="0.2">
      <c r="A755" s="95"/>
      <c r="B755" s="95"/>
      <c r="C755" s="94"/>
      <c r="E755" s="98"/>
      <c r="F755" s="126"/>
      <c r="G755" s="127"/>
      <c r="H755" s="128"/>
    </row>
    <row r="756" spans="1:8" ht="13.5" hidden="1" thickTop="1" x14ac:dyDescent="0.2">
      <c r="A756" s="95"/>
      <c r="B756" s="95"/>
      <c r="C756" s="94"/>
      <c r="E756" s="98"/>
      <c r="F756" s="126"/>
      <c r="G756" s="127"/>
      <c r="H756" s="128"/>
    </row>
    <row r="757" spans="1:8" ht="13.5" hidden="1" thickTop="1" x14ac:dyDescent="0.2">
      <c r="A757" s="95"/>
      <c r="B757" s="95"/>
      <c r="C757" s="94"/>
      <c r="E757" s="98"/>
      <c r="F757" s="126"/>
      <c r="G757" s="127"/>
      <c r="H757" s="128"/>
    </row>
    <row r="758" spans="1:8" ht="13.5" hidden="1" thickTop="1" x14ac:dyDescent="0.2">
      <c r="A758" s="95"/>
      <c r="B758" s="95"/>
      <c r="C758" s="94"/>
      <c r="E758" s="98"/>
      <c r="F758" s="126"/>
      <c r="G758" s="127"/>
      <c r="H758" s="128"/>
    </row>
    <row r="759" spans="1:8" ht="13.5" hidden="1" thickTop="1" x14ac:dyDescent="0.2">
      <c r="A759" s="95"/>
      <c r="B759" s="95"/>
      <c r="C759" s="94"/>
      <c r="E759" s="98"/>
      <c r="F759" s="126"/>
      <c r="G759" s="127"/>
      <c r="H759" s="128"/>
    </row>
    <row r="760" spans="1:8" ht="13.5" hidden="1" thickTop="1" x14ac:dyDescent="0.2">
      <c r="A760" s="95"/>
      <c r="B760" s="95"/>
      <c r="C760" s="94"/>
      <c r="E760" s="98"/>
      <c r="F760" s="126"/>
      <c r="G760" s="127"/>
      <c r="H760" s="128"/>
    </row>
    <row r="761" spans="1:8" ht="13.5" hidden="1" thickTop="1" x14ac:dyDescent="0.2">
      <c r="A761" s="95"/>
      <c r="B761" s="95"/>
      <c r="C761" s="94"/>
      <c r="E761" s="98"/>
      <c r="F761" s="126"/>
      <c r="G761" s="127"/>
      <c r="H761" s="128"/>
    </row>
    <row r="762" spans="1:8" ht="13.5" hidden="1" thickTop="1" x14ac:dyDescent="0.2">
      <c r="A762" s="95"/>
      <c r="B762" s="95"/>
      <c r="C762" s="94"/>
      <c r="E762" s="98"/>
      <c r="F762" s="126"/>
      <c r="G762" s="127"/>
      <c r="H762" s="128"/>
    </row>
    <row r="763" spans="1:8" ht="13.5" hidden="1" thickTop="1" x14ac:dyDescent="0.2">
      <c r="A763" s="95"/>
      <c r="B763" s="95"/>
      <c r="C763" s="94"/>
      <c r="E763" s="98"/>
      <c r="F763" s="126"/>
      <c r="G763" s="127"/>
      <c r="H763" s="128"/>
    </row>
    <row r="764" spans="1:8" ht="13.5" hidden="1" thickTop="1" x14ac:dyDescent="0.2">
      <c r="A764" s="95"/>
      <c r="B764" s="95"/>
      <c r="C764" s="94"/>
      <c r="E764" s="98"/>
      <c r="F764" s="126"/>
      <c r="G764" s="127"/>
      <c r="H764" s="128"/>
    </row>
    <row r="765" spans="1:8" ht="13.5" hidden="1" thickTop="1" x14ac:dyDescent="0.2">
      <c r="A765" s="95"/>
      <c r="B765" s="95"/>
      <c r="C765" s="94"/>
      <c r="E765" s="98"/>
      <c r="F765" s="126"/>
      <c r="G765" s="127"/>
      <c r="H765" s="128"/>
    </row>
    <row r="766" spans="1:8" ht="13.5" hidden="1" thickTop="1" x14ac:dyDescent="0.2">
      <c r="A766" s="95"/>
      <c r="B766" s="95"/>
      <c r="C766" s="94"/>
      <c r="E766" s="98"/>
      <c r="F766" s="126"/>
      <c r="G766" s="127"/>
      <c r="H766" s="128"/>
    </row>
    <row r="767" spans="1:8" ht="13.5" hidden="1" thickTop="1" x14ac:dyDescent="0.2">
      <c r="A767" s="95"/>
      <c r="B767" s="95"/>
      <c r="C767" s="94"/>
      <c r="E767" s="98"/>
      <c r="F767" s="126"/>
      <c r="G767" s="127"/>
      <c r="H767" s="128"/>
    </row>
    <row r="768" spans="1:8" ht="13.5" hidden="1" thickTop="1" x14ac:dyDescent="0.2">
      <c r="A768" s="95"/>
      <c r="B768" s="95"/>
      <c r="C768" s="94"/>
      <c r="E768" s="98"/>
      <c r="F768" s="126"/>
      <c r="G768" s="127"/>
      <c r="H768" s="128"/>
    </row>
    <row r="769" spans="1:8" ht="13.5" hidden="1" thickTop="1" x14ac:dyDescent="0.2">
      <c r="A769" s="95"/>
      <c r="B769" s="95"/>
      <c r="C769" s="94"/>
      <c r="E769" s="98"/>
      <c r="F769" s="126"/>
      <c r="G769" s="127"/>
      <c r="H769" s="128"/>
    </row>
    <row r="770" spans="1:8" ht="13.5" hidden="1" thickTop="1" x14ac:dyDescent="0.2">
      <c r="A770" s="95"/>
      <c r="B770" s="95"/>
      <c r="C770" s="94"/>
      <c r="E770" s="98"/>
      <c r="F770" s="126"/>
      <c r="G770" s="127"/>
      <c r="H770" s="128"/>
    </row>
    <row r="771" spans="1:8" ht="13.5" hidden="1" thickTop="1" x14ac:dyDescent="0.2">
      <c r="A771" s="95"/>
      <c r="B771" s="95"/>
      <c r="C771" s="94"/>
      <c r="E771" s="98"/>
      <c r="F771" s="126"/>
      <c r="G771" s="127"/>
      <c r="H771" s="128"/>
    </row>
    <row r="772" spans="1:8" ht="13.5" hidden="1" thickTop="1" x14ac:dyDescent="0.2">
      <c r="A772" s="95"/>
      <c r="B772" s="95"/>
      <c r="C772" s="94"/>
      <c r="E772" s="98"/>
      <c r="F772" s="126"/>
      <c r="G772" s="127"/>
      <c r="H772" s="128"/>
    </row>
    <row r="773" spans="1:8" ht="13.5" hidden="1" thickTop="1" x14ac:dyDescent="0.2">
      <c r="A773" s="95"/>
      <c r="B773" s="95"/>
      <c r="C773" s="94"/>
      <c r="E773" s="98"/>
      <c r="F773" s="126"/>
      <c r="G773" s="127"/>
      <c r="H773" s="128"/>
    </row>
    <row r="774" spans="1:8" ht="13.5" hidden="1" thickTop="1" x14ac:dyDescent="0.2">
      <c r="A774" s="95"/>
      <c r="B774" s="95"/>
      <c r="C774" s="94"/>
      <c r="E774" s="98"/>
      <c r="F774" s="126"/>
      <c r="G774" s="127"/>
      <c r="H774" s="128"/>
    </row>
    <row r="775" spans="1:8" ht="13.5" hidden="1" thickTop="1" x14ac:dyDescent="0.2">
      <c r="A775" s="95"/>
      <c r="B775" s="95"/>
      <c r="C775" s="94"/>
      <c r="E775" s="98"/>
      <c r="F775" s="126"/>
      <c r="G775" s="127"/>
      <c r="H775" s="128"/>
    </row>
    <row r="776" spans="1:8" ht="13.5" hidden="1" thickTop="1" x14ac:dyDescent="0.2">
      <c r="A776" s="95"/>
      <c r="B776" s="95"/>
      <c r="C776" s="94"/>
      <c r="E776" s="98"/>
      <c r="F776" s="126"/>
      <c r="G776" s="127"/>
      <c r="H776" s="128"/>
    </row>
    <row r="777" spans="1:8" ht="13.5" hidden="1" thickTop="1" x14ac:dyDescent="0.2">
      <c r="A777" s="95"/>
      <c r="B777" s="95"/>
      <c r="C777" s="94"/>
      <c r="E777" s="98"/>
      <c r="F777" s="126"/>
      <c r="G777" s="127"/>
      <c r="H777" s="128"/>
    </row>
    <row r="778" spans="1:8" ht="13.5" hidden="1" thickTop="1" x14ac:dyDescent="0.2">
      <c r="A778" s="95"/>
      <c r="B778" s="95"/>
      <c r="C778" s="94"/>
      <c r="E778" s="98"/>
      <c r="F778" s="126"/>
      <c r="G778" s="127"/>
      <c r="H778" s="128"/>
    </row>
    <row r="779" spans="1:8" ht="13.5" hidden="1" thickTop="1" x14ac:dyDescent="0.2">
      <c r="A779" s="95"/>
      <c r="B779" s="95"/>
      <c r="C779" s="94"/>
      <c r="E779" s="98"/>
      <c r="F779" s="126"/>
      <c r="G779" s="127"/>
      <c r="H779" s="128"/>
    </row>
    <row r="780" spans="1:8" ht="13.5" hidden="1" thickTop="1" x14ac:dyDescent="0.2">
      <c r="A780" s="95"/>
      <c r="B780" s="95"/>
      <c r="C780" s="94"/>
      <c r="E780" s="98"/>
      <c r="F780" s="126"/>
      <c r="G780" s="127"/>
      <c r="H780" s="128"/>
    </row>
    <row r="781" spans="1:8" ht="13.5" hidden="1" thickTop="1" x14ac:dyDescent="0.2">
      <c r="A781" s="95"/>
      <c r="B781" s="95"/>
      <c r="C781" s="94"/>
      <c r="E781" s="98"/>
      <c r="F781" s="126"/>
      <c r="G781" s="127"/>
      <c r="H781" s="128"/>
    </row>
    <row r="782" spans="1:8" ht="13.5" hidden="1" thickTop="1" x14ac:dyDescent="0.2">
      <c r="A782" s="95"/>
      <c r="B782" s="95"/>
      <c r="C782" s="94"/>
      <c r="E782" s="98"/>
      <c r="F782" s="126"/>
      <c r="G782" s="127"/>
      <c r="H782" s="128"/>
    </row>
    <row r="783" spans="1:8" ht="13.5" hidden="1" thickTop="1" x14ac:dyDescent="0.2">
      <c r="A783" s="95"/>
      <c r="B783" s="95"/>
      <c r="C783" s="94"/>
      <c r="E783" s="98"/>
      <c r="F783" s="126"/>
      <c r="G783" s="127"/>
      <c r="H783" s="128"/>
    </row>
    <row r="784" spans="1:8" ht="13.5" hidden="1" thickTop="1" x14ac:dyDescent="0.2">
      <c r="A784" s="95"/>
      <c r="B784" s="95"/>
      <c r="C784" s="94"/>
      <c r="E784" s="98"/>
      <c r="F784" s="126"/>
      <c r="G784" s="127"/>
      <c r="H784" s="128"/>
    </row>
    <row r="785" spans="1:8" ht="13.5" hidden="1" thickTop="1" x14ac:dyDescent="0.2">
      <c r="A785" s="95"/>
      <c r="B785" s="95"/>
      <c r="C785" s="94"/>
      <c r="E785" s="98"/>
      <c r="F785" s="126"/>
      <c r="G785" s="127"/>
      <c r="H785" s="128"/>
    </row>
    <row r="786" spans="1:8" ht="13.5" hidden="1" thickTop="1" x14ac:dyDescent="0.2">
      <c r="A786" s="95"/>
      <c r="B786" s="95"/>
      <c r="C786" s="94"/>
      <c r="E786" s="98"/>
      <c r="F786" s="126"/>
      <c r="G786" s="127"/>
      <c r="H786" s="128"/>
    </row>
    <row r="787" spans="1:8" ht="13.5" hidden="1" thickTop="1" x14ac:dyDescent="0.2">
      <c r="A787" s="95"/>
      <c r="B787" s="95"/>
      <c r="C787" s="94"/>
      <c r="E787" s="98"/>
      <c r="F787" s="126"/>
      <c r="G787" s="127"/>
      <c r="H787" s="128"/>
    </row>
    <row r="788" spans="1:8" ht="13.5" hidden="1" thickTop="1" x14ac:dyDescent="0.2">
      <c r="A788" s="95"/>
      <c r="B788" s="95"/>
      <c r="C788" s="94"/>
      <c r="E788" s="98"/>
      <c r="F788" s="126"/>
      <c r="G788" s="127"/>
      <c r="H788" s="128"/>
    </row>
    <row r="789" spans="1:8" ht="13.5" hidden="1" thickTop="1" x14ac:dyDescent="0.2">
      <c r="A789" s="95"/>
      <c r="B789" s="95"/>
      <c r="C789" s="94"/>
      <c r="E789" s="98"/>
      <c r="F789" s="126"/>
      <c r="G789" s="127"/>
      <c r="H789" s="128"/>
    </row>
    <row r="790" spans="1:8" ht="13.5" hidden="1" thickTop="1" x14ac:dyDescent="0.2">
      <c r="A790" s="95"/>
      <c r="B790" s="95"/>
      <c r="C790" s="94"/>
      <c r="E790" s="98"/>
      <c r="F790" s="126"/>
      <c r="G790" s="127"/>
      <c r="H790" s="128"/>
    </row>
    <row r="791" spans="1:8" ht="13.5" hidden="1" thickTop="1" x14ac:dyDescent="0.2">
      <c r="A791" s="95"/>
      <c r="B791" s="95"/>
      <c r="C791" s="94"/>
      <c r="E791" s="98"/>
      <c r="F791" s="126"/>
      <c r="G791" s="127"/>
      <c r="H791" s="128"/>
    </row>
    <row r="792" spans="1:8" ht="13.5" hidden="1" thickTop="1" x14ac:dyDescent="0.2">
      <c r="A792" s="95"/>
      <c r="B792" s="95"/>
      <c r="C792" s="94"/>
      <c r="E792" s="98"/>
      <c r="F792" s="126"/>
      <c r="G792" s="127"/>
      <c r="H792" s="128"/>
    </row>
    <row r="793" spans="1:8" ht="13.5" hidden="1" thickTop="1" x14ac:dyDescent="0.2">
      <c r="A793" s="95"/>
      <c r="B793" s="95"/>
      <c r="C793" s="94"/>
      <c r="E793" s="98"/>
      <c r="F793" s="126"/>
      <c r="G793" s="127"/>
      <c r="H793" s="128"/>
    </row>
    <row r="794" spans="1:8" ht="13.5" hidden="1" thickTop="1" x14ac:dyDescent="0.2">
      <c r="A794" s="95"/>
      <c r="B794" s="95"/>
      <c r="C794" s="94"/>
      <c r="E794" s="98"/>
      <c r="F794" s="126"/>
      <c r="G794" s="127"/>
      <c r="H794" s="128"/>
    </row>
    <row r="795" spans="1:8" ht="13.5" hidden="1" thickTop="1" x14ac:dyDescent="0.2">
      <c r="A795" s="95"/>
      <c r="B795" s="95"/>
      <c r="C795" s="94"/>
      <c r="E795" s="98"/>
      <c r="F795" s="126"/>
      <c r="G795" s="127"/>
      <c r="H795" s="128"/>
    </row>
    <row r="796" spans="1:8" ht="13.5" hidden="1" thickTop="1" x14ac:dyDescent="0.2">
      <c r="A796" s="95"/>
      <c r="B796" s="95"/>
      <c r="C796" s="94"/>
      <c r="E796" s="98"/>
      <c r="F796" s="126"/>
      <c r="G796" s="127"/>
      <c r="H796" s="128"/>
    </row>
    <row r="797" spans="1:8" ht="13.5" hidden="1" thickTop="1" x14ac:dyDescent="0.2">
      <c r="A797" s="95"/>
      <c r="B797" s="95"/>
      <c r="C797" s="94"/>
      <c r="E797" s="98"/>
      <c r="F797" s="126"/>
      <c r="G797" s="127"/>
      <c r="H797" s="128"/>
    </row>
    <row r="798" spans="1:8" ht="13.5" hidden="1" thickTop="1" x14ac:dyDescent="0.2">
      <c r="A798" s="95"/>
      <c r="B798" s="95"/>
      <c r="C798" s="94"/>
      <c r="E798" s="98"/>
      <c r="F798" s="126"/>
      <c r="G798" s="127"/>
      <c r="H798" s="128"/>
    </row>
    <row r="799" spans="1:8" ht="13.5" hidden="1" thickTop="1" x14ac:dyDescent="0.2">
      <c r="A799" s="95"/>
      <c r="B799" s="95"/>
      <c r="C799" s="94"/>
      <c r="E799" s="98"/>
      <c r="F799" s="126"/>
      <c r="G799" s="127"/>
      <c r="H799" s="128"/>
    </row>
    <row r="800" spans="1:8" ht="13.5" hidden="1" thickTop="1" x14ac:dyDescent="0.2">
      <c r="A800" s="95"/>
      <c r="B800" s="95"/>
      <c r="C800" s="94"/>
      <c r="E800" s="98"/>
      <c r="F800" s="126"/>
      <c r="G800" s="127"/>
      <c r="H800" s="128"/>
    </row>
    <row r="801" spans="1:8" ht="13.5" hidden="1" thickTop="1" x14ac:dyDescent="0.2">
      <c r="A801" s="95"/>
      <c r="B801" s="95"/>
      <c r="C801" s="94"/>
      <c r="E801" s="98"/>
      <c r="F801" s="126"/>
      <c r="G801" s="127"/>
      <c r="H801" s="128"/>
    </row>
    <row r="802" spans="1:8" ht="13.5" hidden="1" thickTop="1" x14ac:dyDescent="0.2">
      <c r="A802" s="95"/>
      <c r="B802" s="95"/>
      <c r="C802" s="94"/>
      <c r="E802" s="98"/>
      <c r="F802" s="126"/>
      <c r="G802" s="127"/>
      <c r="H802" s="128"/>
    </row>
    <row r="803" spans="1:8" ht="13.5" hidden="1" thickTop="1" x14ac:dyDescent="0.2">
      <c r="A803" s="95"/>
      <c r="B803" s="95"/>
      <c r="C803" s="94"/>
      <c r="E803" s="98"/>
      <c r="F803" s="126"/>
      <c r="G803" s="127"/>
      <c r="H803" s="128"/>
    </row>
    <row r="804" spans="1:8" ht="13.5" hidden="1" thickTop="1" x14ac:dyDescent="0.2">
      <c r="A804" s="95"/>
      <c r="B804" s="95"/>
      <c r="C804" s="94"/>
      <c r="E804" s="98"/>
      <c r="F804" s="126"/>
      <c r="G804" s="127"/>
      <c r="H804" s="128"/>
    </row>
    <row r="805" spans="1:8" ht="13.5" hidden="1" thickTop="1" x14ac:dyDescent="0.2">
      <c r="A805" s="95"/>
      <c r="B805" s="95"/>
      <c r="C805" s="94"/>
      <c r="E805" s="98"/>
      <c r="F805" s="126"/>
      <c r="G805" s="127"/>
      <c r="H805" s="128"/>
    </row>
    <row r="806" spans="1:8" ht="13.5" hidden="1" thickTop="1" x14ac:dyDescent="0.2">
      <c r="A806" s="95"/>
      <c r="B806" s="95"/>
      <c r="C806" s="94"/>
      <c r="E806" s="98"/>
      <c r="F806" s="126"/>
      <c r="G806" s="127"/>
      <c r="H806" s="128"/>
    </row>
    <row r="807" spans="1:8" ht="13.5" hidden="1" thickTop="1" x14ac:dyDescent="0.2">
      <c r="A807" s="95"/>
      <c r="B807" s="95"/>
      <c r="C807" s="94"/>
      <c r="E807" s="98"/>
      <c r="F807" s="126"/>
      <c r="G807" s="127"/>
      <c r="H807" s="128"/>
    </row>
    <row r="808" spans="1:8" ht="13.5" hidden="1" thickTop="1" x14ac:dyDescent="0.2">
      <c r="A808" s="95"/>
      <c r="B808" s="95"/>
      <c r="C808" s="94"/>
      <c r="E808" s="98"/>
      <c r="F808" s="126"/>
      <c r="G808" s="127"/>
      <c r="H808" s="128"/>
    </row>
    <row r="809" spans="1:8" ht="13.5" hidden="1" thickTop="1" x14ac:dyDescent="0.2">
      <c r="A809" s="95"/>
      <c r="B809" s="95"/>
      <c r="C809" s="94"/>
      <c r="E809" s="98"/>
      <c r="F809" s="126"/>
      <c r="G809" s="127"/>
      <c r="H809" s="128"/>
    </row>
    <row r="810" spans="1:8" ht="13.5" hidden="1" thickTop="1" x14ac:dyDescent="0.2">
      <c r="A810" s="95"/>
      <c r="B810" s="95"/>
      <c r="C810" s="94"/>
      <c r="E810" s="98"/>
      <c r="F810" s="126"/>
      <c r="G810" s="127"/>
      <c r="H810" s="128"/>
    </row>
    <row r="811" spans="1:8" ht="13.5" hidden="1" thickTop="1" x14ac:dyDescent="0.2">
      <c r="A811" s="95"/>
      <c r="B811" s="95"/>
      <c r="C811" s="94"/>
      <c r="E811" s="98"/>
      <c r="F811" s="126"/>
      <c r="G811" s="127"/>
      <c r="H811" s="128"/>
    </row>
    <row r="812" spans="1:8" ht="13.5" hidden="1" thickTop="1" x14ac:dyDescent="0.2">
      <c r="A812" s="95"/>
      <c r="B812" s="95"/>
      <c r="C812" s="94"/>
      <c r="E812" s="98"/>
      <c r="F812" s="126"/>
      <c r="G812" s="127"/>
      <c r="H812" s="128"/>
    </row>
    <row r="813" spans="1:8" ht="13.5" hidden="1" thickTop="1" x14ac:dyDescent="0.2">
      <c r="A813" s="95"/>
      <c r="B813" s="95"/>
      <c r="C813" s="94"/>
      <c r="E813" s="98"/>
      <c r="F813" s="126"/>
      <c r="G813" s="127"/>
      <c r="H813" s="128"/>
    </row>
    <row r="814" spans="1:8" ht="13.5" hidden="1" thickTop="1" x14ac:dyDescent="0.2">
      <c r="A814" s="95"/>
      <c r="B814" s="95"/>
      <c r="C814" s="94"/>
      <c r="E814" s="98"/>
      <c r="F814" s="126"/>
      <c r="G814" s="127"/>
      <c r="H814" s="128"/>
    </row>
    <row r="815" spans="1:8" ht="13.5" hidden="1" thickTop="1" x14ac:dyDescent="0.2">
      <c r="A815" s="95"/>
      <c r="B815" s="95"/>
      <c r="C815" s="94"/>
      <c r="E815" s="98"/>
      <c r="F815" s="126"/>
      <c r="G815" s="127"/>
      <c r="H815" s="128"/>
    </row>
    <row r="816" spans="1:8" ht="13.5" hidden="1" thickTop="1" x14ac:dyDescent="0.2">
      <c r="A816" s="95"/>
      <c r="B816" s="95"/>
      <c r="C816" s="94"/>
      <c r="E816" s="98"/>
      <c r="F816" s="126"/>
      <c r="G816" s="127"/>
      <c r="H816" s="128"/>
    </row>
    <row r="817" spans="1:8" ht="13.5" hidden="1" thickTop="1" x14ac:dyDescent="0.2">
      <c r="A817" s="95"/>
      <c r="B817" s="95"/>
      <c r="C817" s="94"/>
      <c r="E817" s="98"/>
      <c r="F817" s="126"/>
      <c r="G817" s="127"/>
      <c r="H817" s="128"/>
    </row>
    <row r="818" spans="1:8" ht="13.5" hidden="1" thickTop="1" x14ac:dyDescent="0.2">
      <c r="A818" s="95"/>
      <c r="B818" s="95"/>
      <c r="C818" s="94"/>
      <c r="E818" s="98"/>
      <c r="F818" s="126"/>
      <c r="G818" s="127"/>
      <c r="H818" s="128"/>
    </row>
    <row r="819" spans="1:8" ht="13.5" hidden="1" thickTop="1" x14ac:dyDescent="0.2">
      <c r="A819" s="95"/>
      <c r="B819" s="95"/>
      <c r="C819" s="94"/>
      <c r="E819" s="98"/>
      <c r="F819" s="126"/>
      <c r="G819" s="127"/>
      <c r="H819" s="128"/>
    </row>
    <row r="820" spans="1:8" ht="13.5" hidden="1" thickTop="1" x14ac:dyDescent="0.2">
      <c r="A820" s="95"/>
      <c r="B820" s="95"/>
      <c r="C820" s="94"/>
      <c r="E820" s="98"/>
      <c r="F820" s="126"/>
      <c r="G820" s="127"/>
      <c r="H820" s="128"/>
    </row>
    <row r="821" spans="1:8" ht="13.5" hidden="1" thickTop="1" x14ac:dyDescent="0.2">
      <c r="A821" s="95"/>
      <c r="B821" s="95"/>
      <c r="C821" s="94"/>
      <c r="E821" s="98"/>
      <c r="F821" s="126"/>
      <c r="G821" s="127"/>
      <c r="H821" s="128"/>
    </row>
    <row r="822" spans="1:8" ht="13.5" hidden="1" thickTop="1" x14ac:dyDescent="0.2">
      <c r="A822" s="95"/>
      <c r="B822" s="95"/>
      <c r="C822" s="94"/>
      <c r="E822" s="98"/>
      <c r="F822" s="126"/>
      <c r="G822" s="127"/>
      <c r="H822" s="128"/>
    </row>
    <row r="823" spans="1:8" ht="13.5" hidden="1" thickTop="1" x14ac:dyDescent="0.2">
      <c r="A823" s="95"/>
      <c r="B823" s="95"/>
      <c r="C823" s="94"/>
      <c r="E823" s="98"/>
      <c r="F823" s="126"/>
      <c r="G823" s="127"/>
      <c r="H823" s="128"/>
    </row>
    <row r="824" spans="1:8" ht="13.5" hidden="1" thickTop="1" x14ac:dyDescent="0.2">
      <c r="A824" s="95"/>
      <c r="B824" s="95"/>
      <c r="C824" s="94"/>
      <c r="E824" s="98"/>
      <c r="F824" s="126"/>
      <c r="G824" s="127"/>
      <c r="H824" s="128"/>
    </row>
    <row r="825" spans="1:8" ht="13.5" hidden="1" thickTop="1" x14ac:dyDescent="0.2">
      <c r="A825" s="95"/>
      <c r="B825" s="95"/>
      <c r="C825" s="94"/>
      <c r="E825" s="98"/>
      <c r="F825" s="126"/>
      <c r="G825" s="127"/>
      <c r="H825" s="128"/>
    </row>
    <row r="826" spans="1:8" ht="13.5" hidden="1" thickTop="1" x14ac:dyDescent="0.2">
      <c r="A826" s="95"/>
      <c r="B826" s="95"/>
      <c r="C826" s="94"/>
      <c r="E826" s="98"/>
      <c r="F826" s="126"/>
      <c r="G826" s="127"/>
      <c r="H826" s="128"/>
    </row>
    <row r="827" spans="1:8" ht="13.5" hidden="1" thickTop="1" x14ac:dyDescent="0.2">
      <c r="A827" s="95"/>
      <c r="B827" s="95"/>
      <c r="C827" s="94"/>
      <c r="E827" s="98"/>
      <c r="F827" s="126"/>
      <c r="G827" s="127"/>
      <c r="H827" s="128"/>
    </row>
    <row r="828" spans="1:8" ht="13.5" hidden="1" thickTop="1" x14ac:dyDescent="0.2">
      <c r="A828" s="95"/>
      <c r="B828" s="95"/>
      <c r="C828" s="94"/>
      <c r="E828" s="98"/>
      <c r="F828" s="126"/>
      <c r="G828" s="127"/>
      <c r="H828" s="128"/>
    </row>
    <row r="829" spans="1:8" ht="13.5" hidden="1" thickTop="1" x14ac:dyDescent="0.2">
      <c r="A829" s="95"/>
      <c r="B829" s="95"/>
      <c r="C829" s="94"/>
      <c r="E829" s="98"/>
      <c r="F829" s="126"/>
      <c r="G829" s="127"/>
      <c r="H829" s="128"/>
    </row>
    <row r="830" spans="1:8" ht="13.5" hidden="1" thickTop="1" x14ac:dyDescent="0.2">
      <c r="A830" s="95"/>
      <c r="B830" s="95"/>
      <c r="C830" s="94"/>
      <c r="E830" s="98"/>
      <c r="F830" s="126"/>
      <c r="G830" s="127"/>
      <c r="H830" s="128"/>
    </row>
    <row r="831" spans="1:8" ht="13.5" hidden="1" thickTop="1" x14ac:dyDescent="0.2">
      <c r="A831" s="95"/>
      <c r="B831" s="95"/>
      <c r="C831" s="94"/>
      <c r="E831" s="98"/>
      <c r="F831" s="126"/>
      <c r="G831" s="127"/>
      <c r="H831" s="128"/>
    </row>
    <row r="832" spans="1:8" ht="13.5" hidden="1" thickTop="1" x14ac:dyDescent="0.2">
      <c r="A832" s="95"/>
      <c r="B832" s="95"/>
      <c r="C832" s="94"/>
      <c r="E832" s="98"/>
      <c r="F832" s="126"/>
      <c r="G832" s="127"/>
      <c r="H832" s="128"/>
    </row>
    <row r="833" spans="1:8" ht="13.5" hidden="1" thickTop="1" x14ac:dyDescent="0.2">
      <c r="A833" s="95"/>
      <c r="B833" s="95"/>
      <c r="C833" s="94"/>
      <c r="E833" s="98"/>
      <c r="F833" s="126"/>
      <c r="G833" s="127"/>
      <c r="H833" s="128"/>
    </row>
    <row r="834" spans="1:8" ht="13.5" hidden="1" thickTop="1" x14ac:dyDescent="0.2">
      <c r="A834" s="95"/>
      <c r="B834" s="95"/>
      <c r="C834" s="94"/>
      <c r="E834" s="98"/>
      <c r="F834" s="126"/>
      <c r="G834" s="127"/>
      <c r="H834" s="128"/>
    </row>
    <row r="835" spans="1:8" ht="13.5" hidden="1" thickTop="1" x14ac:dyDescent="0.2">
      <c r="A835" s="95"/>
      <c r="B835" s="95"/>
      <c r="C835" s="94"/>
      <c r="E835" s="98"/>
      <c r="F835" s="126"/>
      <c r="G835" s="127"/>
      <c r="H835" s="128"/>
    </row>
    <row r="836" spans="1:8" ht="13.5" hidden="1" thickTop="1" x14ac:dyDescent="0.2">
      <c r="A836" s="95"/>
      <c r="B836" s="95"/>
      <c r="C836" s="94"/>
      <c r="E836" s="98"/>
      <c r="F836" s="126"/>
      <c r="G836" s="127"/>
      <c r="H836" s="128"/>
    </row>
    <row r="837" spans="1:8" ht="13.5" hidden="1" thickTop="1" x14ac:dyDescent="0.2">
      <c r="A837" s="95"/>
      <c r="B837" s="95"/>
      <c r="C837" s="94"/>
      <c r="E837" s="98"/>
      <c r="F837" s="126"/>
      <c r="G837" s="127"/>
      <c r="H837" s="128"/>
    </row>
    <row r="838" spans="1:8" ht="13.5" hidden="1" thickTop="1" x14ac:dyDescent="0.2">
      <c r="A838" s="95"/>
      <c r="B838" s="95"/>
      <c r="C838" s="94"/>
      <c r="E838" s="98"/>
      <c r="F838" s="126"/>
      <c r="G838" s="127"/>
      <c r="H838" s="128"/>
    </row>
    <row r="839" spans="1:8" ht="13.5" hidden="1" thickTop="1" x14ac:dyDescent="0.2">
      <c r="A839" s="95"/>
      <c r="B839" s="95"/>
      <c r="C839" s="94"/>
      <c r="E839" s="98"/>
      <c r="F839" s="126"/>
      <c r="G839" s="127"/>
      <c r="H839" s="128"/>
    </row>
    <row r="840" spans="1:8" ht="13.5" hidden="1" thickTop="1" x14ac:dyDescent="0.2">
      <c r="A840" s="95"/>
      <c r="B840" s="95"/>
      <c r="C840" s="94"/>
      <c r="E840" s="98"/>
      <c r="F840" s="126"/>
      <c r="G840" s="127"/>
      <c r="H840" s="128"/>
    </row>
    <row r="841" spans="1:8" ht="13.5" hidden="1" thickTop="1" x14ac:dyDescent="0.2">
      <c r="A841" s="95"/>
      <c r="B841" s="95"/>
      <c r="C841" s="94"/>
      <c r="E841" s="98"/>
      <c r="F841" s="126"/>
      <c r="G841" s="127"/>
      <c r="H841" s="128"/>
    </row>
    <row r="842" spans="1:8" ht="13.5" hidden="1" thickTop="1" x14ac:dyDescent="0.2">
      <c r="A842" s="95"/>
      <c r="B842" s="95"/>
      <c r="C842" s="94"/>
      <c r="E842" s="98"/>
      <c r="F842" s="126"/>
      <c r="G842" s="127"/>
      <c r="H842" s="128"/>
    </row>
    <row r="843" spans="1:8" ht="13.5" hidden="1" thickTop="1" x14ac:dyDescent="0.2">
      <c r="A843" s="95"/>
      <c r="B843" s="95"/>
      <c r="C843" s="94"/>
      <c r="E843" s="98"/>
      <c r="F843" s="126"/>
      <c r="G843" s="127"/>
      <c r="H843" s="128"/>
    </row>
    <row r="844" spans="1:8" ht="13.5" hidden="1" thickTop="1" x14ac:dyDescent="0.2">
      <c r="A844" s="95"/>
      <c r="B844" s="95"/>
      <c r="C844" s="94"/>
      <c r="E844" s="98"/>
      <c r="F844" s="126"/>
      <c r="G844" s="127"/>
      <c r="H844" s="128"/>
    </row>
    <row r="845" spans="1:8" ht="13.5" hidden="1" thickTop="1" x14ac:dyDescent="0.2">
      <c r="A845" s="95"/>
      <c r="B845" s="95"/>
      <c r="C845" s="94"/>
      <c r="E845" s="98"/>
      <c r="F845" s="126"/>
      <c r="G845" s="127"/>
      <c r="H845" s="128"/>
    </row>
    <row r="846" spans="1:8" ht="13.5" hidden="1" thickTop="1" x14ac:dyDescent="0.2">
      <c r="A846" s="95"/>
      <c r="B846" s="95"/>
      <c r="C846" s="94"/>
      <c r="E846" s="98"/>
      <c r="F846" s="126"/>
      <c r="G846" s="127"/>
      <c r="H846" s="128"/>
    </row>
    <row r="847" spans="1:8" ht="13.5" hidden="1" thickTop="1" x14ac:dyDescent="0.2">
      <c r="A847" s="95"/>
      <c r="B847" s="95"/>
      <c r="C847" s="94"/>
      <c r="E847" s="98"/>
      <c r="F847" s="126"/>
      <c r="G847" s="127"/>
      <c r="H847" s="128"/>
    </row>
    <row r="848" spans="1:8" ht="13.5" hidden="1" thickTop="1" x14ac:dyDescent="0.2">
      <c r="A848" s="95"/>
      <c r="B848" s="95"/>
      <c r="C848" s="94"/>
      <c r="E848" s="98"/>
      <c r="F848" s="126"/>
      <c r="G848" s="127"/>
      <c r="H848" s="128"/>
    </row>
    <row r="849" spans="1:8" ht="13.5" hidden="1" thickTop="1" x14ac:dyDescent="0.2">
      <c r="A849" s="95"/>
      <c r="B849" s="95"/>
      <c r="C849" s="94"/>
      <c r="E849" s="98"/>
      <c r="F849" s="126"/>
      <c r="G849" s="127"/>
      <c r="H849" s="128"/>
    </row>
    <row r="850" spans="1:8" ht="13.5" hidden="1" thickTop="1" x14ac:dyDescent="0.2">
      <c r="A850" s="95"/>
      <c r="B850" s="95"/>
      <c r="C850" s="94"/>
      <c r="E850" s="98"/>
      <c r="F850" s="126"/>
      <c r="G850" s="127"/>
      <c r="H850" s="128"/>
    </row>
    <row r="851" spans="1:8" ht="13.5" hidden="1" thickTop="1" x14ac:dyDescent="0.2">
      <c r="A851" s="95"/>
      <c r="B851" s="95"/>
      <c r="C851" s="94"/>
      <c r="E851" s="98"/>
      <c r="F851" s="126"/>
      <c r="G851" s="127"/>
      <c r="H851" s="128"/>
    </row>
    <row r="852" spans="1:8" ht="13.5" hidden="1" thickTop="1" x14ac:dyDescent="0.2">
      <c r="A852" s="95"/>
      <c r="B852" s="95"/>
      <c r="C852" s="94"/>
      <c r="E852" s="98"/>
      <c r="F852" s="126"/>
      <c r="G852" s="127"/>
      <c r="H852" s="128"/>
    </row>
    <row r="853" spans="1:8" ht="14.25" hidden="1" thickTop="1" thickBot="1" x14ac:dyDescent="0.25">
      <c r="A853" s="95"/>
      <c r="B853" s="95"/>
      <c r="C853" s="94"/>
      <c r="E853" s="129"/>
      <c r="F853" s="130"/>
      <c r="G853" s="131"/>
      <c r="H853" s="132"/>
    </row>
    <row r="854" spans="1:8" ht="15.75" customHeight="1" thickTop="1" x14ac:dyDescent="0.2"/>
  </sheetData>
  <autoFilter ref="A6:F215" xr:uid="{00000000-0009-0000-0000-000004000000}"/>
  <mergeCells count="6">
    <mergeCell ref="A2:D5"/>
    <mergeCell ref="E2:F2"/>
    <mergeCell ref="E3:F3"/>
    <mergeCell ref="G3:G5"/>
    <mergeCell ref="E4:F4"/>
    <mergeCell ref="E5:F5"/>
  </mergeCells>
  <conditionalFormatting sqref="C6:C853">
    <cfRule type="cellIs" dxfId="48" priority="4" operator="lessThan">
      <formula>"92%"</formula>
    </cfRule>
  </conditionalFormatting>
  <conditionalFormatting sqref="C7:C215">
    <cfRule type="cellIs" dxfId="47" priority="1" operator="lessThan">
      <formula>"90%"</formula>
    </cfRule>
    <cfRule type="cellIs" dxfId="46" priority="2" operator="lessThan">
      <formula>"94%"</formula>
    </cfRule>
  </conditionalFormatting>
  <conditionalFormatting sqref="H1:H2 H6:H853">
    <cfRule type="cellIs" dxfId="45" priority="3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outlinePr summaryBelow="0" summaryRight="0"/>
    <pageSetUpPr fitToPage="1"/>
  </sheetPr>
  <dimension ref="A1:K853"/>
  <sheetViews>
    <sheetView workbookViewId="0">
      <pane ySplit="6" topLeftCell="A46" activePane="bottomLeft" state="frozen"/>
      <selection pane="bottomLeft" activeCell="H3" sqref="H3:I3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0"/>
      <c r="B1" s="80"/>
      <c r="C1" s="80"/>
      <c r="D1" s="80"/>
      <c r="E1" s="80"/>
      <c r="F1" s="80"/>
      <c r="G1" s="80"/>
      <c r="H1" s="81"/>
      <c r="I1" s="81"/>
      <c r="J1" s="82"/>
      <c r="K1" s="134" t="e">
        <f>SUM(K10:K218)</f>
        <v>#REF!</v>
      </c>
    </row>
    <row r="2" spans="1:11" x14ac:dyDescent="0.25">
      <c r="A2" s="242"/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302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218997.97150000004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89" t="s">
        <v>222</v>
      </c>
      <c r="I6" s="90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225</v>
      </c>
      <c r="E7" s="96"/>
      <c r="F7" s="96"/>
      <c r="G7" s="97">
        <v>585</v>
      </c>
      <c r="H7" s="98">
        <f t="shared" ref="H7:H11" si="0">G7-(C7*G7)</f>
        <v>0</v>
      </c>
      <c r="I7" s="99">
        <f t="shared" ref="I7:I215" si="1">H7*$H$5</f>
        <v>0</v>
      </c>
      <c r="J7" s="100">
        <v>0</v>
      </c>
      <c r="K7" s="101">
        <f t="shared" ref="K7:K124" si="2">J7-H7</f>
        <v>0</v>
      </c>
    </row>
    <row r="8" spans="1:11" ht="12.75" x14ac:dyDescent="0.2">
      <c r="A8" s="92">
        <v>45517</v>
      </c>
      <c r="B8" s="93" t="s">
        <v>35</v>
      </c>
      <c r="C8" s="94">
        <v>0.98129999999999995</v>
      </c>
      <c r="D8" s="95" t="s">
        <v>225</v>
      </c>
      <c r="E8" s="96"/>
      <c r="F8" s="96"/>
      <c r="G8" s="97">
        <v>591</v>
      </c>
      <c r="H8" s="98">
        <f t="shared" si="0"/>
        <v>11.051699999999983</v>
      </c>
      <c r="I8" s="99">
        <f t="shared" si="1"/>
        <v>607.84349999999904</v>
      </c>
      <c r="J8" s="100">
        <v>0</v>
      </c>
      <c r="K8" s="101">
        <f t="shared" si="2"/>
        <v>-11.051699999999983</v>
      </c>
    </row>
    <row r="9" spans="1:11" ht="12.75" x14ac:dyDescent="0.2">
      <c r="A9" s="92">
        <v>45518</v>
      </c>
      <c r="B9" s="93" t="s">
        <v>37</v>
      </c>
      <c r="C9" s="94">
        <v>0.98319999999999996</v>
      </c>
      <c r="D9" s="95" t="s">
        <v>225</v>
      </c>
      <c r="E9" s="96"/>
      <c r="F9" s="96"/>
      <c r="G9" s="97">
        <v>599</v>
      </c>
      <c r="H9" s="98">
        <f t="shared" si="0"/>
        <v>10.063200000000052</v>
      </c>
      <c r="I9" s="99">
        <f t="shared" si="1"/>
        <v>553.47600000000284</v>
      </c>
      <c r="J9" s="100">
        <v>0</v>
      </c>
      <c r="K9" s="101">
        <f t="shared" si="2"/>
        <v>-10.063200000000052</v>
      </c>
    </row>
    <row r="10" spans="1:11" ht="12.75" x14ac:dyDescent="0.2">
      <c r="A10" s="92">
        <v>45519</v>
      </c>
      <c r="B10" s="93" t="s">
        <v>39</v>
      </c>
      <c r="C10" s="94">
        <v>0.98499999999999999</v>
      </c>
      <c r="D10" s="95" t="s">
        <v>225</v>
      </c>
      <c r="E10" s="96"/>
      <c r="F10" s="96"/>
      <c r="G10" s="97">
        <v>604</v>
      </c>
      <c r="H10" s="98">
        <f t="shared" si="0"/>
        <v>9.0600000000000591</v>
      </c>
      <c r="I10" s="99">
        <f t="shared" si="1"/>
        <v>498.30000000000325</v>
      </c>
      <c r="J10" s="100">
        <v>0</v>
      </c>
      <c r="K10" s="101">
        <f t="shared" si="2"/>
        <v>-9.0600000000000591</v>
      </c>
    </row>
    <row r="11" spans="1:11" ht="12.75" x14ac:dyDescent="0.2">
      <c r="A11" s="92">
        <v>45520</v>
      </c>
      <c r="B11" s="93" t="s">
        <v>41</v>
      </c>
      <c r="C11" s="94">
        <v>0.97850000000000004</v>
      </c>
      <c r="D11" s="95" t="s">
        <v>225</v>
      </c>
      <c r="E11" s="96"/>
      <c r="F11" s="96"/>
      <c r="G11" s="97">
        <v>608</v>
      </c>
      <c r="H11" s="98">
        <f t="shared" si="0"/>
        <v>13.072000000000003</v>
      </c>
      <c r="I11" s="99">
        <f t="shared" si="1"/>
        <v>718.96000000000015</v>
      </c>
      <c r="J11" s="100">
        <v>0</v>
      </c>
      <c r="K11" s="101">
        <f t="shared" si="2"/>
        <v>-13.072000000000003</v>
      </c>
    </row>
    <row r="12" spans="1:11" ht="12.75" x14ac:dyDescent="0.2">
      <c r="A12" s="92">
        <v>45523</v>
      </c>
      <c r="B12" s="93" t="s">
        <v>33</v>
      </c>
      <c r="C12" s="94">
        <v>0.9446</v>
      </c>
      <c r="D12" s="95" t="s">
        <v>225</v>
      </c>
      <c r="E12" s="96"/>
      <c r="F12" s="96"/>
      <c r="G12" s="97">
        <v>614</v>
      </c>
      <c r="H12" s="98">
        <f>G7-(C7*G7)</f>
        <v>0</v>
      </c>
      <c r="I12" s="99">
        <f t="shared" si="1"/>
        <v>0</v>
      </c>
      <c r="J12" s="100">
        <v>0</v>
      </c>
      <c r="K12" s="101">
        <f t="shared" si="2"/>
        <v>0</v>
      </c>
    </row>
    <row r="13" spans="1:11" ht="12.75" x14ac:dyDescent="0.2">
      <c r="A13" s="92">
        <v>45524</v>
      </c>
      <c r="B13" s="93" t="s">
        <v>35</v>
      </c>
      <c r="C13" s="94">
        <v>0.96419999999999995</v>
      </c>
      <c r="D13" s="95" t="s">
        <v>225</v>
      </c>
      <c r="E13" s="96"/>
      <c r="F13" s="96"/>
      <c r="G13" s="97">
        <v>615</v>
      </c>
      <c r="H13" s="98">
        <f t="shared" ref="H13:H215" si="3">G13-(C13*G13)</f>
        <v>22.017000000000053</v>
      </c>
      <c r="I13" s="99">
        <f t="shared" si="1"/>
        <v>1210.9350000000029</v>
      </c>
      <c r="J13" s="100">
        <v>0</v>
      </c>
      <c r="K13" s="101">
        <f t="shared" si="2"/>
        <v>-22.017000000000053</v>
      </c>
    </row>
    <row r="14" spans="1:11" ht="12.75" x14ac:dyDescent="0.2">
      <c r="A14" s="92">
        <v>45525</v>
      </c>
      <c r="B14" s="93" t="s">
        <v>37</v>
      </c>
      <c r="C14" s="94">
        <v>0.97560000000000002</v>
      </c>
      <c r="D14" s="95" t="s">
        <v>225</v>
      </c>
      <c r="E14" s="96"/>
      <c r="F14" s="96"/>
      <c r="G14" s="97">
        <v>616</v>
      </c>
      <c r="H14" s="98">
        <f t="shared" si="3"/>
        <v>15.030399999999986</v>
      </c>
      <c r="I14" s="99">
        <f t="shared" si="1"/>
        <v>826.67199999999923</v>
      </c>
      <c r="J14" s="100">
        <v>0</v>
      </c>
      <c r="K14" s="101">
        <f t="shared" si="2"/>
        <v>-15.030399999999986</v>
      </c>
    </row>
    <row r="15" spans="1:11" ht="12.75" x14ac:dyDescent="0.2">
      <c r="A15" s="92">
        <v>45526</v>
      </c>
      <c r="B15" s="93" t="s">
        <v>39</v>
      </c>
      <c r="C15" s="94">
        <v>0.96599999999999997</v>
      </c>
      <c r="D15" s="95" t="s">
        <v>225</v>
      </c>
      <c r="E15" s="96"/>
      <c r="F15" s="96"/>
      <c r="G15" s="97">
        <v>618</v>
      </c>
      <c r="H15" s="98">
        <f t="shared" si="3"/>
        <v>21.012000000000057</v>
      </c>
      <c r="I15" s="99">
        <f t="shared" si="1"/>
        <v>1155.660000000003</v>
      </c>
      <c r="J15" s="100">
        <v>0</v>
      </c>
      <c r="K15" s="101">
        <f t="shared" si="2"/>
        <v>-21.012000000000057</v>
      </c>
    </row>
    <row r="16" spans="1:11" ht="12.75" x14ac:dyDescent="0.2">
      <c r="A16" s="92">
        <v>45527</v>
      </c>
      <c r="B16" s="93" t="s">
        <v>41</v>
      </c>
      <c r="C16" s="94">
        <v>0.96599999999999997</v>
      </c>
      <c r="D16" s="95" t="s">
        <v>225</v>
      </c>
      <c r="E16" s="96"/>
      <c r="F16" s="96"/>
      <c r="G16" s="97">
        <v>619</v>
      </c>
      <c r="H16" s="98">
        <f t="shared" si="3"/>
        <v>21.046000000000049</v>
      </c>
      <c r="I16" s="99">
        <f t="shared" si="1"/>
        <v>1157.5300000000027</v>
      </c>
      <c r="J16" s="100">
        <v>0</v>
      </c>
      <c r="K16" s="101">
        <f t="shared" si="2"/>
        <v>-21.046000000000049</v>
      </c>
    </row>
    <row r="17" spans="1:11" ht="12.75" x14ac:dyDescent="0.2">
      <c r="A17" s="92">
        <v>45530</v>
      </c>
      <c r="B17" s="93" t="s">
        <v>33</v>
      </c>
      <c r="C17" s="94">
        <v>0.95150000000000001</v>
      </c>
      <c r="D17" s="95" t="s">
        <v>225</v>
      </c>
      <c r="E17" s="96"/>
      <c r="F17" s="96"/>
      <c r="G17" s="97">
        <v>618</v>
      </c>
      <c r="H17" s="98">
        <f t="shared" si="3"/>
        <v>29.972999999999956</v>
      </c>
      <c r="I17" s="99">
        <f t="shared" si="1"/>
        <v>1648.5149999999976</v>
      </c>
      <c r="J17" s="100">
        <v>0</v>
      </c>
      <c r="K17" s="101">
        <f t="shared" si="2"/>
        <v>-29.972999999999956</v>
      </c>
    </row>
    <row r="18" spans="1:11" ht="12.75" x14ac:dyDescent="0.2">
      <c r="A18" s="92">
        <v>45531</v>
      </c>
      <c r="B18" s="93" t="s">
        <v>35</v>
      </c>
      <c r="C18" s="94">
        <v>0.97419999999999995</v>
      </c>
      <c r="D18" s="95" t="s">
        <v>225</v>
      </c>
      <c r="E18" s="96"/>
      <c r="F18" s="96"/>
      <c r="G18" s="97">
        <v>619</v>
      </c>
      <c r="H18" s="98">
        <f t="shared" si="3"/>
        <v>15.970199999999977</v>
      </c>
      <c r="I18" s="99">
        <f t="shared" si="1"/>
        <v>878.36099999999874</v>
      </c>
      <c r="J18" s="100">
        <v>0</v>
      </c>
      <c r="K18" s="101">
        <f t="shared" si="2"/>
        <v>-15.970199999999977</v>
      </c>
    </row>
    <row r="19" spans="1:11" ht="12.75" x14ac:dyDescent="0.2">
      <c r="A19" s="92">
        <v>45532</v>
      </c>
      <c r="B19" s="93" t="s">
        <v>37</v>
      </c>
      <c r="C19" s="94">
        <v>0.96260000000000001</v>
      </c>
      <c r="D19" s="95" t="s">
        <v>225</v>
      </c>
      <c r="E19" s="96"/>
      <c r="F19" s="102"/>
      <c r="G19" s="97">
        <v>620</v>
      </c>
      <c r="H19" s="98">
        <f t="shared" si="3"/>
        <v>23.187999999999988</v>
      </c>
      <c r="I19" s="99">
        <f t="shared" si="1"/>
        <v>1275.3399999999992</v>
      </c>
      <c r="J19" s="100">
        <v>0</v>
      </c>
      <c r="K19" s="101">
        <f t="shared" si="2"/>
        <v>-23.187999999999988</v>
      </c>
    </row>
    <row r="20" spans="1:11" ht="12.75" x14ac:dyDescent="0.2">
      <c r="A20" s="92">
        <v>45533</v>
      </c>
      <c r="B20" s="93" t="s">
        <v>39</v>
      </c>
      <c r="C20" s="94">
        <v>0.98550000000000004</v>
      </c>
      <c r="D20" s="95" t="s">
        <v>225</v>
      </c>
      <c r="E20" s="96"/>
      <c r="F20" s="96"/>
      <c r="G20" s="97">
        <v>620</v>
      </c>
      <c r="H20" s="98">
        <f t="shared" si="3"/>
        <v>8.9900000000000091</v>
      </c>
      <c r="I20" s="99">
        <f t="shared" si="1"/>
        <v>494.4500000000005</v>
      </c>
      <c r="J20" s="100">
        <v>0</v>
      </c>
      <c r="K20" s="101">
        <f t="shared" si="2"/>
        <v>-8.9900000000000091</v>
      </c>
    </row>
    <row r="21" spans="1:11" ht="12.75" x14ac:dyDescent="0.2">
      <c r="A21" s="92">
        <v>45534</v>
      </c>
      <c r="B21" s="93" t="s">
        <v>41</v>
      </c>
      <c r="C21" s="94">
        <v>0.94679999999999997</v>
      </c>
      <c r="D21" s="95" t="s">
        <v>225</v>
      </c>
      <c r="E21" s="96"/>
      <c r="F21" s="96"/>
      <c r="G21" s="97">
        <v>620</v>
      </c>
      <c r="H21" s="98">
        <f t="shared" si="3"/>
        <v>32.984000000000037</v>
      </c>
      <c r="I21" s="99">
        <f t="shared" si="1"/>
        <v>1814.1200000000022</v>
      </c>
      <c r="J21" s="100">
        <v>0</v>
      </c>
      <c r="K21" s="101">
        <f t="shared" si="2"/>
        <v>-32.984000000000037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3"/>
        <v>0</v>
      </c>
      <c r="I22" s="99">
        <f t="shared" si="1"/>
        <v>0</v>
      </c>
      <c r="J22" s="100"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0.95830000000000004</v>
      </c>
      <c r="D23" s="95" t="s">
        <v>225</v>
      </c>
      <c r="E23" s="96"/>
      <c r="F23" s="96"/>
      <c r="G23" s="97">
        <v>624</v>
      </c>
      <c r="H23" s="98">
        <f t="shared" si="3"/>
        <v>26.020800000000008</v>
      </c>
      <c r="I23" s="99">
        <f t="shared" si="1"/>
        <v>1431.1440000000005</v>
      </c>
      <c r="J23" s="100">
        <v>0</v>
      </c>
      <c r="K23" s="101">
        <f t="shared" si="2"/>
        <v>-26.020800000000008</v>
      </c>
    </row>
    <row r="24" spans="1:11" ht="12.75" x14ac:dyDescent="0.2">
      <c r="A24" s="92">
        <v>45539</v>
      </c>
      <c r="B24" s="93" t="s">
        <v>37</v>
      </c>
      <c r="C24" s="94">
        <v>0.97109999999999996</v>
      </c>
      <c r="D24" s="95" t="s">
        <v>225</v>
      </c>
      <c r="E24" s="96"/>
      <c r="F24" s="96"/>
      <c r="G24" s="97">
        <v>622</v>
      </c>
      <c r="H24" s="98">
        <f t="shared" si="3"/>
        <v>17.975800000000049</v>
      </c>
      <c r="I24" s="99">
        <f t="shared" si="1"/>
        <v>988.66900000000271</v>
      </c>
      <c r="J24" s="100">
        <v>0</v>
      </c>
      <c r="K24" s="101">
        <f t="shared" si="2"/>
        <v>-17.975800000000049</v>
      </c>
    </row>
    <row r="25" spans="1:11" ht="12.75" x14ac:dyDescent="0.2">
      <c r="A25" s="92">
        <v>45540</v>
      </c>
      <c r="B25" s="93" t="s">
        <v>39</v>
      </c>
      <c r="C25" s="94">
        <v>0.97270000000000001</v>
      </c>
      <c r="D25" s="95" t="s">
        <v>225</v>
      </c>
      <c r="E25" s="96"/>
      <c r="F25" s="96"/>
      <c r="G25" s="97">
        <v>622</v>
      </c>
      <c r="H25" s="98">
        <f t="shared" si="3"/>
        <v>16.980599999999981</v>
      </c>
      <c r="I25" s="99">
        <f t="shared" si="1"/>
        <v>933.93299999999897</v>
      </c>
      <c r="J25" s="100">
        <v>0</v>
      </c>
      <c r="K25" s="101">
        <f t="shared" si="2"/>
        <v>-16.980599999999981</v>
      </c>
    </row>
    <row r="26" spans="1:11" ht="12.75" x14ac:dyDescent="0.2">
      <c r="A26" s="92">
        <v>45541</v>
      </c>
      <c r="B26" s="93" t="s">
        <v>41</v>
      </c>
      <c r="C26" s="94">
        <v>0.95150000000000001</v>
      </c>
      <c r="D26" s="95" t="s">
        <v>225</v>
      </c>
      <c r="E26" s="96"/>
      <c r="F26" s="96"/>
      <c r="G26" s="97">
        <v>622</v>
      </c>
      <c r="H26" s="98">
        <f t="shared" si="3"/>
        <v>30.16700000000003</v>
      </c>
      <c r="I26" s="99">
        <f t="shared" si="1"/>
        <v>1659.1850000000018</v>
      </c>
      <c r="J26" s="100">
        <v>0</v>
      </c>
      <c r="K26" s="101">
        <f t="shared" si="2"/>
        <v>-30.16700000000003</v>
      </c>
    </row>
    <row r="27" spans="1:11" ht="12.75" x14ac:dyDescent="0.2">
      <c r="A27" s="92">
        <v>45544</v>
      </c>
      <c r="B27" s="93" t="s">
        <v>33</v>
      </c>
      <c r="C27" s="94">
        <v>0.95830000000000004</v>
      </c>
      <c r="D27" s="95" t="s">
        <v>225</v>
      </c>
      <c r="E27" s="96"/>
      <c r="F27" s="96"/>
      <c r="G27" s="97">
        <v>623</v>
      </c>
      <c r="H27" s="98">
        <f t="shared" si="3"/>
        <v>25.979100000000017</v>
      </c>
      <c r="I27" s="99">
        <f t="shared" si="1"/>
        <v>1428.8505000000009</v>
      </c>
      <c r="J27" s="100">
        <v>0</v>
      </c>
      <c r="K27" s="101">
        <f t="shared" si="2"/>
        <v>-25.979100000000017</v>
      </c>
    </row>
    <row r="28" spans="1:11" ht="12.75" x14ac:dyDescent="0.2">
      <c r="A28" s="92">
        <v>45545</v>
      </c>
      <c r="B28" s="93" t="s">
        <v>35</v>
      </c>
      <c r="C28" s="94">
        <v>0.95850000000000002</v>
      </c>
      <c r="D28" s="95" t="s">
        <v>225</v>
      </c>
      <c r="E28" s="96"/>
      <c r="F28" s="96"/>
      <c r="G28" s="97">
        <v>627</v>
      </c>
      <c r="H28" s="98">
        <f t="shared" si="3"/>
        <v>26.02049999999997</v>
      </c>
      <c r="I28" s="99">
        <f t="shared" si="1"/>
        <v>1431.1274999999982</v>
      </c>
      <c r="J28" s="100">
        <v>0</v>
      </c>
      <c r="K28" s="101">
        <f t="shared" si="2"/>
        <v>-26.02049999999997</v>
      </c>
    </row>
    <row r="29" spans="1:11" ht="12.75" x14ac:dyDescent="0.2">
      <c r="A29" s="92">
        <v>45546</v>
      </c>
      <c r="B29" s="93" t="s">
        <v>37</v>
      </c>
      <c r="C29" s="94">
        <v>0.95220000000000005</v>
      </c>
      <c r="D29" s="95" t="s">
        <v>225</v>
      </c>
      <c r="E29" s="96"/>
      <c r="F29" s="96"/>
      <c r="G29" s="97">
        <v>627</v>
      </c>
      <c r="H29" s="98">
        <f t="shared" si="3"/>
        <v>29.97059999999999</v>
      </c>
      <c r="I29" s="99">
        <f t="shared" si="1"/>
        <v>1648.3829999999994</v>
      </c>
      <c r="J29" s="100">
        <v>0</v>
      </c>
      <c r="K29" s="101">
        <f t="shared" si="2"/>
        <v>-29.97059999999999</v>
      </c>
    </row>
    <row r="30" spans="1:11" ht="12.75" x14ac:dyDescent="0.2">
      <c r="A30" s="92">
        <v>45547</v>
      </c>
      <c r="B30" s="93" t="s">
        <v>39</v>
      </c>
      <c r="C30" s="94">
        <v>0.9617</v>
      </c>
      <c r="D30" s="95" t="s">
        <v>225</v>
      </c>
      <c r="E30" s="96"/>
      <c r="F30" s="96"/>
      <c r="G30" s="97">
        <v>627</v>
      </c>
      <c r="H30" s="98">
        <f t="shared" si="3"/>
        <v>24.014099999999985</v>
      </c>
      <c r="I30" s="99">
        <f t="shared" si="1"/>
        <v>1320.7754999999993</v>
      </c>
      <c r="J30" s="100">
        <v>0</v>
      </c>
      <c r="K30" s="101">
        <f t="shared" si="2"/>
        <v>-24.014099999999985</v>
      </c>
    </row>
    <row r="31" spans="1:11" ht="12.75" x14ac:dyDescent="0.2">
      <c r="A31" s="92">
        <v>45548</v>
      </c>
      <c r="B31" s="93" t="s">
        <v>41</v>
      </c>
      <c r="C31" s="94">
        <v>0.96009999999999995</v>
      </c>
      <c r="D31" s="95" t="s">
        <v>225</v>
      </c>
      <c r="E31" s="96"/>
      <c r="F31" s="96"/>
      <c r="G31" s="97">
        <v>626</v>
      </c>
      <c r="H31" s="98">
        <f t="shared" si="3"/>
        <v>24.977399999999989</v>
      </c>
      <c r="I31" s="99">
        <f t="shared" si="1"/>
        <v>1373.7569999999994</v>
      </c>
      <c r="J31" s="100">
        <v>0</v>
      </c>
      <c r="K31" s="101">
        <f t="shared" si="2"/>
        <v>-24.977399999999989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3"/>
        <v>0</v>
      </c>
      <c r="I32" s="99">
        <f t="shared" si="1"/>
        <v>0</v>
      </c>
      <c r="J32" s="100"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0.95709999999999995</v>
      </c>
      <c r="D33" s="95" t="s">
        <v>225</v>
      </c>
      <c r="E33" s="96"/>
      <c r="F33" s="96"/>
      <c r="G33" s="97">
        <v>628</v>
      </c>
      <c r="H33" s="98">
        <f t="shared" si="3"/>
        <v>26.941199999999981</v>
      </c>
      <c r="I33" s="99">
        <f t="shared" si="1"/>
        <v>1481.7659999999989</v>
      </c>
      <c r="J33" s="100">
        <v>0</v>
      </c>
      <c r="K33" s="101">
        <f t="shared" si="2"/>
        <v>-26.941199999999981</v>
      </c>
    </row>
    <row r="34" spans="1:11" ht="12.75" x14ac:dyDescent="0.2">
      <c r="A34" s="92">
        <v>45553</v>
      </c>
      <c r="B34" s="93" t="s">
        <v>37</v>
      </c>
      <c r="C34" s="94">
        <v>0.96819999999999995</v>
      </c>
      <c r="D34" s="95" t="s">
        <v>225</v>
      </c>
      <c r="E34" s="96"/>
      <c r="F34" s="96"/>
      <c r="G34" s="97">
        <v>628</v>
      </c>
      <c r="H34" s="98">
        <f t="shared" si="3"/>
        <v>19.970400000000041</v>
      </c>
      <c r="I34" s="99">
        <f t="shared" si="1"/>
        <v>1098.3720000000021</v>
      </c>
      <c r="J34" s="100">
        <v>0</v>
      </c>
      <c r="K34" s="101">
        <f t="shared" si="2"/>
        <v>-19.970400000000041</v>
      </c>
    </row>
    <row r="35" spans="1:11" ht="12.75" x14ac:dyDescent="0.2">
      <c r="A35" s="92">
        <v>45554</v>
      </c>
      <c r="B35" s="93" t="s">
        <v>39</v>
      </c>
      <c r="C35" s="94">
        <v>0.95550000000000002</v>
      </c>
      <c r="D35" s="95" t="s">
        <v>225</v>
      </c>
      <c r="E35" s="96"/>
      <c r="F35" s="96"/>
      <c r="G35" s="97">
        <v>628</v>
      </c>
      <c r="H35" s="98">
        <f t="shared" si="3"/>
        <v>27.946000000000026</v>
      </c>
      <c r="I35" s="99">
        <f t="shared" si="1"/>
        <v>1537.0300000000016</v>
      </c>
      <c r="J35" s="100">
        <v>0</v>
      </c>
      <c r="K35" s="101">
        <f t="shared" si="2"/>
        <v>-27.946000000000026</v>
      </c>
    </row>
    <row r="36" spans="1:11" ht="12.75" x14ac:dyDescent="0.2">
      <c r="A36" s="92">
        <v>45555</v>
      </c>
      <c r="B36" s="93" t="s">
        <v>41</v>
      </c>
      <c r="C36" s="94">
        <v>0.94750000000000001</v>
      </c>
      <c r="D36" s="95" t="s">
        <v>225</v>
      </c>
      <c r="E36" s="96"/>
      <c r="F36" s="96"/>
      <c r="G36" s="97">
        <v>628</v>
      </c>
      <c r="H36" s="98">
        <f t="shared" si="3"/>
        <v>32.970000000000027</v>
      </c>
      <c r="I36" s="99">
        <f t="shared" si="1"/>
        <v>1813.3500000000015</v>
      </c>
      <c r="J36" s="100">
        <v>0</v>
      </c>
      <c r="K36" s="101">
        <f t="shared" si="2"/>
        <v>-32.970000000000027</v>
      </c>
    </row>
    <row r="37" spans="1:11" ht="12.75" x14ac:dyDescent="0.2">
      <c r="A37" s="92">
        <v>45558</v>
      </c>
      <c r="B37" s="93" t="s">
        <v>33</v>
      </c>
      <c r="C37" s="94">
        <v>0.94750000000000001</v>
      </c>
      <c r="D37" s="95" t="s">
        <v>225</v>
      </c>
      <c r="E37" s="96"/>
      <c r="F37" s="96"/>
      <c r="G37" s="97">
        <v>629</v>
      </c>
      <c r="H37" s="98">
        <f t="shared" si="3"/>
        <v>33.022500000000036</v>
      </c>
      <c r="I37" s="99">
        <f t="shared" si="1"/>
        <v>1816.237500000002</v>
      </c>
      <c r="J37" s="100">
        <v>0</v>
      </c>
      <c r="K37" s="101">
        <f t="shared" si="2"/>
        <v>-33.022500000000036</v>
      </c>
    </row>
    <row r="38" spans="1:11" ht="12.75" x14ac:dyDescent="0.2">
      <c r="A38" s="92">
        <v>45559</v>
      </c>
      <c r="B38" s="93" t="s">
        <v>35</v>
      </c>
      <c r="C38" s="94">
        <v>0.96020000000000005</v>
      </c>
      <c r="D38" s="95" t="s">
        <v>225</v>
      </c>
      <c r="E38" s="96"/>
      <c r="F38" s="96"/>
      <c r="G38" s="97">
        <v>628</v>
      </c>
      <c r="H38" s="98">
        <f t="shared" si="3"/>
        <v>24.994399999999928</v>
      </c>
      <c r="I38" s="99">
        <f t="shared" si="1"/>
        <v>1374.6919999999959</v>
      </c>
      <c r="J38" s="100">
        <v>0</v>
      </c>
      <c r="K38" s="101">
        <f t="shared" si="2"/>
        <v>-24.994399999999928</v>
      </c>
    </row>
    <row r="39" spans="1:11" ht="12.75" x14ac:dyDescent="0.2">
      <c r="A39" s="92">
        <v>45560</v>
      </c>
      <c r="B39" s="93" t="s">
        <v>37</v>
      </c>
      <c r="C39" s="94">
        <v>0.97450000000000003</v>
      </c>
      <c r="D39" s="95" t="s">
        <v>225</v>
      </c>
      <c r="E39" s="96"/>
      <c r="F39" s="96"/>
      <c r="G39" s="97">
        <v>628</v>
      </c>
      <c r="H39" s="98">
        <f t="shared" si="3"/>
        <v>16.01400000000001</v>
      </c>
      <c r="I39" s="99">
        <f t="shared" si="1"/>
        <v>880.77000000000055</v>
      </c>
      <c r="J39" s="100">
        <v>0</v>
      </c>
      <c r="K39" s="101">
        <f t="shared" si="2"/>
        <v>-16.01400000000001</v>
      </c>
    </row>
    <row r="40" spans="1:11" ht="12.75" x14ac:dyDescent="0.2">
      <c r="A40" s="92">
        <v>45561</v>
      </c>
      <c r="B40" s="93" t="s">
        <v>39</v>
      </c>
      <c r="C40" s="94">
        <v>0.96660000000000001</v>
      </c>
      <c r="D40" s="95" t="s">
        <v>225</v>
      </c>
      <c r="E40" s="96"/>
      <c r="F40" s="96"/>
      <c r="G40" s="97">
        <v>628</v>
      </c>
      <c r="H40" s="98">
        <f t="shared" si="3"/>
        <v>20.975199999999973</v>
      </c>
      <c r="I40" s="99">
        <f t="shared" si="1"/>
        <v>1153.6359999999986</v>
      </c>
      <c r="J40" s="100">
        <v>0</v>
      </c>
      <c r="K40" s="101">
        <f t="shared" si="2"/>
        <v>-20.975199999999973</v>
      </c>
    </row>
    <row r="41" spans="1:11" ht="12.75" x14ac:dyDescent="0.2">
      <c r="A41" s="92">
        <v>45562</v>
      </c>
      <c r="B41" s="93" t="s">
        <v>41</v>
      </c>
      <c r="C41" s="94">
        <v>0.94430000000000003</v>
      </c>
      <c r="D41" s="95" t="s">
        <v>293</v>
      </c>
      <c r="E41" s="96"/>
      <c r="F41" s="96"/>
      <c r="G41" s="97">
        <v>628</v>
      </c>
      <c r="H41" s="98">
        <f t="shared" si="3"/>
        <v>34.979600000000005</v>
      </c>
      <c r="I41" s="99">
        <f t="shared" si="1"/>
        <v>1923.8780000000002</v>
      </c>
      <c r="J41" s="100">
        <v>0</v>
      </c>
      <c r="K41" s="101">
        <f t="shared" si="2"/>
        <v>-34.979600000000005</v>
      </c>
    </row>
    <row r="42" spans="1:11" ht="12.75" x14ac:dyDescent="0.2">
      <c r="A42" s="92">
        <v>45565</v>
      </c>
      <c r="B42" s="93" t="s">
        <v>33</v>
      </c>
      <c r="C42" s="94">
        <v>0.94110000000000005</v>
      </c>
      <c r="D42" s="95" t="s">
        <v>225</v>
      </c>
      <c r="E42" s="96"/>
      <c r="F42" s="96"/>
      <c r="G42" s="97">
        <v>628</v>
      </c>
      <c r="H42" s="98">
        <f t="shared" si="3"/>
        <v>36.989199999999983</v>
      </c>
      <c r="I42" s="99">
        <f t="shared" si="1"/>
        <v>2034.405999999999</v>
      </c>
      <c r="J42" s="100">
        <v>0</v>
      </c>
      <c r="K42" s="101">
        <f t="shared" si="2"/>
        <v>-36.989199999999983</v>
      </c>
    </row>
    <row r="43" spans="1:11" ht="12.75" x14ac:dyDescent="0.2">
      <c r="A43" s="92">
        <v>45566</v>
      </c>
      <c r="B43" s="93" t="s">
        <v>35</v>
      </c>
      <c r="C43" s="94">
        <v>0.95220000000000005</v>
      </c>
      <c r="D43" s="95" t="s">
        <v>225</v>
      </c>
      <c r="E43" s="96"/>
      <c r="F43" s="96"/>
      <c r="G43" s="97">
        <v>627</v>
      </c>
      <c r="H43" s="98">
        <f t="shared" si="3"/>
        <v>29.97059999999999</v>
      </c>
      <c r="I43" s="99">
        <f t="shared" si="1"/>
        <v>1648.3829999999994</v>
      </c>
      <c r="J43" s="100">
        <v>0</v>
      </c>
      <c r="K43" s="101">
        <f t="shared" si="2"/>
        <v>-29.97059999999999</v>
      </c>
    </row>
    <row r="44" spans="1:11" ht="12.75" x14ac:dyDescent="0.2">
      <c r="A44" s="92">
        <v>45567</v>
      </c>
      <c r="B44" s="93" t="s">
        <v>37</v>
      </c>
      <c r="C44" s="94">
        <v>0.97130000000000005</v>
      </c>
      <c r="D44" s="95" t="s">
        <v>293</v>
      </c>
      <c r="E44" s="96"/>
      <c r="F44" s="96"/>
      <c r="G44" s="97">
        <v>628</v>
      </c>
      <c r="H44" s="98">
        <f t="shared" si="3"/>
        <v>18.023599999999988</v>
      </c>
      <c r="I44" s="99">
        <f t="shared" si="1"/>
        <v>991.29799999999932</v>
      </c>
      <c r="J44" s="100">
        <v>0</v>
      </c>
      <c r="K44" s="101">
        <f t="shared" si="2"/>
        <v>-18.023599999999988</v>
      </c>
    </row>
    <row r="45" spans="1:11" ht="12.75" x14ac:dyDescent="0.2">
      <c r="A45" s="92">
        <v>45568</v>
      </c>
      <c r="B45" s="93" t="s">
        <v>39</v>
      </c>
      <c r="C45" s="94">
        <v>0.96970000000000001</v>
      </c>
      <c r="D45" s="95" t="s">
        <v>225</v>
      </c>
      <c r="E45" s="96"/>
      <c r="F45" s="96"/>
      <c r="G45" s="97">
        <v>628</v>
      </c>
      <c r="H45" s="98">
        <f t="shared" si="3"/>
        <v>19.028400000000033</v>
      </c>
      <c r="I45" s="99">
        <f t="shared" si="1"/>
        <v>1046.5620000000017</v>
      </c>
      <c r="J45" s="100">
        <v>0</v>
      </c>
      <c r="K45" s="101">
        <f t="shared" si="2"/>
        <v>-19.028400000000033</v>
      </c>
    </row>
    <row r="46" spans="1:11" ht="12.75" x14ac:dyDescent="0.2">
      <c r="A46" s="92">
        <v>45569</v>
      </c>
      <c r="B46" s="93" t="s">
        <v>41</v>
      </c>
      <c r="C46" s="94">
        <v>0.91879999999999995</v>
      </c>
      <c r="D46" s="95" t="s">
        <v>225</v>
      </c>
      <c r="E46" s="96"/>
      <c r="F46" s="96"/>
      <c r="G46" s="97">
        <v>628</v>
      </c>
      <c r="H46" s="98">
        <f t="shared" si="3"/>
        <v>50.993600000000015</v>
      </c>
      <c r="I46" s="99">
        <f t="shared" si="1"/>
        <v>2804.648000000001</v>
      </c>
      <c r="J46" s="100">
        <v>0</v>
      </c>
      <c r="K46" s="101">
        <f t="shared" si="2"/>
        <v>-50.993600000000015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3"/>
        <v>0</v>
      </c>
      <c r="I47" s="99">
        <f t="shared" si="1"/>
        <v>0</v>
      </c>
      <c r="J47" s="100"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3"/>
        <v>0</v>
      </c>
      <c r="I48" s="99">
        <f t="shared" si="1"/>
        <v>0</v>
      </c>
      <c r="J48" s="100"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3"/>
        <v>0</v>
      </c>
      <c r="I49" s="99">
        <f t="shared" si="1"/>
        <v>0</v>
      </c>
      <c r="J49" s="100"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3"/>
        <v>0</v>
      </c>
      <c r="I50" s="99">
        <f t="shared" si="1"/>
        <v>0</v>
      </c>
      <c r="J50" s="100"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3"/>
        <v>0</v>
      </c>
      <c r="I51" s="99">
        <f t="shared" si="1"/>
        <v>0</v>
      </c>
      <c r="J51" s="100">
        <v>0</v>
      </c>
      <c r="K51" s="101">
        <f t="shared" si="2"/>
        <v>0</v>
      </c>
    </row>
    <row r="52" spans="1:11" ht="12.75" x14ac:dyDescent="0.2">
      <c r="A52" s="92">
        <v>45579</v>
      </c>
      <c r="B52" s="93" t="s">
        <v>33</v>
      </c>
      <c r="C52" s="94">
        <v>0.92190000000000005</v>
      </c>
      <c r="D52" s="95" t="s">
        <v>225</v>
      </c>
      <c r="E52" s="96"/>
      <c r="F52" s="96"/>
      <c r="G52" s="97">
        <v>625</v>
      </c>
      <c r="H52" s="98">
        <f t="shared" si="3"/>
        <v>48.8125</v>
      </c>
      <c r="I52" s="99">
        <f t="shared" si="1"/>
        <v>2684.6875</v>
      </c>
      <c r="J52" s="100">
        <v>0</v>
      </c>
      <c r="K52" s="101">
        <f t="shared" si="2"/>
        <v>-48.8125</v>
      </c>
    </row>
    <row r="53" spans="1:11" ht="12.75" x14ac:dyDescent="0.2">
      <c r="A53" s="92">
        <v>45580</v>
      </c>
      <c r="B53" s="93" t="s">
        <v>35</v>
      </c>
      <c r="C53" s="94">
        <v>0.9506</v>
      </c>
      <c r="D53" s="95" t="s">
        <v>225</v>
      </c>
      <c r="E53" s="96"/>
      <c r="F53" s="96"/>
      <c r="G53" s="97">
        <v>626</v>
      </c>
      <c r="H53" s="98">
        <f t="shared" si="3"/>
        <v>30.924399999999991</v>
      </c>
      <c r="I53" s="99">
        <f t="shared" si="1"/>
        <v>1700.8419999999996</v>
      </c>
      <c r="J53" s="100">
        <v>0</v>
      </c>
      <c r="K53" s="101">
        <f t="shared" si="2"/>
        <v>-30.924399999999991</v>
      </c>
    </row>
    <row r="54" spans="1:11" ht="12.75" x14ac:dyDescent="0.2">
      <c r="A54" s="92">
        <v>45581</v>
      </c>
      <c r="B54" s="93" t="s">
        <v>37</v>
      </c>
      <c r="C54" s="115">
        <v>0.96009999999999995</v>
      </c>
      <c r="D54" s="95" t="s">
        <v>225</v>
      </c>
      <c r="E54" s="96"/>
      <c r="F54" s="116"/>
      <c r="G54" s="97">
        <v>626</v>
      </c>
      <c r="H54" s="98">
        <f t="shared" si="3"/>
        <v>24.977399999999989</v>
      </c>
      <c r="I54" s="99">
        <f t="shared" si="1"/>
        <v>1373.7569999999994</v>
      </c>
      <c r="J54" s="100">
        <v>0</v>
      </c>
      <c r="K54" s="101">
        <f t="shared" si="2"/>
        <v>-24.977399999999989</v>
      </c>
    </row>
    <row r="55" spans="1:11" ht="12.75" x14ac:dyDescent="0.2">
      <c r="A55" s="92">
        <v>45582</v>
      </c>
      <c r="B55" s="93" t="s">
        <v>39</v>
      </c>
      <c r="C55" s="94">
        <v>0.9456</v>
      </c>
      <c r="D55" s="95" t="s">
        <v>225</v>
      </c>
      <c r="E55" s="96"/>
      <c r="F55" s="96"/>
      <c r="G55" s="97">
        <v>625</v>
      </c>
      <c r="H55" s="98">
        <f t="shared" si="3"/>
        <v>34</v>
      </c>
      <c r="I55" s="99">
        <f t="shared" si="1"/>
        <v>1870</v>
      </c>
      <c r="J55" s="100">
        <v>0</v>
      </c>
      <c r="K55" s="101">
        <f t="shared" si="2"/>
        <v>-34</v>
      </c>
    </row>
    <row r="56" spans="1:11" ht="12.75" x14ac:dyDescent="0.2">
      <c r="A56" s="92">
        <v>45583</v>
      </c>
      <c r="B56" s="93" t="s">
        <v>41</v>
      </c>
      <c r="C56" s="94">
        <v>0.93959999999999999</v>
      </c>
      <c r="D56" s="95" t="s">
        <v>225</v>
      </c>
      <c r="E56" s="96"/>
      <c r="F56" s="96"/>
      <c r="G56" s="97">
        <v>629</v>
      </c>
      <c r="H56" s="98">
        <f t="shared" si="3"/>
        <v>37.991600000000062</v>
      </c>
      <c r="I56" s="99">
        <f t="shared" si="1"/>
        <v>2089.5380000000032</v>
      </c>
      <c r="J56" s="100">
        <v>0</v>
      </c>
      <c r="K56" s="101">
        <f t="shared" si="2"/>
        <v>-37.991600000000062</v>
      </c>
    </row>
    <row r="57" spans="1:11" ht="12.75" x14ac:dyDescent="0.2">
      <c r="A57" s="92">
        <v>45586</v>
      </c>
      <c r="B57" s="93" t="s">
        <v>33</v>
      </c>
      <c r="C57" s="94">
        <v>0.9395</v>
      </c>
      <c r="D57" s="95" t="s">
        <v>293</v>
      </c>
      <c r="E57" s="96"/>
      <c r="F57" s="96"/>
      <c r="G57" s="97">
        <v>628</v>
      </c>
      <c r="H57" s="98">
        <f t="shared" si="3"/>
        <v>37.994000000000028</v>
      </c>
      <c r="I57" s="99">
        <f t="shared" si="1"/>
        <v>2089.6700000000014</v>
      </c>
      <c r="J57" s="100">
        <v>0</v>
      </c>
      <c r="K57" s="101">
        <f t="shared" si="2"/>
        <v>-37.994000000000028</v>
      </c>
    </row>
    <row r="58" spans="1:11" ht="12.75" x14ac:dyDescent="0.2">
      <c r="A58" s="92">
        <v>45587</v>
      </c>
      <c r="B58" s="93" t="s">
        <v>35</v>
      </c>
      <c r="C58" s="94">
        <v>0.96499999999999997</v>
      </c>
      <c r="D58" s="95" t="s">
        <v>225</v>
      </c>
      <c r="E58" s="96"/>
      <c r="F58" s="96"/>
      <c r="G58" s="97">
        <v>628</v>
      </c>
      <c r="H58" s="98">
        <f t="shared" si="3"/>
        <v>21.980000000000018</v>
      </c>
      <c r="I58" s="99">
        <f t="shared" si="1"/>
        <v>1208.900000000001</v>
      </c>
      <c r="J58" s="100">
        <v>0</v>
      </c>
      <c r="K58" s="101">
        <f t="shared" si="2"/>
        <v>-21.980000000000018</v>
      </c>
    </row>
    <row r="59" spans="1:11" ht="12.75" x14ac:dyDescent="0.2">
      <c r="A59" s="92">
        <v>45588</v>
      </c>
      <c r="B59" s="93" t="s">
        <v>37</v>
      </c>
      <c r="C59" s="94">
        <v>0.95540000000000003</v>
      </c>
      <c r="D59" s="95" t="s">
        <v>225</v>
      </c>
      <c r="E59" s="96"/>
      <c r="F59" s="96"/>
      <c r="G59" s="97">
        <v>628</v>
      </c>
      <c r="H59" s="98">
        <f t="shared" si="3"/>
        <v>28.008799999999951</v>
      </c>
      <c r="I59" s="99">
        <f t="shared" si="1"/>
        <v>1540.4839999999972</v>
      </c>
      <c r="J59" s="100">
        <v>0</v>
      </c>
      <c r="K59" s="101">
        <f t="shared" si="2"/>
        <v>-28.008799999999951</v>
      </c>
    </row>
    <row r="60" spans="1:11" ht="12.75" x14ac:dyDescent="0.2">
      <c r="A60" s="92">
        <v>45589</v>
      </c>
      <c r="B60" s="93" t="s">
        <v>39</v>
      </c>
      <c r="C60" s="94">
        <v>0.96460000000000001</v>
      </c>
      <c r="D60" s="95" t="s">
        <v>225</v>
      </c>
      <c r="E60" s="96"/>
      <c r="F60" s="96"/>
      <c r="G60" s="97">
        <v>622</v>
      </c>
      <c r="H60" s="98">
        <f t="shared" si="3"/>
        <v>22.018799999999942</v>
      </c>
      <c r="I60" s="99">
        <f t="shared" si="1"/>
        <v>1211.0339999999969</v>
      </c>
      <c r="J60" s="100">
        <v>0</v>
      </c>
      <c r="K60" s="101">
        <f t="shared" si="2"/>
        <v>-22.018799999999942</v>
      </c>
    </row>
    <row r="61" spans="1:11" ht="12.75" x14ac:dyDescent="0.2">
      <c r="A61" s="92">
        <v>45590</v>
      </c>
      <c r="B61" s="93" t="s">
        <v>41</v>
      </c>
      <c r="C61" s="94">
        <v>0.93889999999999996</v>
      </c>
      <c r="D61" s="95" t="s">
        <v>225</v>
      </c>
      <c r="E61" s="96"/>
      <c r="F61" s="96"/>
      <c r="G61" s="97">
        <v>622</v>
      </c>
      <c r="H61" s="98">
        <f t="shared" si="3"/>
        <v>38.004200000000083</v>
      </c>
      <c r="I61" s="99">
        <f t="shared" si="1"/>
        <v>2090.2310000000043</v>
      </c>
      <c r="J61" s="100">
        <v>0</v>
      </c>
      <c r="K61" s="101">
        <f t="shared" si="2"/>
        <v>-38.004200000000083</v>
      </c>
    </row>
    <row r="62" spans="1:11" ht="12.75" x14ac:dyDescent="0.2">
      <c r="A62" s="92">
        <v>45593</v>
      </c>
      <c r="B62" s="93" t="s">
        <v>33</v>
      </c>
      <c r="C62" s="94">
        <v>0.93730000000000002</v>
      </c>
      <c r="D62" s="95" t="s">
        <v>225</v>
      </c>
      <c r="E62" s="96"/>
      <c r="F62" s="96"/>
      <c r="G62" s="97">
        <v>621</v>
      </c>
      <c r="H62" s="98">
        <f t="shared" si="3"/>
        <v>38.936699999999973</v>
      </c>
      <c r="I62" s="99">
        <f t="shared" si="1"/>
        <v>2141.5184999999983</v>
      </c>
      <c r="J62" s="100">
        <v>0</v>
      </c>
      <c r="K62" s="101">
        <f t="shared" si="2"/>
        <v>-38.936699999999973</v>
      </c>
    </row>
    <row r="63" spans="1:11" ht="12.75" x14ac:dyDescent="0.2">
      <c r="A63" s="92">
        <v>45594</v>
      </c>
      <c r="B63" s="93" t="s">
        <v>35</v>
      </c>
      <c r="C63" s="94">
        <v>0.9758</v>
      </c>
      <c r="D63" s="95" t="s">
        <v>225</v>
      </c>
      <c r="E63" s="96"/>
      <c r="F63" s="96"/>
      <c r="G63" s="97">
        <v>621</v>
      </c>
      <c r="H63" s="98">
        <f t="shared" si="3"/>
        <v>15.02819999999997</v>
      </c>
      <c r="I63" s="99">
        <f t="shared" si="1"/>
        <v>826.55099999999834</v>
      </c>
      <c r="J63" s="100">
        <v>0</v>
      </c>
      <c r="K63" s="101">
        <f t="shared" si="2"/>
        <v>-15.02819999999997</v>
      </c>
    </row>
    <row r="64" spans="1:11" ht="12.75" x14ac:dyDescent="0.2">
      <c r="A64" s="92">
        <v>45595</v>
      </c>
      <c r="B64" s="93" t="s">
        <v>37</v>
      </c>
      <c r="C64" s="94">
        <v>0.96299999999999997</v>
      </c>
      <c r="D64" s="95" t="s">
        <v>225</v>
      </c>
      <c r="E64" s="96"/>
      <c r="F64" s="96"/>
      <c r="G64" s="97">
        <v>622</v>
      </c>
      <c r="H64" s="98">
        <f t="shared" si="3"/>
        <v>23.01400000000001</v>
      </c>
      <c r="I64" s="99">
        <f t="shared" si="1"/>
        <v>1265.7700000000004</v>
      </c>
      <c r="J64" s="100">
        <v>0</v>
      </c>
      <c r="K64" s="101">
        <f t="shared" si="2"/>
        <v>-23.01400000000001</v>
      </c>
    </row>
    <row r="65" spans="1:11" ht="12.75" x14ac:dyDescent="0.2">
      <c r="A65" s="92">
        <v>45596</v>
      </c>
      <c r="B65" s="93" t="s">
        <v>39</v>
      </c>
      <c r="C65" s="94">
        <v>0.96140000000000003</v>
      </c>
      <c r="D65" s="95" t="s">
        <v>225</v>
      </c>
      <c r="E65" s="96"/>
      <c r="F65" s="96"/>
      <c r="G65" s="97">
        <v>622</v>
      </c>
      <c r="H65" s="98">
        <f t="shared" si="3"/>
        <v>24.009199999999964</v>
      </c>
      <c r="I65" s="99">
        <f t="shared" si="1"/>
        <v>1320.505999999998</v>
      </c>
      <c r="J65" s="100">
        <v>0</v>
      </c>
      <c r="K65" s="101">
        <f t="shared" si="2"/>
        <v>-24.009199999999964</v>
      </c>
    </row>
    <row r="66" spans="1:11" ht="12.75" x14ac:dyDescent="0.2">
      <c r="A66" s="92">
        <v>45597</v>
      </c>
      <c r="B66" s="93" t="s">
        <v>41</v>
      </c>
      <c r="C66" s="94">
        <v>0.91479999999999995</v>
      </c>
      <c r="D66" s="95" t="s">
        <v>225</v>
      </c>
      <c r="E66" s="96"/>
      <c r="F66" s="96"/>
      <c r="G66" s="97">
        <v>622</v>
      </c>
      <c r="H66" s="98">
        <f t="shared" si="3"/>
        <v>52.994400000000041</v>
      </c>
      <c r="I66" s="99">
        <f t="shared" si="1"/>
        <v>2914.6920000000023</v>
      </c>
      <c r="J66" s="100">
        <v>0</v>
      </c>
      <c r="K66" s="101">
        <f t="shared" si="2"/>
        <v>-52.994400000000041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3"/>
        <v>0</v>
      </c>
      <c r="I67" s="99">
        <f t="shared" si="1"/>
        <v>0</v>
      </c>
      <c r="J67" s="100"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3"/>
        <v>0</v>
      </c>
      <c r="I68" s="99">
        <f t="shared" si="1"/>
        <v>0</v>
      </c>
      <c r="J68" s="100">
        <v>0</v>
      </c>
      <c r="K68" s="101">
        <f t="shared" si="2"/>
        <v>0</v>
      </c>
    </row>
    <row r="69" spans="1:11" ht="12.75" x14ac:dyDescent="0.2">
      <c r="A69" s="92">
        <v>45602</v>
      </c>
      <c r="B69" s="93" t="s">
        <v>37</v>
      </c>
      <c r="C69" s="94">
        <v>0.94369999999999998</v>
      </c>
      <c r="D69" s="95" t="s">
        <v>225</v>
      </c>
      <c r="E69" s="96"/>
      <c r="F69" s="96"/>
      <c r="G69" s="97">
        <v>622</v>
      </c>
      <c r="H69" s="98">
        <f t="shared" si="3"/>
        <v>35.018599999999992</v>
      </c>
      <c r="I69" s="99">
        <f t="shared" si="1"/>
        <v>1926.0229999999997</v>
      </c>
      <c r="J69" s="100">
        <v>0</v>
      </c>
      <c r="K69" s="101">
        <f t="shared" si="2"/>
        <v>-35.018599999999992</v>
      </c>
    </row>
    <row r="70" spans="1:11" ht="12.75" x14ac:dyDescent="0.2">
      <c r="A70" s="92">
        <v>45603</v>
      </c>
      <c r="B70" s="93" t="s">
        <v>39</v>
      </c>
      <c r="C70" s="94">
        <v>0.97270000000000001</v>
      </c>
      <c r="D70" s="102" t="s">
        <v>225</v>
      </c>
      <c r="E70" s="96"/>
      <c r="F70" s="96"/>
      <c r="G70" s="97">
        <v>622</v>
      </c>
      <c r="H70" s="98">
        <f t="shared" si="3"/>
        <v>16.980599999999981</v>
      </c>
      <c r="I70" s="99">
        <f t="shared" si="1"/>
        <v>933.93299999999897</v>
      </c>
      <c r="J70" s="100">
        <v>0</v>
      </c>
      <c r="K70" s="101">
        <f t="shared" si="2"/>
        <v>-16.980599999999981</v>
      </c>
    </row>
    <row r="71" spans="1:11" ht="12.75" x14ac:dyDescent="0.2">
      <c r="A71" s="92">
        <v>45604</v>
      </c>
      <c r="B71" s="93" t="s">
        <v>41</v>
      </c>
      <c r="C71" s="94">
        <v>0.95509999999999995</v>
      </c>
      <c r="D71" s="102" t="s">
        <v>225</v>
      </c>
      <c r="E71" s="96"/>
      <c r="F71" s="96"/>
      <c r="G71" s="97">
        <v>623</v>
      </c>
      <c r="H71" s="98">
        <f t="shared" si="3"/>
        <v>27.972700000000032</v>
      </c>
      <c r="I71" s="99">
        <f t="shared" si="1"/>
        <v>1538.4985000000017</v>
      </c>
      <c r="J71" s="100">
        <v>0</v>
      </c>
      <c r="K71" s="101">
        <f t="shared" si="2"/>
        <v>-27.972700000000032</v>
      </c>
    </row>
    <row r="72" spans="1:11" ht="12.75" x14ac:dyDescent="0.2">
      <c r="A72" s="92">
        <v>45607</v>
      </c>
      <c r="B72" s="93" t="s">
        <v>33</v>
      </c>
      <c r="C72" s="94">
        <v>0.93899999999999995</v>
      </c>
      <c r="D72" s="102" t="s">
        <v>225</v>
      </c>
      <c r="E72" s="96"/>
      <c r="F72" s="96"/>
      <c r="G72" s="97">
        <v>622</v>
      </c>
      <c r="H72" s="98">
        <f t="shared" si="3"/>
        <v>37.942000000000007</v>
      </c>
      <c r="I72" s="99">
        <f t="shared" si="1"/>
        <v>2086.8100000000004</v>
      </c>
      <c r="J72" s="100">
        <v>0</v>
      </c>
      <c r="K72" s="101">
        <f t="shared" si="2"/>
        <v>-37.942000000000007</v>
      </c>
    </row>
    <row r="73" spans="1:11" ht="12.75" x14ac:dyDescent="0.2">
      <c r="A73" s="92">
        <v>45608</v>
      </c>
      <c r="B73" s="93" t="s">
        <v>35</v>
      </c>
      <c r="C73" s="94">
        <v>0.97270000000000001</v>
      </c>
      <c r="D73" s="95" t="s">
        <v>225</v>
      </c>
      <c r="E73" s="96"/>
      <c r="F73" s="96"/>
      <c r="G73" s="97">
        <v>622</v>
      </c>
      <c r="H73" s="98">
        <f t="shared" si="3"/>
        <v>16.980599999999981</v>
      </c>
      <c r="I73" s="99">
        <f t="shared" si="1"/>
        <v>933.93299999999897</v>
      </c>
      <c r="J73" s="100">
        <v>0</v>
      </c>
      <c r="K73" s="101">
        <f t="shared" si="2"/>
        <v>-16.980599999999981</v>
      </c>
    </row>
    <row r="74" spans="1:11" ht="12.75" x14ac:dyDescent="0.2">
      <c r="A74" s="92">
        <v>45609</v>
      </c>
      <c r="B74" s="93" t="s">
        <v>37</v>
      </c>
      <c r="C74" s="94">
        <v>0.97260000000000002</v>
      </c>
      <c r="D74" s="95" t="s">
        <v>225</v>
      </c>
      <c r="E74" s="96"/>
      <c r="F74" s="96"/>
      <c r="G74" s="97">
        <v>620</v>
      </c>
      <c r="H74" s="98">
        <f t="shared" si="3"/>
        <v>16.987999999999943</v>
      </c>
      <c r="I74" s="99">
        <f t="shared" si="1"/>
        <v>934.33999999999685</v>
      </c>
      <c r="J74" s="100">
        <v>0</v>
      </c>
      <c r="K74" s="101">
        <f t="shared" si="2"/>
        <v>-16.987999999999943</v>
      </c>
    </row>
    <row r="75" spans="1:11" ht="12.75" x14ac:dyDescent="0.2">
      <c r="A75" s="92">
        <v>45610</v>
      </c>
      <c r="B75" s="93" t="s">
        <v>39</v>
      </c>
      <c r="C75" s="94">
        <v>0.96299999999999997</v>
      </c>
      <c r="D75" s="95" t="s">
        <v>225</v>
      </c>
      <c r="E75" s="96"/>
      <c r="F75" s="96"/>
      <c r="G75" s="97">
        <v>621</v>
      </c>
      <c r="H75" s="98">
        <f t="shared" si="3"/>
        <v>22.976999999999975</v>
      </c>
      <c r="I75" s="99">
        <f t="shared" si="1"/>
        <v>1263.7349999999988</v>
      </c>
      <c r="J75" s="100">
        <v>0</v>
      </c>
      <c r="K75" s="101">
        <f t="shared" si="2"/>
        <v>-22.976999999999975</v>
      </c>
    </row>
    <row r="76" spans="1:11" ht="12.75" x14ac:dyDescent="0.2">
      <c r="A76" s="92">
        <v>45611</v>
      </c>
      <c r="B76" s="93" t="s">
        <v>41</v>
      </c>
      <c r="C76" s="94">
        <v>0.92430000000000001</v>
      </c>
      <c r="D76" s="95" t="s">
        <v>225</v>
      </c>
      <c r="E76" s="96"/>
      <c r="F76" s="96"/>
      <c r="G76" s="97">
        <v>621</v>
      </c>
      <c r="H76" s="98">
        <f t="shared" si="3"/>
        <v>47.009699999999953</v>
      </c>
      <c r="I76" s="99">
        <f t="shared" si="1"/>
        <v>2585.5334999999973</v>
      </c>
      <c r="J76" s="100">
        <v>0</v>
      </c>
      <c r="K76" s="101">
        <f t="shared" si="2"/>
        <v>-47.009699999999953</v>
      </c>
    </row>
    <row r="77" spans="1:11" ht="12.75" x14ac:dyDescent="0.2">
      <c r="A77" s="92">
        <v>45614</v>
      </c>
      <c r="B77" s="93" t="s">
        <v>33</v>
      </c>
      <c r="C77" s="94">
        <v>0.93400000000000005</v>
      </c>
      <c r="D77" s="95" t="s">
        <v>225</v>
      </c>
      <c r="E77" s="96"/>
      <c r="F77" s="96"/>
      <c r="G77" s="97">
        <v>621</v>
      </c>
      <c r="H77" s="98">
        <f t="shared" si="3"/>
        <v>40.98599999999999</v>
      </c>
      <c r="I77" s="99">
        <f t="shared" si="1"/>
        <v>2254.2299999999996</v>
      </c>
      <c r="J77" s="100">
        <v>0</v>
      </c>
      <c r="K77" s="101">
        <f t="shared" si="2"/>
        <v>-40.98599999999999</v>
      </c>
    </row>
    <row r="78" spans="1:11" ht="12.75" x14ac:dyDescent="0.2">
      <c r="A78" s="92">
        <v>45615</v>
      </c>
      <c r="B78" s="93" t="s">
        <v>35</v>
      </c>
      <c r="C78" s="94">
        <v>0.93879999999999997</v>
      </c>
      <c r="D78" s="95" t="s">
        <v>225</v>
      </c>
      <c r="E78" s="96"/>
      <c r="F78" s="96"/>
      <c r="G78" s="97">
        <v>621</v>
      </c>
      <c r="H78" s="98">
        <f t="shared" si="3"/>
        <v>38.005200000000059</v>
      </c>
      <c r="I78" s="99">
        <f t="shared" si="1"/>
        <v>2090.2860000000032</v>
      </c>
      <c r="J78" s="100">
        <v>0</v>
      </c>
      <c r="K78" s="101">
        <f t="shared" si="2"/>
        <v>-38.005200000000059</v>
      </c>
    </row>
    <row r="79" spans="1:11" ht="12.75" x14ac:dyDescent="0.2">
      <c r="A79" s="92">
        <v>45616</v>
      </c>
      <c r="B79" s="93" t="s">
        <v>37</v>
      </c>
      <c r="C79" s="94">
        <v>0.95830000000000004</v>
      </c>
      <c r="D79" s="95" t="s">
        <v>225</v>
      </c>
      <c r="E79" s="96"/>
      <c r="F79" s="96"/>
      <c r="G79" s="97">
        <v>623</v>
      </c>
      <c r="H79" s="98">
        <f t="shared" si="3"/>
        <v>25.979100000000017</v>
      </c>
      <c r="I79" s="99">
        <f t="shared" si="1"/>
        <v>1428.8505000000009</v>
      </c>
      <c r="J79" s="100">
        <v>0</v>
      </c>
      <c r="K79" s="101">
        <f t="shared" si="2"/>
        <v>-25.979100000000017</v>
      </c>
    </row>
    <row r="80" spans="1:11" ht="12.75" x14ac:dyDescent="0.2">
      <c r="A80" s="92">
        <v>45617</v>
      </c>
      <c r="B80" s="93" t="s">
        <v>39</v>
      </c>
      <c r="C80" s="94">
        <v>0.95679999999999998</v>
      </c>
      <c r="D80" s="95" t="s">
        <v>225</v>
      </c>
      <c r="E80" s="96"/>
      <c r="F80" s="96"/>
      <c r="G80" s="97">
        <v>625</v>
      </c>
      <c r="H80" s="98">
        <f t="shared" si="3"/>
        <v>27</v>
      </c>
      <c r="I80" s="99">
        <f t="shared" si="1"/>
        <v>1485</v>
      </c>
      <c r="J80" s="100">
        <v>0</v>
      </c>
      <c r="K80" s="101">
        <f t="shared" si="2"/>
        <v>-27</v>
      </c>
    </row>
    <row r="81" spans="1:11" ht="12.75" x14ac:dyDescent="0.2">
      <c r="A81" s="92">
        <v>45618</v>
      </c>
      <c r="B81" s="93" t="s">
        <v>41</v>
      </c>
      <c r="C81" s="94">
        <v>0.90880000000000005</v>
      </c>
      <c r="D81" s="95" t="s">
        <v>225</v>
      </c>
      <c r="E81" s="96"/>
      <c r="F81" s="96"/>
      <c r="G81" s="97">
        <v>625</v>
      </c>
      <c r="H81" s="98">
        <f t="shared" si="3"/>
        <v>57</v>
      </c>
      <c r="I81" s="99">
        <f t="shared" si="1"/>
        <v>3135</v>
      </c>
      <c r="J81" s="100">
        <v>0</v>
      </c>
      <c r="K81" s="101">
        <f t="shared" si="2"/>
        <v>-57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3"/>
        <v>0</v>
      </c>
      <c r="I82" s="99">
        <f t="shared" si="1"/>
        <v>0</v>
      </c>
      <c r="J82" s="100"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3"/>
        <v>0</v>
      </c>
      <c r="I83" s="99">
        <f t="shared" si="1"/>
        <v>0</v>
      </c>
      <c r="J83" s="100"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3"/>
        <v>0</v>
      </c>
      <c r="I84" s="99">
        <f t="shared" si="1"/>
        <v>0</v>
      </c>
      <c r="J84" s="100"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3"/>
        <v>0</v>
      </c>
      <c r="I85" s="99">
        <f t="shared" si="1"/>
        <v>0</v>
      </c>
      <c r="J85" s="100"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3"/>
        <v>0</v>
      </c>
      <c r="I86" s="99">
        <f t="shared" si="1"/>
        <v>0</v>
      </c>
      <c r="J86" s="100"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0.94410000000000005</v>
      </c>
      <c r="D87" s="95" t="s">
        <v>225</v>
      </c>
      <c r="E87" s="96"/>
      <c r="F87" s="96"/>
      <c r="G87" s="97">
        <v>626</v>
      </c>
      <c r="H87" s="98">
        <f t="shared" si="3"/>
        <v>34.993399999999951</v>
      </c>
      <c r="I87" s="99">
        <f t="shared" si="1"/>
        <v>1924.6369999999974</v>
      </c>
      <c r="J87" s="100">
        <v>0</v>
      </c>
      <c r="K87" s="101">
        <f t="shared" si="2"/>
        <v>-34.993399999999951</v>
      </c>
    </row>
    <row r="88" spans="1:11" ht="12.75" x14ac:dyDescent="0.2">
      <c r="A88" s="92">
        <v>45629</v>
      </c>
      <c r="B88" s="93" t="s">
        <v>35</v>
      </c>
      <c r="C88" s="94">
        <v>0.96330000000000005</v>
      </c>
      <c r="D88" s="95" t="s">
        <v>225</v>
      </c>
      <c r="E88" s="96"/>
      <c r="F88" s="96"/>
      <c r="G88" s="97">
        <v>627</v>
      </c>
      <c r="H88" s="98">
        <f t="shared" si="3"/>
        <v>23.010899999999992</v>
      </c>
      <c r="I88" s="99">
        <f t="shared" si="1"/>
        <v>1265.5994999999996</v>
      </c>
      <c r="J88" s="100">
        <v>0</v>
      </c>
      <c r="K88" s="101">
        <f t="shared" si="2"/>
        <v>-23.010899999999992</v>
      </c>
    </row>
    <row r="89" spans="1:11" ht="12.75" x14ac:dyDescent="0.2">
      <c r="A89" s="92">
        <v>45630</v>
      </c>
      <c r="B89" s="93" t="s">
        <v>37</v>
      </c>
      <c r="C89" s="94">
        <v>0.96489999999999998</v>
      </c>
      <c r="D89" s="95" t="s">
        <v>225</v>
      </c>
      <c r="E89" s="96"/>
      <c r="F89" s="96"/>
      <c r="G89" s="97">
        <v>624</v>
      </c>
      <c r="H89" s="98">
        <f t="shared" si="3"/>
        <v>21.902400000000057</v>
      </c>
      <c r="I89" s="99">
        <f t="shared" si="1"/>
        <v>1204.6320000000032</v>
      </c>
      <c r="J89" s="100">
        <v>0</v>
      </c>
      <c r="K89" s="101">
        <f t="shared" si="2"/>
        <v>-21.902400000000057</v>
      </c>
    </row>
    <row r="90" spans="1:11" ht="12.75" x14ac:dyDescent="0.2">
      <c r="A90" s="92">
        <v>45631</v>
      </c>
      <c r="B90" s="93" t="s">
        <v>39</v>
      </c>
      <c r="C90" s="94">
        <v>0.96960000000000002</v>
      </c>
      <c r="D90" s="95" t="s">
        <v>225</v>
      </c>
      <c r="E90" s="96"/>
      <c r="F90" s="96"/>
      <c r="G90" s="97">
        <v>626</v>
      </c>
      <c r="H90" s="98">
        <f t="shared" si="3"/>
        <v>19.030399999999986</v>
      </c>
      <c r="I90" s="99">
        <f t="shared" si="1"/>
        <v>1046.6719999999991</v>
      </c>
      <c r="J90" s="100">
        <v>0</v>
      </c>
      <c r="K90" s="101">
        <f t="shared" si="2"/>
        <v>-19.030399999999986</v>
      </c>
    </row>
    <row r="91" spans="1:11" ht="12.75" x14ac:dyDescent="0.2">
      <c r="A91" s="92">
        <v>45632</v>
      </c>
      <c r="B91" s="93" t="s">
        <v>41</v>
      </c>
      <c r="C91" s="94">
        <v>0.93610000000000004</v>
      </c>
      <c r="D91" s="95" t="s">
        <v>225</v>
      </c>
      <c r="E91" s="96"/>
      <c r="F91" s="96"/>
      <c r="G91" s="97">
        <v>626</v>
      </c>
      <c r="H91" s="98">
        <f t="shared" si="3"/>
        <v>40.00139999999999</v>
      </c>
      <c r="I91" s="99">
        <f t="shared" si="1"/>
        <v>2200.0769999999993</v>
      </c>
      <c r="J91" s="100">
        <v>0</v>
      </c>
      <c r="K91" s="101">
        <f t="shared" si="2"/>
        <v>-40.00139999999999</v>
      </c>
    </row>
    <row r="92" spans="1:11" ht="12.75" x14ac:dyDescent="0.2">
      <c r="A92" s="92">
        <v>45635</v>
      </c>
      <c r="B92" s="93" t="s">
        <v>33</v>
      </c>
      <c r="C92" s="94">
        <v>0.92810000000000004</v>
      </c>
      <c r="D92" s="95" t="s">
        <v>225</v>
      </c>
      <c r="E92" s="96"/>
      <c r="F92" s="96"/>
      <c r="G92" s="97">
        <v>626</v>
      </c>
      <c r="H92" s="98">
        <f t="shared" si="3"/>
        <v>45.009400000000028</v>
      </c>
      <c r="I92" s="99">
        <f t="shared" si="1"/>
        <v>2475.5170000000016</v>
      </c>
      <c r="J92" s="100">
        <v>0</v>
      </c>
      <c r="K92" s="101">
        <f t="shared" si="2"/>
        <v>-45.009400000000028</v>
      </c>
    </row>
    <row r="93" spans="1:11" ht="12.75" x14ac:dyDescent="0.2">
      <c r="A93" s="92">
        <v>45636</v>
      </c>
      <c r="B93" s="93" t="s">
        <v>35</v>
      </c>
      <c r="C93" s="94">
        <v>0.95530000000000004</v>
      </c>
      <c r="D93" s="95" t="s">
        <v>225</v>
      </c>
      <c r="E93" s="96"/>
      <c r="F93" s="96"/>
      <c r="G93" s="97">
        <v>627</v>
      </c>
      <c r="H93" s="98">
        <f t="shared" si="3"/>
        <v>28.026899999999955</v>
      </c>
      <c r="I93" s="99">
        <f t="shared" si="1"/>
        <v>1541.4794999999976</v>
      </c>
      <c r="J93" s="100">
        <v>0</v>
      </c>
      <c r="K93" s="101">
        <f t="shared" si="2"/>
        <v>-28.026899999999955</v>
      </c>
    </row>
    <row r="94" spans="1:11" ht="12.75" x14ac:dyDescent="0.2">
      <c r="A94" s="92">
        <v>45637</v>
      </c>
      <c r="B94" s="93" t="s">
        <v>37</v>
      </c>
      <c r="C94" s="94">
        <v>0.93620000000000003</v>
      </c>
      <c r="D94" s="95" t="s">
        <v>225</v>
      </c>
      <c r="E94" s="96"/>
      <c r="F94" s="96"/>
      <c r="G94" s="97">
        <v>627</v>
      </c>
      <c r="H94" s="98">
        <f t="shared" si="3"/>
        <v>40.002600000000029</v>
      </c>
      <c r="I94" s="99">
        <f t="shared" si="1"/>
        <v>2200.1430000000018</v>
      </c>
      <c r="J94" s="100">
        <v>0</v>
      </c>
      <c r="K94" s="101">
        <f t="shared" si="2"/>
        <v>-40.002600000000029</v>
      </c>
    </row>
    <row r="95" spans="1:11" ht="12.75" x14ac:dyDescent="0.2">
      <c r="A95" s="92">
        <v>45638</v>
      </c>
      <c r="B95" s="93" t="s">
        <v>39</v>
      </c>
      <c r="C95" s="94">
        <v>0.97289999999999999</v>
      </c>
      <c r="D95" s="95" t="s">
        <v>225</v>
      </c>
      <c r="E95" s="96"/>
      <c r="F95" s="96"/>
      <c r="G95" s="97">
        <v>627</v>
      </c>
      <c r="H95" s="98">
        <f t="shared" si="3"/>
        <v>16.991700000000037</v>
      </c>
      <c r="I95" s="99">
        <f t="shared" si="1"/>
        <v>934.54350000000204</v>
      </c>
      <c r="J95" s="100">
        <v>0</v>
      </c>
      <c r="K95" s="101">
        <f t="shared" si="2"/>
        <v>-16.991700000000037</v>
      </c>
    </row>
    <row r="96" spans="1:11" ht="12.75" x14ac:dyDescent="0.2">
      <c r="A96" s="92">
        <v>45639</v>
      </c>
      <c r="B96" s="93" t="s">
        <v>41</v>
      </c>
      <c r="C96" s="94">
        <v>0.94420000000000004</v>
      </c>
      <c r="D96" s="95" t="s">
        <v>225</v>
      </c>
      <c r="E96" s="96"/>
      <c r="F96" s="96"/>
      <c r="G96" s="97">
        <v>627</v>
      </c>
      <c r="H96" s="98">
        <f t="shared" si="3"/>
        <v>34.986599999999953</v>
      </c>
      <c r="I96" s="99">
        <f t="shared" si="1"/>
        <v>1924.2629999999974</v>
      </c>
      <c r="J96" s="100">
        <v>0</v>
      </c>
      <c r="K96" s="101">
        <f t="shared" si="2"/>
        <v>-34.986599999999953</v>
      </c>
    </row>
    <row r="97" spans="1:11" ht="12.75" x14ac:dyDescent="0.2">
      <c r="A97" s="92">
        <v>45642</v>
      </c>
      <c r="B97" s="93" t="s">
        <v>33</v>
      </c>
      <c r="C97" s="94">
        <v>0.92820000000000003</v>
      </c>
      <c r="D97" s="95" t="s">
        <v>225</v>
      </c>
      <c r="E97" s="96"/>
      <c r="F97" s="96"/>
      <c r="G97" s="97">
        <v>627</v>
      </c>
      <c r="H97" s="98">
        <f t="shared" si="3"/>
        <v>45.018599999999992</v>
      </c>
      <c r="I97" s="99">
        <f t="shared" si="1"/>
        <v>2476.0229999999997</v>
      </c>
      <c r="J97" s="100">
        <v>0</v>
      </c>
      <c r="K97" s="101">
        <f t="shared" si="2"/>
        <v>-45.018599999999992</v>
      </c>
    </row>
    <row r="98" spans="1:11" ht="12.75" x14ac:dyDescent="0.2">
      <c r="A98" s="92">
        <v>45643</v>
      </c>
      <c r="B98" s="93" t="s">
        <v>35</v>
      </c>
      <c r="C98" s="94">
        <v>0.98560000000000003</v>
      </c>
      <c r="D98" s="95" t="s">
        <v>225</v>
      </c>
      <c r="E98" s="96"/>
      <c r="F98" s="96"/>
      <c r="G98" s="97">
        <v>626</v>
      </c>
      <c r="H98" s="98">
        <f t="shared" si="3"/>
        <v>9.0144000000000233</v>
      </c>
      <c r="I98" s="99">
        <f t="shared" si="1"/>
        <v>495.79200000000128</v>
      </c>
      <c r="J98" s="100">
        <v>0</v>
      </c>
      <c r="K98" s="101">
        <f t="shared" si="2"/>
        <v>-9.0144000000000233</v>
      </c>
    </row>
    <row r="99" spans="1:11" ht="12.75" x14ac:dyDescent="0.2">
      <c r="A99" s="92">
        <v>45644</v>
      </c>
      <c r="B99" s="93" t="s">
        <v>37</v>
      </c>
      <c r="C99" s="94">
        <v>0.96330000000000005</v>
      </c>
      <c r="D99" s="95" t="s">
        <v>225</v>
      </c>
      <c r="E99" s="96"/>
      <c r="F99" s="96"/>
      <c r="G99" s="97">
        <v>626</v>
      </c>
      <c r="H99" s="98">
        <f t="shared" si="3"/>
        <v>22.974199999999996</v>
      </c>
      <c r="I99" s="99">
        <f t="shared" si="1"/>
        <v>1263.5809999999997</v>
      </c>
      <c r="J99" s="100">
        <v>0</v>
      </c>
      <c r="K99" s="101">
        <f t="shared" si="2"/>
        <v>-22.974199999999996</v>
      </c>
    </row>
    <row r="100" spans="1:11" ht="12.75" x14ac:dyDescent="0.2">
      <c r="A100" s="92">
        <v>45645</v>
      </c>
      <c r="B100" s="93" t="s">
        <v>39</v>
      </c>
      <c r="C100" s="94">
        <v>0.93140000000000001</v>
      </c>
      <c r="D100" s="95" t="s">
        <v>225</v>
      </c>
      <c r="E100" s="96"/>
      <c r="F100" s="96"/>
      <c r="G100" s="97">
        <v>627</v>
      </c>
      <c r="H100" s="98">
        <f t="shared" si="3"/>
        <v>43.012200000000007</v>
      </c>
      <c r="I100" s="99">
        <f t="shared" si="1"/>
        <v>2365.6710000000003</v>
      </c>
      <c r="J100" s="100">
        <v>0</v>
      </c>
      <c r="K100" s="101">
        <f t="shared" si="2"/>
        <v>-43.012200000000007</v>
      </c>
    </row>
    <row r="101" spans="1:11" ht="12.75" x14ac:dyDescent="0.2">
      <c r="A101" s="92">
        <v>45646</v>
      </c>
      <c r="B101" s="93" t="s">
        <v>41</v>
      </c>
      <c r="C101" s="94">
        <v>0.9536</v>
      </c>
      <c r="D101" s="95" t="s">
        <v>225</v>
      </c>
      <c r="E101" s="96"/>
      <c r="F101" s="96"/>
      <c r="G101" s="97">
        <v>625</v>
      </c>
      <c r="H101" s="98">
        <f t="shared" si="3"/>
        <v>29</v>
      </c>
      <c r="I101" s="99">
        <f t="shared" si="1"/>
        <v>1595</v>
      </c>
      <c r="J101" s="100">
        <v>0</v>
      </c>
      <c r="K101" s="101">
        <f t="shared" si="2"/>
        <v>-29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3"/>
        <v>0</v>
      </c>
      <c r="I102" s="99">
        <f t="shared" si="1"/>
        <v>0</v>
      </c>
      <c r="J102" s="100"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3"/>
        <v>0</v>
      </c>
      <c r="I103" s="99">
        <f t="shared" si="1"/>
        <v>0</v>
      </c>
      <c r="J103" s="100"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3"/>
        <v>0</v>
      </c>
      <c r="I104" s="99">
        <f t="shared" si="1"/>
        <v>0</v>
      </c>
      <c r="J104" s="100"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3"/>
        <v>0</v>
      </c>
      <c r="I105" s="99">
        <f t="shared" si="1"/>
        <v>0</v>
      </c>
      <c r="J105" s="100"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3"/>
        <v>0</v>
      </c>
      <c r="I106" s="99">
        <f t="shared" si="1"/>
        <v>0</v>
      </c>
      <c r="J106" s="100"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3"/>
        <v>0</v>
      </c>
      <c r="I107" s="99">
        <f t="shared" si="1"/>
        <v>0</v>
      </c>
      <c r="J107" s="100"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3"/>
        <v>0</v>
      </c>
      <c r="I108" s="99">
        <f t="shared" si="1"/>
        <v>0</v>
      </c>
      <c r="J108" s="100"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3"/>
        <v>0</v>
      </c>
      <c r="I109" s="99">
        <f t="shared" si="1"/>
        <v>0</v>
      </c>
      <c r="J109" s="100"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3"/>
        <v>0</v>
      </c>
      <c r="I110" s="99">
        <f t="shared" si="1"/>
        <v>0</v>
      </c>
      <c r="J110" s="100"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3"/>
        <v>0</v>
      </c>
      <c r="I111" s="99">
        <f t="shared" si="1"/>
        <v>0</v>
      </c>
      <c r="J111" s="100"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3"/>
        <v>0</v>
      </c>
      <c r="I112" s="99">
        <f t="shared" si="1"/>
        <v>0</v>
      </c>
      <c r="J112" s="100"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3"/>
        <v>0</v>
      </c>
      <c r="I113" s="99">
        <f t="shared" si="1"/>
        <v>0</v>
      </c>
      <c r="J113" s="100"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0.91510000000000002</v>
      </c>
      <c r="D114" s="95" t="s">
        <v>225</v>
      </c>
      <c r="E114" s="96"/>
      <c r="F114" s="96"/>
      <c r="G114" s="97">
        <v>624</v>
      </c>
      <c r="H114" s="98">
        <f t="shared" si="3"/>
        <v>52.977599999999939</v>
      </c>
      <c r="I114" s="99">
        <f t="shared" si="1"/>
        <v>2913.7679999999964</v>
      </c>
      <c r="J114" s="100">
        <v>0</v>
      </c>
      <c r="K114" s="101">
        <f t="shared" si="2"/>
        <v>-52.977599999999939</v>
      </c>
    </row>
    <row r="115" spans="1:11" ht="12.75" x14ac:dyDescent="0.2">
      <c r="A115" s="92">
        <v>45666</v>
      </c>
      <c r="B115" s="93" t="s">
        <v>39</v>
      </c>
      <c r="C115" s="94">
        <v>0.92310000000000003</v>
      </c>
      <c r="D115" s="95" t="s">
        <v>225</v>
      </c>
      <c r="E115" s="96"/>
      <c r="F115" s="96"/>
      <c r="G115" s="97">
        <v>624</v>
      </c>
      <c r="H115" s="98">
        <f t="shared" si="3"/>
        <v>47.985599999999977</v>
      </c>
      <c r="I115" s="99">
        <f t="shared" si="1"/>
        <v>2639.2079999999987</v>
      </c>
      <c r="J115" s="100">
        <v>0</v>
      </c>
      <c r="K115" s="101">
        <f t="shared" si="2"/>
        <v>-47.985599999999977</v>
      </c>
    </row>
    <row r="116" spans="1:11" ht="12.75" x14ac:dyDescent="0.2">
      <c r="A116" s="92">
        <v>45667</v>
      </c>
      <c r="B116" s="93" t="s">
        <v>41</v>
      </c>
      <c r="C116" s="94">
        <v>0.90059999999999996</v>
      </c>
      <c r="D116" s="95" t="s">
        <v>225</v>
      </c>
      <c r="E116" s="96" t="s">
        <v>246</v>
      </c>
      <c r="F116" s="96"/>
      <c r="G116" s="97">
        <v>624</v>
      </c>
      <c r="H116" s="98">
        <f t="shared" si="3"/>
        <v>62.025600000000054</v>
      </c>
      <c r="I116" s="99">
        <f t="shared" si="1"/>
        <v>3411.4080000000031</v>
      </c>
      <c r="J116" s="100">
        <v>0</v>
      </c>
      <c r="K116" s="101">
        <f t="shared" si="2"/>
        <v>-62.025600000000054</v>
      </c>
    </row>
    <row r="117" spans="1:11" ht="12.75" x14ac:dyDescent="0.2">
      <c r="A117" s="92">
        <v>45670</v>
      </c>
      <c r="B117" s="93" t="s">
        <v>33</v>
      </c>
      <c r="C117" s="94">
        <v>0.94099999999999995</v>
      </c>
      <c r="D117" s="95" t="s">
        <v>225</v>
      </c>
      <c r="E117" s="96"/>
      <c r="F117" s="96"/>
      <c r="G117" s="97">
        <v>626</v>
      </c>
      <c r="H117" s="98">
        <f t="shared" si="3"/>
        <v>36.934000000000083</v>
      </c>
      <c r="I117" s="99">
        <f t="shared" si="1"/>
        <v>2031.3700000000044</v>
      </c>
      <c r="J117" s="100">
        <v>0</v>
      </c>
      <c r="K117" s="101">
        <f t="shared" si="2"/>
        <v>-36.934000000000083</v>
      </c>
    </row>
    <row r="118" spans="1:11" ht="12.75" x14ac:dyDescent="0.2">
      <c r="A118" s="92">
        <v>45671</v>
      </c>
      <c r="B118" s="93" t="s">
        <v>35</v>
      </c>
      <c r="C118" s="94">
        <v>0.96650000000000003</v>
      </c>
      <c r="D118" s="95" t="s">
        <v>225</v>
      </c>
      <c r="E118" s="96"/>
      <c r="F118" s="96"/>
      <c r="G118" s="97">
        <v>626</v>
      </c>
      <c r="H118" s="98">
        <f t="shared" si="3"/>
        <v>20.971000000000004</v>
      </c>
      <c r="I118" s="99">
        <f t="shared" si="1"/>
        <v>1153.4050000000002</v>
      </c>
      <c r="J118" s="100">
        <v>0</v>
      </c>
      <c r="K118" s="101">
        <f t="shared" si="2"/>
        <v>-20.971000000000004</v>
      </c>
    </row>
    <row r="119" spans="1:11" ht="12.75" x14ac:dyDescent="0.2">
      <c r="A119" s="92">
        <v>45672</v>
      </c>
      <c r="B119" s="93" t="s">
        <v>37</v>
      </c>
      <c r="C119" s="94">
        <v>0.96009999999999995</v>
      </c>
      <c r="D119" s="95" t="s">
        <v>225</v>
      </c>
      <c r="E119" s="96"/>
      <c r="F119" s="96"/>
      <c r="G119" s="97">
        <v>626</v>
      </c>
      <c r="H119" s="98">
        <f t="shared" si="3"/>
        <v>24.977399999999989</v>
      </c>
      <c r="I119" s="99">
        <f t="shared" si="1"/>
        <v>1373.7569999999994</v>
      </c>
      <c r="J119" s="100">
        <v>0</v>
      </c>
      <c r="K119" s="101">
        <f t="shared" si="2"/>
        <v>-24.977399999999989</v>
      </c>
    </row>
    <row r="120" spans="1:11" ht="12.75" x14ac:dyDescent="0.2">
      <c r="A120" s="92">
        <v>45673</v>
      </c>
      <c r="B120" s="93" t="s">
        <v>39</v>
      </c>
      <c r="C120" s="94">
        <v>0.95509999999999995</v>
      </c>
      <c r="D120" s="95" t="s">
        <v>225</v>
      </c>
      <c r="E120" s="96"/>
      <c r="F120" s="96"/>
      <c r="G120" s="97">
        <v>622</v>
      </c>
      <c r="H120" s="98">
        <f t="shared" si="3"/>
        <v>27.927800000000047</v>
      </c>
      <c r="I120" s="99">
        <f t="shared" si="1"/>
        <v>1536.0290000000027</v>
      </c>
      <c r="J120" s="100">
        <v>0</v>
      </c>
      <c r="K120" s="101">
        <f t="shared" si="2"/>
        <v>-27.927800000000047</v>
      </c>
    </row>
    <row r="121" spans="1:11" ht="12.75" x14ac:dyDescent="0.2">
      <c r="A121" s="92">
        <v>45674</v>
      </c>
      <c r="B121" s="93" t="s">
        <v>41</v>
      </c>
      <c r="C121" s="94">
        <v>0.92630000000000001</v>
      </c>
      <c r="D121" s="95" t="s">
        <v>225</v>
      </c>
      <c r="E121" s="96"/>
      <c r="F121" s="96"/>
      <c r="G121" s="97">
        <v>622</v>
      </c>
      <c r="H121" s="98">
        <f t="shared" si="3"/>
        <v>45.841400000000021</v>
      </c>
      <c r="I121" s="99">
        <f t="shared" si="1"/>
        <v>2521.277000000001</v>
      </c>
      <c r="J121" s="100">
        <v>0</v>
      </c>
      <c r="K121" s="101">
        <f t="shared" si="2"/>
        <v>-45.841400000000021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3"/>
        <v>0</v>
      </c>
      <c r="I122" s="99">
        <f t="shared" si="1"/>
        <v>0</v>
      </c>
      <c r="J122" s="100">
        <v>0</v>
      </c>
      <c r="K122" s="101">
        <f t="shared" si="2"/>
        <v>0</v>
      </c>
    </row>
    <row r="123" spans="1:11" ht="12.75" x14ac:dyDescent="0.2">
      <c r="A123" s="92">
        <v>45678</v>
      </c>
      <c r="B123" s="93" t="s">
        <v>35</v>
      </c>
      <c r="C123" s="94"/>
      <c r="D123" s="95"/>
      <c r="E123" s="96"/>
      <c r="F123" s="96"/>
      <c r="G123" s="97">
        <v>622</v>
      </c>
      <c r="H123" s="98">
        <f t="shared" si="3"/>
        <v>622</v>
      </c>
      <c r="I123" s="99">
        <f t="shared" si="1"/>
        <v>34210</v>
      </c>
      <c r="J123" s="100">
        <v>0</v>
      </c>
      <c r="K123" s="101">
        <f t="shared" si="2"/>
        <v>-622</v>
      </c>
    </row>
    <row r="124" spans="1:11" ht="12.75" x14ac:dyDescent="0.2">
      <c r="A124" s="92">
        <v>45679</v>
      </c>
      <c r="B124" s="93" t="s">
        <v>37</v>
      </c>
      <c r="C124" s="94"/>
      <c r="D124" s="95"/>
      <c r="E124" s="96"/>
      <c r="F124" s="96"/>
      <c r="G124" s="97">
        <v>622</v>
      </c>
      <c r="H124" s="98">
        <f t="shared" si="3"/>
        <v>622</v>
      </c>
      <c r="I124" s="99">
        <f t="shared" si="1"/>
        <v>34210</v>
      </c>
      <c r="J124" s="100">
        <v>0</v>
      </c>
      <c r="K124" s="101">
        <f t="shared" si="2"/>
        <v>-622</v>
      </c>
    </row>
    <row r="125" spans="1:11" ht="12.75" x14ac:dyDescent="0.2">
      <c r="A125" s="92">
        <v>45680</v>
      </c>
      <c r="B125" s="93" t="s">
        <v>39</v>
      </c>
      <c r="C125" s="94">
        <v>0.82210000000000005</v>
      </c>
      <c r="D125" s="95" t="s">
        <v>232</v>
      </c>
      <c r="E125" s="96" t="s">
        <v>246</v>
      </c>
      <c r="F125" s="96"/>
      <c r="G125" s="97">
        <v>622</v>
      </c>
      <c r="H125" s="98">
        <f t="shared" si="3"/>
        <v>110.65379999999999</v>
      </c>
      <c r="I125" s="99">
        <f t="shared" si="1"/>
        <v>6085.9589999999998</v>
      </c>
      <c r="J125" s="100">
        <v>0</v>
      </c>
      <c r="K125" s="101" t="s">
        <v>303</v>
      </c>
    </row>
    <row r="126" spans="1:11" ht="12.75" x14ac:dyDescent="0.2">
      <c r="A126" s="92">
        <v>45681</v>
      </c>
      <c r="B126" s="93" t="s">
        <v>41</v>
      </c>
      <c r="C126" s="94">
        <v>0.91990000000000005</v>
      </c>
      <c r="D126" s="95" t="s">
        <v>225</v>
      </c>
      <c r="E126" s="96"/>
      <c r="F126" s="96"/>
      <c r="G126" s="97">
        <v>622</v>
      </c>
      <c r="H126" s="98">
        <f t="shared" si="3"/>
        <v>49.822199999999953</v>
      </c>
      <c r="I126" s="99">
        <f t="shared" si="1"/>
        <v>2740.2209999999973</v>
      </c>
      <c r="J126" s="100">
        <v>0</v>
      </c>
      <c r="K126" s="101">
        <f t="shared" ref="K126:K215" si="4">J126-H126</f>
        <v>-49.822199999999953</v>
      </c>
    </row>
    <row r="127" spans="1:11" ht="12.75" x14ac:dyDescent="0.2">
      <c r="A127" s="92">
        <v>45684</v>
      </c>
      <c r="B127" s="93" t="s">
        <v>33</v>
      </c>
      <c r="C127" s="94">
        <v>0.92930000000000001</v>
      </c>
      <c r="D127" s="95" t="s">
        <v>225</v>
      </c>
      <c r="E127" s="96"/>
      <c r="F127" s="96"/>
      <c r="G127" s="97">
        <v>620</v>
      </c>
      <c r="H127" s="98">
        <f t="shared" si="3"/>
        <v>43.833999999999946</v>
      </c>
      <c r="I127" s="99">
        <f t="shared" si="1"/>
        <v>2410.8699999999972</v>
      </c>
      <c r="J127" s="100">
        <v>0</v>
      </c>
      <c r="K127" s="101">
        <f t="shared" si="4"/>
        <v>-43.833999999999946</v>
      </c>
    </row>
    <row r="128" spans="1:11" ht="12.75" x14ac:dyDescent="0.2">
      <c r="A128" s="92">
        <v>45685</v>
      </c>
      <c r="B128" s="93" t="s">
        <v>35</v>
      </c>
      <c r="C128" s="94">
        <v>0.96299999999999997</v>
      </c>
      <c r="D128" s="95" t="s">
        <v>225</v>
      </c>
      <c r="E128" s="96"/>
      <c r="F128" s="96"/>
      <c r="G128" s="97">
        <v>620</v>
      </c>
      <c r="H128" s="98">
        <f t="shared" si="3"/>
        <v>22.940000000000055</v>
      </c>
      <c r="I128" s="99">
        <f t="shared" si="1"/>
        <v>1261.700000000003</v>
      </c>
      <c r="J128" s="100">
        <v>0</v>
      </c>
      <c r="K128" s="101">
        <f t="shared" si="4"/>
        <v>-22.940000000000055</v>
      </c>
    </row>
    <row r="129" spans="1:11" ht="12.75" x14ac:dyDescent="0.2">
      <c r="A129" s="92">
        <v>45686</v>
      </c>
      <c r="B129" s="93" t="s">
        <v>37</v>
      </c>
      <c r="C129" s="94">
        <v>0.95179999999999998</v>
      </c>
      <c r="D129" s="95" t="s">
        <v>225</v>
      </c>
      <c r="E129" s="96"/>
      <c r="F129" s="96"/>
      <c r="G129" s="97">
        <v>620</v>
      </c>
      <c r="H129" s="98">
        <f t="shared" si="3"/>
        <v>29.884000000000015</v>
      </c>
      <c r="I129" s="99">
        <f t="shared" si="1"/>
        <v>1643.6200000000008</v>
      </c>
      <c r="J129" s="100">
        <v>0</v>
      </c>
      <c r="K129" s="101">
        <f t="shared" si="4"/>
        <v>-29.884000000000015</v>
      </c>
    </row>
    <row r="130" spans="1:11" ht="12.75" x14ac:dyDescent="0.2">
      <c r="A130" s="92">
        <v>45687</v>
      </c>
      <c r="B130" s="93" t="s">
        <v>39</v>
      </c>
      <c r="C130" s="94">
        <v>0.95499999999999996</v>
      </c>
      <c r="D130" s="95" t="s">
        <v>225</v>
      </c>
      <c r="E130" s="96"/>
      <c r="F130" s="96"/>
      <c r="G130" s="97">
        <v>620</v>
      </c>
      <c r="H130" s="98">
        <f t="shared" si="3"/>
        <v>27.899999999999977</v>
      </c>
      <c r="I130" s="99">
        <f t="shared" si="1"/>
        <v>1534.4999999999986</v>
      </c>
      <c r="J130" s="100">
        <v>0</v>
      </c>
      <c r="K130" s="101">
        <f t="shared" si="4"/>
        <v>-27.899999999999977</v>
      </c>
    </row>
    <row r="131" spans="1:11" ht="12.75" x14ac:dyDescent="0.2">
      <c r="A131" s="92">
        <v>45688</v>
      </c>
      <c r="B131" s="93" t="s">
        <v>41</v>
      </c>
      <c r="C131" s="94">
        <v>0.92769999999999997</v>
      </c>
      <c r="D131" s="95" t="s">
        <v>225</v>
      </c>
      <c r="E131" s="96"/>
      <c r="F131" s="96"/>
      <c r="G131" s="97">
        <v>619</v>
      </c>
      <c r="H131" s="98">
        <f t="shared" si="3"/>
        <v>44.753699999999981</v>
      </c>
      <c r="I131" s="99">
        <f t="shared" si="1"/>
        <v>2461.4534999999987</v>
      </c>
      <c r="J131" s="100">
        <v>0</v>
      </c>
      <c r="K131" s="101">
        <f t="shared" si="4"/>
        <v>-44.753699999999981</v>
      </c>
    </row>
    <row r="132" spans="1:11" ht="12.75" x14ac:dyDescent="0.2">
      <c r="A132" s="92">
        <v>45691</v>
      </c>
      <c r="B132" s="93" t="s">
        <v>33</v>
      </c>
      <c r="C132" s="94">
        <v>0.81610000000000005</v>
      </c>
      <c r="D132" s="95" t="s">
        <v>232</v>
      </c>
      <c r="E132" s="96" t="s">
        <v>233</v>
      </c>
      <c r="F132" s="96"/>
      <c r="G132" s="97">
        <v>618</v>
      </c>
      <c r="H132" s="98">
        <f t="shared" si="3"/>
        <v>113.65019999999998</v>
      </c>
      <c r="I132" s="99">
        <f t="shared" si="1"/>
        <v>6250.7609999999995</v>
      </c>
      <c r="J132" s="100">
        <v>0</v>
      </c>
      <c r="K132" s="101">
        <f t="shared" si="4"/>
        <v>-113.65019999999998</v>
      </c>
    </row>
    <row r="133" spans="1:11" ht="12.75" x14ac:dyDescent="0.2">
      <c r="A133" s="92">
        <v>45692</v>
      </c>
      <c r="B133" s="93" t="s">
        <v>35</v>
      </c>
      <c r="C133" s="94">
        <v>0.93720000000000003</v>
      </c>
      <c r="D133" s="95" t="s">
        <v>225</v>
      </c>
      <c r="E133" s="96"/>
      <c r="F133" s="96"/>
      <c r="G133" s="97">
        <v>619</v>
      </c>
      <c r="H133" s="98">
        <f t="shared" si="3"/>
        <v>38.873199999999997</v>
      </c>
      <c r="I133" s="99">
        <f t="shared" si="1"/>
        <v>2138.0259999999998</v>
      </c>
      <c r="J133" s="100">
        <v>0</v>
      </c>
      <c r="K133" s="101">
        <f t="shared" si="4"/>
        <v>-38.873199999999997</v>
      </c>
    </row>
    <row r="134" spans="1:11" ht="12.75" x14ac:dyDescent="0.2">
      <c r="A134" s="92">
        <v>45693</v>
      </c>
      <c r="B134" s="93" t="s">
        <v>37</v>
      </c>
      <c r="C134" s="94">
        <v>0.95640000000000003</v>
      </c>
      <c r="D134" s="95" t="s">
        <v>225</v>
      </c>
      <c r="E134" s="96"/>
      <c r="F134" s="96"/>
      <c r="G134" s="97">
        <v>619</v>
      </c>
      <c r="H134" s="98">
        <f t="shared" si="3"/>
        <v>26.988399999999956</v>
      </c>
      <c r="I134" s="99">
        <f t="shared" si="1"/>
        <v>1484.3619999999976</v>
      </c>
      <c r="J134" s="100">
        <v>0</v>
      </c>
      <c r="K134" s="101">
        <f t="shared" si="4"/>
        <v>-26.988399999999956</v>
      </c>
    </row>
    <row r="135" spans="1:11" ht="12.75" x14ac:dyDescent="0.2">
      <c r="A135" s="92">
        <v>45694</v>
      </c>
      <c r="B135" s="93" t="s">
        <v>39</v>
      </c>
      <c r="C135" s="94">
        <v>0.96289999999999998</v>
      </c>
      <c r="D135" s="95" t="s">
        <v>225</v>
      </c>
      <c r="E135" s="96"/>
      <c r="F135" s="96"/>
      <c r="G135" s="97">
        <v>620</v>
      </c>
      <c r="H135" s="98">
        <f t="shared" si="3"/>
        <v>23.002000000000066</v>
      </c>
      <c r="I135" s="99">
        <f t="shared" si="1"/>
        <v>1265.1100000000038</v>
      </c>
      <c r="J135" s="100">
        <v>0</v>
      </c>
      <c r="K135" s="101">
        <f t="shared" si="4"/>
        <v>-23.002000000000066</v>
      </c>
    </row>
    <row r="136" spans="1:11" ht="12.75" x14ac:dyDescent="0.2">
      <c r="A136" s="92">
        <v>45695</v>
      </c>
      <c r="B136" s="93" t="s">
        <v>41</v>
      </c>
      <c r="C136" s="94">
        <v>0.93059999999999998</v>
      </c>
      <c r="D136" s="95" t="s">
        <v>225</v>
      </c>
      <c r="E136" s="96"/>
      <c r="F136" s="96"/>
      <c r="G136" s="97">
        <v>620</v>
      </c>
      <c r="H136" s="98">
        <f t="shared" si="3"/>
        <v>43.02800000000002</v>
      </c>
      <c r="I136" s="99">
        <f t="shared" si="1"/>
        <v>2366.5400000000009</v>
      </c>
      <c r="J136" s="100">
        <v>0</v>
      </c>
      <c r="K136" s="101">
        <f t="shared" si="4"/>
        <v>-43.02800000000002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3"/>
        <v>0</v>
      </c>
      <c r="I137" s="99">
        <f t="shared" si="1"/>
        <v>0</v>
      </c>
      <c r="J137" s="100">
        <v>0</v>
      </c>
      <c r="K137" s="101">
        <f t="shared" si="4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3"/>
        <v>0</v>
      </c>
      <c r="I138" s="99">
        <f t="shared" si="1"/>
        <v>0</v>
      </c>
      <c r="J138" s="100">
        <v>0</v>
      </c>
      <c r="K138" s="101">
        <f t="shared" si="4"/>
        <v>0</v>
      </c>
    </row>
    <row r="139" spans="1:11" ht="12.75" x14ac:dyDescent="0.2">
      <c r="A139" s="92">
        <v>45700</v>
      </c>
      <c r="B139" s="93" t="s">
        <v>37</v>
      </c>
      <c r="C139" s="94">
        <v>0.94030000000000002</v>
      </c>
      <c r="D139" s="95" t="s">
        <v>225</v>
      </c>
      <c r="E139" s="96"/>
      <c r="F139" s="96"/>
      <c r="G139" s="97">
        <v>620</v>
      </c>
      <c r="H139" s="98">
        <f t="shared" si="3"/>
        <v>37.01400000000001</v>
      </c>
      <c r="I139" s="99">
        <f t="shared" si="1"/>
        <v>2035.7700000000004</v>
      </c>
      <c r="J139" s="100">
        <v>0</v>
      </c>
      <c r="K139" s="101">
        <f t="shared" si="4"/>
        <v>-37.01400000000001</v>
      </c>
    </row>
    <row r="140" spans="1:11" ht="12.75" x14ac:dyDescent="0.2">
      <c r="A140" s="92">
        <v>45701</v>
      </c>
      <c r="B140" s="93" t="s">
        <v>39</v>
      </c>
      <c r="C140" s="94">
        <v>0.94350000000000001</v>
      </c>
      <c r="D140" s="95" t="s">
        <v>225</v>
      </c>
      <c r="E140" s="96"/>
      <c r="F140" s="96"/>
      <c r="G140" s="97">
        <v>620</v>
      </c>
      <c r="H140" s="98">
        <f t="shared" si="3"/>
        <v>35.029999999999973</v>
      </c>
      <c r="I140" s="99">
        <f t="shared" si="1"/>
        <v>1926.6499999999985</v>
      </c>
      <c r="J140" s="100">
        <v>0</v>
      </c>
      <c r="K140" s="101">
        <f t="shared" si="4"/>
        <v>-35.029999999999973</v>
      </c>
    </row>
    <row r="141" spans="1:11" ht="12.75" x14ac:dyDescent="0.2">
      <c r="A141" s="92">
        <v>45702</v>
      </c>
      <c r="B141" s="93" t="s">
        <v>41</v>
      </c>
      <c r="C141" s="94">
        <v>0.94669999999999999</v>
      </c>
      <c r="D141" s="95" t="s">
        <v>225</v>
      </c>
      <c r="E141" s="96"/>
      <c r="F141" s="96"/>
      <c r="G141" s="97">
        <v>619</v>
      </c>
      <c r="H141" s="98">
        <f t="shared" si="3"/>
        <v>32.992700000000013</v>
      </c>
      <c r="I141" s="99">
        <f t="shared" si="1"/>
        <v>1814.5985000000007</v>
      </c>
      <c r="J141" s="100">
        <v>0</v>
      </c>
      <c r="K141" s="101">
        <f t="shared" si="4"/>
        <v>-32.992700000000013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3"/>
        <v>0</v>
      </c>
      <c r="I142" s="99">
        <f t="shared" si="1"/>
        <v>0</v>
      </c>
      <c r="J142" s="100">
        <v>0</v>
      </c>
      <c r="K142" s="101">
        <f t="shared" si="4"/>
        <v>0</v>
      </c>
    </row>
    <row r="143" spans="1:11" ht="12.75" x14ac:dyDescent="0.2">
      <c r="A143" s="92">
        <v>45706</v>
      </c>
      <c r="B143" s="93" t="s">
        <v>35</v>
      </c>
      <c r="C143" s="94">
        <v>0.94179999999999997</v>
      </c>
      <c r="D143" s="95" t="s">
        <v>225</v>
      </c>
      <c r="E143" s="96"/>
      <c r="F143" s="96"/>
      <c r="G143" s="97">
        <v>619</v>
      </c>
      <c r="H143" s="98">
        <f t="shared" si="3"/>
        <v>36.025800000000004</v>
      </c>
      <c r="I143" s="99">
        <f t="shared" si="1"/>
        <v>1981.4190000000003</v>
      </c>
      <c r="J143" s="100">
        <v>0</v>
      </c>
      <c r="K143" s="101">
        <f t="shared" si="4"/>
        <v>-36.025800000000004</v>
      </c>
    </row>
    <row r="144" spans="1:11" ht="12.75" x14ac:dyDescent="0.2">
      <c r="A144" s="92">
        <v>45707</v>
      </c>
      <c r="B144" s="93" t="s">
        <v>37</v>
      </c>
      <c r="C144" s="94">
        <v>0.94020000000000004</v>
      </c>
      <c r="D144" s="95" t="s">
        <v>225</v>
      </c>
      <c r="E144" s="96"/>
      <c r="F144" s="96"/>
      <c r="G144" s="97">
        <v>619</v>
      </c>
      <c r="H144" s="98">
        <f t="shared" si="3"/>
        <v>37.016200000000026</v>
      </c>
      <c r="I144" s="99">
        <f t="shared" si="1"/>
        <v>2035.8910000000014</v>
      </c>
      <c r="J144" s="100">
        <v>0</v>
      </c>
      <c r="K144" s="101">
        <f t="shared" si="4"/>
        <v>-37.016200000000026</v>
      </c>
    </row>
    <row r="145" spans="1:11" ht="12.75" x14ac:dyDescent="0.2">
      <c r="A145" s="92">
        <v>45708</v>
      </c>
      <c r="B145" s="93" t="s">
        <v>39</v>
      </c>
      <c r="C145" s="94">
        <v>0.94350000000000001</v>
      </c>
      <c r="D145" s="95" t="s">
        <v>225</v>
      </c>
      <c r="E145" s="96"/>
      <c r="F145" s="96"/>
      <c r="G145" s="97">
        <v>619</v>
      </c>
      <c r="H145" s="98">
        <f t="shared" si="3"/>
        <v>34.973499999999945</v>
      </c>
      <c r="I145" s="99">
        <f t="shared" si="1"/>
        <v>1923.5424999999968</v>
      </c>
      <c r="J145" s="100">
        <v>0</v>
      </c>
      <c r="K145" s="101">
        <f t="shared" si="4"/>
        <v>-34.973499999999945</v>
      </c>
    </row>
    <row r="146" spans="1:11" ht="12.75" x14ac:dyDescent="0.2">
      <c r="A146" s="92">
        <v>45709</v>
      </c>
      <c r="B146" s="93" t="s">
        <v>41</v>
      </c>
      <c r="C146" s="94">
        <v>0.92049999999999998</v>
      </c>
      <c r="D146" s="95" t="s">
        <v>225</v>
      </c>
      <c r="E146" s="96" t="s">
        <v>246</v>
      </c>
      <c r="F146" s="96"/>
      <c r="G146" s="97">
        <v>616</v>
      </c>
      <c r="H146" s="98">
        <f t="shared" si="3"/>
        <v>48.97199999999998</v>
      </c>
      <c r="I146" s="99">
        <f t="shared" si="1"/>
        <v>2693.4599999999991</v>
      </c>
      <c r="J146" s="100">
        <v>0</v>
      </c>
      <c r="K146" s="101">
        <f t="shared" si="4"/>
        <v>-48.97199999999998</v>
      </c>
    </row>
    <row r="147" spans="1:11" ht="12.75" x14ac:dyDescent="0.2">
      <c r="A147" s="92">
        <v>45712</v>
      </c>
      <c r="B147" s="93" t="s">
        <v>33</v>
      </c>
      <c r="C147" s="94">
        <v>0.94330000000000003</v>
      </c>
      <c r="D147" s="95" t="s">
        <v>225</v>
      </c>
      <c r="E147" s="96"/>
      <c r="F147" s="96"/>
      <c r="G147" s="97">
        <v>617</v>
      </c>
      <c r="H147" s="98">
        <f t="shared" si="3"/>
        <v>34.983899999999949</v>
      </c>
      <c r="I147" s="99">
        <f t="shared" si="1"/>
        <v>1924.1144999999972</v>
      </c>
      <c r="J147" s="100">
        <v>0</v>
      </c>
      <c r="K147" s="101">
        <f t="shared" si="4"/>
        <v>-34.983899999999949</v>
      </c>
    </row>
    <row r="148" spans="1:11" ht="12.75" x14ac:dyDescent="0.2">
      <c r="A148" s="92">
        <v>45713</v>
      </c>
      <c r="B148" s="93" t="s">
        <v>35</v>
      </c>
      <c r="C148" s="94">
        <v>0.94130000000000003</v>
      </c>
      <c r="D148" s="95" t="s">
        <v>225</v>
      </c>
      <c r="E148" s="96"/>
      <c r="F148" s="96"/>
      <c r="G148" s="97">
        <v>613</v>
      </c>
      <c r="H148" s="98">
        <f t="shared" si="3"/>
        <v>35.983100000000036</v>
      </c>
      <c r="I148" s="99">
        <f t="shared" si="1"/>
        <v>1979.0705000000021</v>
      </c>
      <c r="J148" s="100">
        <v>0</v>
      </c>
      <c r="K148" s="101">
        <f t="shared" si="4"/>
        <v>-35.983100000000036</v>
      </c>
    </row>
    <row r="149" spans="1:11" ht="12.75" x14ac:dyDescent="0.2">
      <c r="A149" s="92">
        <v>45714</v>
      </c>
      <c r="B149" s="93" t="s">
        <v>37</v>
      </c>
      <c r="C149" s="94">
        <v>0.96740000000000004</v>
      </c>
      <c r="D149" s="95" t="s">
        <v>225</v>
      </c>
      <c r="E149" s="96"/>
      <c r="F149" s="96"/>
      <c r="G149" s="97">
        <v>613</v>
      </c>
      <c r="H149" s="98">
        <f t="shared" si="3"/>
        <v>19.983799999999974</v>
      </c>
      <c r="I149" s="99">
        <f t="shared" si="1"/>
        <v>1099.1089999999986</v>
      </c>
      <c r="J149" s="100">
        <v>0</v>
      </c>
      <c r="K149" s="101">
        <f t="shared" si="4"/>
        <v>-19.983799999999974</v>
      </c>
    </row>
    <row r="150" spans="1:11" ht="12.75" x14ac:dyDescent="0.2">
      <c r="A150" s="92">
        <v>45715</v>
      </c>
      <c r="B150" s="93" t="s">
        <v>39</v>
      </c>
      <c r="C150" s="94">
        <v>0.95430000000000004</v>
      </c>
      <c r="D150" s="95" t="s">
        <v>225</v>
      </c>
      <c r="E150" s="96"/>
      <c r="F150" s="96"/>
      <c r="G150" s="97">
        <v>613</v>
      </c>
      <c r="H150" s="98">
        <f t="shared" si="3"/>
        <v>28.014099999999985</v>
      </c>
      <c r="I150" s="99">
        <f t="shared" si="1"/>
        <v>1540.7754999999993</v>
      </c>
      <c r="J150" s="100">
        <v>0</v>
      </c>
      <c r="K150" s="101">
        <f t="shared" si="4"/>
        <v>-28.014099999999985</v>
      </c>
    </row>
    <row r="151" spans="1:11" ht="12.75" x14ac:dyDescent="0.2">
      <c r="A151" s="92">
        <v>45716</v>
      </c>
      <c r="B151" s="93" t="s">
        <v>41</v>
      </c>
      <c r="C151" s="94">
        <v>0.9103</v>
      </c>
      <c r="D151" s="95" t="s">
        <v>225</v>
      </c>
      <c r="E151" s="96"/>
      <c r="F151" s="96"/>
      <c r="G151" s="97">
        <v>613</v>
      </c>
      <c r="H151" s="98">
        <f t="shared" si="3"/>
        <v>54.986099999999965</v>
      </c>
      <c r="I151" s="99">
        <f t="shared" si="1"/>
        <v>3024.235499999998</v>
      </c>
      <c r="J151" s="100">
        <v>0</v>
      </c>
      <c r="K151" s="101">
        <f t="shared" si="4"/>
        <v>-54.986099999999965</v>
      </c>
    </row>
    <row r="152" spans="1:11" ht="12.75" x14ac:dyDescent="0.2">
      <c r="A152" s="92">
        <v>45719</v>
      </c>
      <c r="B152" s="93" t="s">
        <v>33</v>
      </c>
      <c r="C152" s="94">
        <v>0.93030000000000002</v>
      </c>
      <c r="D152" s="95" t="s">
        <v>225</v>
      </c>
      <c r="E152" s="96"/>
      <c r="F152" s="96"/>
      <c r="G152" s="97">
        <v>617</v>
      </c>
      <c r="H152" s="98">
        <f t="shared" si="3"/>
        <v>43.004900000000021</v>
      </c>
      <c r="I152" s="99">
        <f t="shared" si="1"/>
        <v>2365.2695000000012</v>
      </c>
      <c r="J152" s="100">
        <v>0</v>
      </c>
      <c r="K152" s="101">
        <f t="shared" si="4"/>
        <v>-43.004900000000021</v>
      </c>
    </row>
    <row r="153" spans="1:11" ht="12.75" x14ac:dyDescent="0.2">
      <c r="A153" s="92">
        <v>45720</v>
      </c>
      <c r="B153" s="93" t="s">
        <v>35</v>
      </c>
      <c r="C153" s="94">
        <v>0.91569999999999996</v>
      </c>
      <c r="D153" s="95" t="s">
        <v>225</v>
      </c>
      <c r="E153" s="96"/>
      <c r="F153" s="96"/>
      <c r="G153" s="97">
        <v>617</v>
      </c>
      <c r="H153" s="98">
        <f t="shared" si="3"/>
        <v>52.013100000000009</v>
      </c>
      <c r="I153" s="99">
        <f t="shared" si="1"/>
        <v>2860.7205000000004</v>
      </c>
      <c r="J153" s="100">
        <v>0</v>
      </c>
      <c r="K153" s="101">
        <f t="shared" si="4"/>
        <v>-52.013100000000009</v>
      </c>
    </row>
    <row r="154" spans="1:11" ht="12.75" x14ac:dyDescent="0.2">
      <c r="A154" s="92">
        <v>45721</v>
      </c>
      <c r="B154" s="93" t="s">
        <v>37</v>
      </c>
      <c r="C154" s="94">
        <v>0.95320000000000005</v>
      </c>
      <c r="D154" s="95" t="s">
        <v>225</v>
      </c>
      <c r="E154" s="96"/>
      <c r="F154" s="96"/>
      <c r="G154" s="97">
        <v>619</v>
      </c>
      <c r="H154" s="98">
        <f t="shared" si="3"/>
        <v>28.969200000000001</v>
      </c>
      <c r="I154" s="99">
        <f t="shared" si="1"/>
        <v>1593.306</v>
      </c>
      <c r="J154" s="100">
        <v>0</v>
      </c>
      <c r="K154" s="101">
        <f t="shared" si="4"/>
        <v>-28.969200000000001</v>
      </c>
    </row>
    <row r="155" spans="1:11" ht="12.75" x14ac:dyDescent="0.2">
      <c r="A155" s="92">
        <v>45722</v>
      </c>
      <c r="B155" s="93" t="s">
        <v>39</v>
      </c>
      <c r="C155" s="94">
        <v>0.98060000000000003</v>
      </c>
      <c r="D155" s="95" t="s">
        <v>225</v>
      </c>
      <c r="E155" s="96"/>
      <c r="F155" s="96"/>
      <c r="G155" s="97">
        <v>619</v>
      </c>
      <c r="H155" s="98">
        <f t="shared" si="3"/>
        <v>12.008600000000001</v>
      </c>
      <c r="I155" s="99">
        <f t="shared" si="1"/>
        <v>660.47300000000007</v>
      </c>
      <c r="J155" s="100">
        <v>0</v>
      </c>
      <c r="K155" s="101">
        <f t="shared" si="4"/>
        <v>-12.008600000000001</v>
      </c>
    </row>
    <row r="156" spans="1:11" ht="12.75" x14ac:dyDescent="0.2">
      <c r="A156" s="92">
        <v>45723</v>
      </c>
      <c r="B156" s="93" t="s">
        <v>41</v>
      </c>
      <c r="C156" s="94">
        <v>0.96279999999999999</v>
      </c>
      <c r="D156" s="95" t="s">
        <v>225</v>
      </c>
      <c r="E156" s="96"/>
      <c r="F156" s="96"/>
      <c r="G156" s="97">
        <v>619</v>
      </c>
      <c r="H156" s="98">
        <f t="shared" si="3"/>
        <v>23.02679999999998</v>
      </c>
      <c r="I156" s="99">
        <f t="shared" si="1"/>
        <v>1266.4739999999988</v>
      </c>
      <c r="J156" s="100">
        <v>0</v>
      </c>
      <c r="K156" s="101">
        <f t="shared" si="4"/>
        <v>-23.02679999999998</v>
      </c>
    </row>
    <row r="157" spans="1:11" ht="12.75" x14ac:dyDescent="0.2">
      <c r="A157" s="123">
        <v>45726</v>
      </c>
      <c r="B157" s="124" t="s">
        <v>33</v>
      </c>
      <c r="C157" s="94">
        <v>0.93389999999999995</v>
      </c>
      <c r="D157" s="95" t="s">
        <v>225</v>
      </c>
      <c r="E157" s="96"/>
      <c r="F157" s="96"/>
      <c r="G157" s="97">
        <v>620</v>
      </c>
      <c r="H157" s="98">
        <f t="shared" si="3"/>
        <v>40.982000000000085</v>
      </c>
      <c r="I157" s="99">
        <f t="shared" si="1"/>
        <v>2254.0100000000048</v>
      </c>
      <c r="J157" s="100">
        <v>0</v>
      </c>
      <c r="K157" s="101">
        <f t="shared" si="4"/>
        <v>-40.982000000000085</v>
      </c>
    </row>
    <row r="158" spans="1:11" ht="12.75" x14ac:dyDescent="0.2">
      <c r="A158" s="123">
        <v>45727</v>
      </c>
      <c r="B158" s="124" t="s">
        <v>35</v>
      </c>
      <c r="C158" s="94">
        <v>0.98870000000000002</v>
      </c>
      <c r="D158" s="95" t="s">
        <v>225</v>
      </c>
      <c r="E158" s="96"/>
      <c r="F158" s="96"/>
      <c r="G158" s="97">
        <v>622</v>
      </c>
      <c r="H158" s="98">
        <f t="shared" si="3"/>
        <v>7.0285999999999831</v>
      </c>
      <c r="I158" s="99">
        <f t="shared" si="1"/>
        <v>386.57299999999907</v>
      </c>
      <c r="J158" s="100">
        <v>0</v>
      </c>
      <c r="K158" s="101">
        <f t="shared" si="4"/>
        <v>-7.0285999999999831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3"/>
        <v>0</v>
      </c>
      <c r="I159" s="99">
        <f t="shared" si="1"/>
        <v>0</v>
      </c>
      <c r="J159" s="100">
        <v>0</v>
      </c>
      <c r="K159" s="101">
        <f t="shared" si="4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3"/>
        <v>0</v>
      </c>
      <c r="I160" s="99">
        <f t="shared" si="1"/>
        <v>0</v>
      </c>
      <c r="J160" s="100">
        <v>0</v>
      </c>
      <c r="K160" s="101">
        <f t="shared" si="4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3"/>
        <v>0</v>
      </c>
      <c r="I161" s="99">
        <f t="shared" si="1"/>
        <v>0</v>
      </c>
      <c r="J161" s="100">
        <v>0</v>
      </c>
      <c r="K161" s="101">
        <f t="shared" si="4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3"/>
        <v>0</v>
      </c>
      <c r="I162" s="99">
        <f t="shared" si="1"/>
        <v>0</v>
      </c>
      <c r="J162" s="100">
        <v>0</v>
      </c>
      <c r="K162" s="101">
        <f t="shared" si="4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3"/>
        <v>0</v>
      </c>
      <c r="I163" s="99">
        <f t="shared" si="1"/>
        <v>0</v>
      </c>
      <c r="J163" s="100">
        <v>0</v>
      </c>
      <c r="K163" s="101">
        <f t="shared" si="4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3"/>
        <v>0</v>
      </c>
      <c r="I164" s="99">
        <f t="shared" si="1"/>
        <v>0</v>
      </c>
      <c r="J164" s="100">
        <v>0</v>
      </c>
      <c r="K164" s="101">
        <f t="shared" si="4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3"/>
        <v>0</v>
      </c>
      <c r="I165" s="99">
        <f t="shared" si="1"/>
        <v>0</v>
      </c>
      <c r="J165" s="100">
        <v>0</v>
      </c>
      <c r="K165" s="101">
        <f t="shared" si="4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3"/>
        <v>0</v>
      </c>
      <c r="I166" s="99">
        <f t="shared" si="1"/>
        <v>0</v>
      </c>
      <c r="J166" s="100">
        <v>0</v>
      </c>
      <c r="K166" s="101">
        <f t="shared" si="4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3"/>
        <v>0</v>
      </c>
      <c r="I167" s="99">
        <f t="shared" si="1"/>
        <v>0</v>
      </c>
      <c r="J167" s="100">
        <v>0</v>
      </c>
      <c r="K167" s="101">
        <f t="shared" si="4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3"/>
        <v>0</v>
      </c>
      <c r="I168" s="99">
        <f t="shared" si="1"/>
        <v>0</v>
      </c>
      <c r="J168" s="100">
        <v>0</v>
      </c>
      <c r="K168" s="101">
        <f t="shared" si="4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3"/>
        <v>0</v>
      </c>
      <c r="I169" s="99">
        <f t="shared" si="1"/>
        <v>0</v>
      </c>
      <c r="J169" s="100">
        <v>0</v>
      </c>
      <c r="K169" s="101">
        <f t="shared" si="4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3"/>
        <v>0</v>
      </c>
      <c r="I170" s="99">
        <f t="shared" si="1"/>
        <v>0</v>
      </c>
      <c r="J170" s="100">
        <v>0</v>
      </c>
      <c r="K170" s="101">
        <f t="shared" si="4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3"/>
        <v>0</v>
      </c>
      <c r="I171" s="99">
        <f t="shared" si="1"/>
        <v>0</v>
      </c>
      <c r="J171" s="100">
        <v>0</v>
      </c>
      <c r="K171" s="101">
        <f t="shared" si="4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3"/>
        <v>0</v>
      </c>
      <c r="I172" s="99">
        <f t="shared" si="1"/>
        <v>0</v>
      </c>
      <c r="J172" s="100">
        <v>0</v>
      </c>
      <c r="K172" s="101">
        <f t="shared" si="4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3"/>
        <v>0</v>
      </c>
      <c r="I173" s="99">
        <f t="shared" si="1"/>
        <v>0</v>
      </c>
      <c r="J173" s="100">
        <v>0</v>
      </c>
      <c r="K173" s="101">
        <f t="shared" si="4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3"/>
        <v>0</v>
      </c>
      <c r="I174" s="99">
        <f t="shared" si="1"/>
        <v>0</v>
      </c>
      <c r="J174" s="100">
        <v>0</v>
      </c>
      <c r="K174" s="101">
        <f t="shared" si="4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3"/>
        <v>0</v>
      </c>
      <c r="I175" s="99">
        <f t="shared" si="1"/>
        <v>0</v>
      </c>
      <c r="J175" s="100">
        <v>0</v>
      </c>
      <c r="K175" s="101">
        <f t="shared" si="4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3"/>
        <v>0</v>
      </c>
      <c r="I176" s="99">
        <f t="shared" si="1"/>
        <v>0</v>
      </c>
      <c r="J176" s="100">
        <v>0</v>
      </c>
      <c r="K176" s="101">
        <f t="shared" si="4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3"/>
        <v>0</v>
      </c>
      <c r="I177" s="99">
        <f t="shared" si="1"/>
        <v>0</v>
      </c>
      <c r="J177" s="100">
        <v>0</v>
      </c>
      <c r="K177" s="101">
        <f t="shared" si="4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3"/>
        <v>0</v>
      </c>
      <c r="I178" s="99">
        <f t="shared" si="1"/>
        <v>0</v>
      </c>
      <c r="J178" s="100">
        <v>0</v>
      </c>
      <c r="K178" s="101">
        <f t="shared" si="4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3"/>
        <v>0</v>
      </c>
      <c r="I179" s="99">
        <f t="shared" si="1"/>
        <v>0</v>
      </c>
      <c r="J179" s="100">
        <v>0</v>
      </c>
      <c r="K179" s="101">
        <f t="shared" si="4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3"/>
        <v>0</v>
      </c>
      <c r="I180" s="99">
        <f t="shared" si="1"/>
        <v>0</v>
      </c>
      <c r="J180" s="100">
        <v>0</v>
      </c>
      <c r="K180" s="101">
        <f t="shared" si="4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3"/>
        <v>0</v>
      </c>
      <c r="I181" s="99">
        <f t="shared" si="1"/>
        <v>0</v>
      </c>
      <c r="J181" s="100">
        <v>0</v>
      </c>
      <c r="K181" s="101">
        <f t="shared" si="4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3"/>
        <v>0</v>
      </c>
      <c r="I182" s="99">
        <f t="shared" si="1"/>
        <v>0</v>
      </c>
      <c r="J182" s="100">
        <v>0</v>
      </c>
      <c r="K182" s="101">
        <f t="shared" si="4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3"/>
        <v>0</v>
      </c>
      <c r="I183" s="99">
        <f t="shared" si="1"/>
        <v>0</v>
      </c>
      <c r="J183" s="100">
        <v>0</v>
      </c>
      <c r="K183" s="101">
        <f t="shared" si="4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3"/>
        <v>0</v>
      </c>
      <c r="I184" s="99">
        <f t="shared" si="1"/>
        <v>0</v>
      </c>
      <c r="J184" s="100">
        <v>0</v>
      </c>
      <c r="K184" s="101">
        <f t="shared" si="4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3"/>
        <v>0</v>
      </c>
      <c r="I185" s="99">
        <f t="shared" si="1"/>
        <v>0</v>
      </c>
      <c r="J185" s="100">
        <v>0</v>
      </c>
      <c r="K185" s="101">
        <f t="shared" si="4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3"/>
        <v>0</v>
      </c>
      <c r="I186" s="99">
        <f t="shared" si="1"/>
        <v>0</v>
      </c>
      <c r="J186" s="100">
        <v>0</v>
      </c>
      <c r="K186" s="101">
        <f t="shared" si="4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3"/>
        <v>0</v>
      </c>
      <c r="I187" s="99">
        <f t="shared" si="1"/>
        <v>0</v>
      </c>
      <c r="J187" s="100">
        <v>0</v>
      </c>
      <c r="K187" s="101">
        <f t="shared" si="4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3"/>
        <v>0</v>
      </c>
      <c r="I188" s="99">
        <f t="shared" si="1"/>
        <v>0</v>
      </c>
      <c r="J188" s="100">
        <v>0</v>
      </c>
      <c r="K188" s="101">
        <f t="shared" si="4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3"/>
        <v>0</v>
      </c>
      <c r="I189" s="99">
        <f t="shared" si="1"/>
        <v>0</v>
      </c>
      <c r="J189" s="100">
        <v>0</v>
      </c>
      <c r="K189" s="101">
        <f t="shared" si="4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3"/>
        <v>0</v>
      </c>
      <c r="I190" s="99">
        <f t="shared" si="1"/>
        <v>0</v>
      </c>
      <c r="J190" s="100">
        <v>0</v>
      </c>
      <c r="K190" s="101">
        <f t="shared" si="4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3"/>
        <v>0</v>
      </c>
      <c r="I191" s="99">
        <f t="shared" si="1"/>
        <v>0</v>
      </c>
      <c r="J191" s="100">
        <v>0</v>
      </c>
      <c r="K191" s="101">
        <f t="shared" si="4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3"/>
        <v>0</v>
      </c>
      <c r="I192" s="99">
        <f t="shared" si="1"/>
        <v>0</v>
      </c>
      <c r="J192" s="100">
        <v>0</v>
      </c>
      <c r="K192" s="101">
        <f t="shared" si="4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3"/>
        <v>0</v>
      </c>
      <c r="I193" s="99">
        <f t="shared" si="1"/>
        <v>0</v>
      </c>
      <c r="J193" s="100">
        <v>0</v>
      </c>
      <c r="K193" s="101">
        <f t="shared" si="4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3"/>
        <v>0</v>
      </c>
      <c r="I194" s="99">
        <f t="shared" si="1"/>
        <v>0</v>
      </c>
      <c r="J194" s="100">
        <v>0</v>
      </c>
      <c r="K194" s="101">
        <f t="shared" si="4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3"/>
        <v>0</v>
      </c>
      <c r="I195" s="99">
        <f t="shared" si="1"/>
        <v>0</v>
      </c>
      <c r="J195" s="100">
        <v>0</v>
      </c>
      <c r="K195" s="101">
        <f t="shared" si="4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3"/>
        <v>0</v>
      </c>
      <c r="I196" s="99">
        <f t="shared" si="1"/>
        <v>0</v>
      </c>
      <c r="J196" s="100">
        <v>0</v>
      </c>
      <c r="K196" s="101">
        <f t="shared" si="4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3"/>
        <v>0</v>
      </c>
      <c r="I197" s="99">
        <f t="shared" si="1"/>
        <v>0</v>
      </c>
      <c r="J197" s="100">
        <v>0</v>
      </c>
      <c r="K197" s="101">
        <f t="shared" si="4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3"/>
        <v>0</v>
      </c>
      <c r="I198" s="99">
        <f t="shared" si="1"/>
        <v>0</v>
      </c>
      <c r="J198" s="100">
        <v>0</v>
      </c>
      <c r="K198" s="101">
        <f t="shared" si="4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3"/>
        <v>0</v>
      </c>
      <c r="I199" s="99">
        <f t="shared" si="1"/>
        <v>0</v>
      </c>
      <c r="J199" s="100">
        <v>0</v>
      </c>
      <c r="K199" s="101">
        <f t="shared" si="4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3"/>
        <v>0</v>
      </c>
      <c r="I200" s="99">
        <f t="shared" si="1"/>
        <v>0</v>
      </c>
      <c r="J200" s="100">
        <v>0</v>
      </c>
      <c r="K200" s="101">
        <f t="shared" si="4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3"/>
        <v>0</v>
      </c>
      <c r="I201" s="99">
        <f t="shared" si="1"/>
        <v>0</v>
      </c>
      <c r="J201" s="100">
        <v>0</v>
      </c>
      <c r="K201" s="101">
        <f t="shared" si="4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3"/>
        <v>0</v>
      </c>
      <c r="I202" s="99">
        <f t="shared" si="1"/>
        <v>0</v>
      </c>
      <c r="J202" s="100">
        <v>0</v>
      </c>
      <c r="K202" s="101">
        <f t="shared" si="4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3"/>
        <v>0</v>
      </c>
      <c r="I203" s="99">
        <f t="shared" si="1"/>
        <v>0</v>
      </c>
      <c r="J203" s="100">
        <v>0</v>
      </c>
      <c r="K203" s="101">
        <f t="shared" si="4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3"/>
        <v>0</v>
      </c>
      <c r="I204" s="99">
        <f t="shared" si="1"/>
        <v>0</v>
      </c>
      <c r="J204" s="100">
        <v>0</v>
      </c>
      <c r="K204" s="101">
        <f t="shared" si="4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3"/>
        <v>0</v>
      </c>
      <c r="I205" s="99">
        <f t="shared" si="1"/>
        <v>0</v>
      </c>
      <c r="J205" s="100">
        <v>0</v>
      </c>
      <c r="K205" s="101">
        <f t="shared" si="4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3"/>
        <v>0</v>
      </c>
      <c r="I206" s="99">
        <f t="shared" si="1"/>
        <v>0</v>
      </c>
      <c r="J206" s="100">
        <v>0</v>
      </c>
      <c r="K206" s="101">
        <f t="shared" si="4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3"/>
        <v>0</v>
      </c>
      <c r="I207" s="99">
        <f t="shared" si="1"/>
        <v>0</v>
      </c>
      <c r="J207" s="100">
        <v>0</v>
      </c>
      <c r="K207" s="101">
        <f t="shared" si="4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3"/>
        <v>0</v>
      </c>
      <c r="I208" s="99">
        <f t="shared" si="1"/>
        <v>0</v>
      </c>
      <c r="J208" s="100">
        <v>0</v>
      </c>
      <c r="K208" s="101">
        <f t="shared" si="4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3"/>
        <v>0</v>
      </c>
      <c r="I209" s="99">
        <f t="shared" si="1"/>
        <v>0</v>
      </c>
      <c r="J209" s="100">
        <v>0</v>
      </c>
      <c r="K209" s="101">
        <f t="shared" si="4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3"/>
        <v>0</v>
      </c>
      <c r="I210" s="99">
        <f t="shared" si="1"/>
        <v>0</v>
      </c>
      <c r="J210" s="100">
        <v>0</v>
      </c>
      <c r="K210" s="101">
        <f t="shared" si="4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3"/>
        <v>0</v>
      </c>
      <c r="I211" s="99">
        <f t="shared" si="1"/>
        <v>0</v>
      </c>
      <c r="J211" s="100">
        <v>0</v>
      </c>
      <c r="K211" s="101">
        <f t="shared" si="4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3"/>
        <v>0</v>
      </c>
      <c r="I212" s="99">
        <f t="shared" si="1"/>
        <v>0</v>
      </c>
      <c r="J212" s="100">
        <v>0</v>
      </c>
      <c r="K212" s="101">
        <f t="shared" si="4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3"/>
        <v>0</v>
      </c>
      <c r="I213" s="99">
        <f t="shared" si="1"/>
        <v>0</v>
      </c>
      <c r="J213" s="100">
        <v>0</v>
      </c>
      <c r="K213" s="101">
        <f t="shared" si="4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3"/>
        <v>0</v>
      </c>
      <c r="I214" s="99">
        <f t="shared" si="1"/>
        <v>0</v>
      </c>
      <c r="J214" s="100">
        <v>0</v>
      </c>
      <c r="K214" s="101">
        <f t="shared" si="4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3"/>
        <v>0</v>
      </c>
      <c r="I215" s="99">
        <f t="shared" si="1"/>
        <v>0</v>
      </c>
      <c r="J215" s="100">
        <v>0</v>
      </c>
      <c r="K215" s="101">
        <f t="shared" si="4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01" t="e">
        <f t="shared" ref="K216:K218" si="5">#REF!-#REF!</f>
        <v>#REF!</v>
      </c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01" t="e">
        <f t="shared" si="5"/>
        <v>#REF!</v>
      </c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01" t="e">
        <f t="shared" si="5"/>
        <v>#REF!</v>
      </c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5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44" priority="4" operator="lessThan">
      <formula>"92%"</formula>
    </cfRule>
  </conditionalFormatting>
  <conditionalFormatting sqref="C7:C215">
    <cfRule type="cellIs" dxfId="43" priority="1" operator="lessThan">
      <formula>"90%"</formula>
    </cfRule>
    <cfRule type="cellIs" dxfId="42" priority="2" operator="lessThan">
      <formula>"94%"</formula>
    </cfRule>
  </conditionalFormatting>
  <conditionalFormatting sqref="K1:K853">
    <cfRule type="cellIs" dxfId="41" priority="3" operator="lessThan">
      <formula>0</formula>
    </cfRule>
  </conditionalFormatting>
  <dataValidations count="1">
    <dataValidation type="list" allowBlank="1" sqref="E7:E215" xr:uid="{00000000-0002-0000-05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  <pageSetUpPr fitToPage="1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22.28515625" customWidth="1"/>
    <col min="6" max="6" width="23.4257812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0"/>
      <c r="B1" s="80"/>
      <c r="C1" s="80"/>
      <c r="D1" s="80"/>
      <c r="E1" s="80"/>
      <c r="F1" s="80"/>
      <c r="G1" s="80"/>
      <c r="H1" s="81"/>
      <c r="I1" s="81"/>
      <c r="J1" s="82"/>
      <c r="K1" s="135" t="e">
        <f>SUM(K7:K215)</f>
        <v>#REF!</v>
      </c>
    </row>
    <row r="2" spans="1:11" x14ac:dyDescent="0.25">
      <c r="A2" s="242"/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304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165234.24500000002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/>
      <c r="B6" s="86"/>
      <c r="C6" s="87"/>
      <c r="D6" s="86"/>
      <c r="E6" s="88"/>
      <c r="F6" s="86"/>
      <c r="G6" s="86"/>
      <c r="H6" s="89" t="s">
        <v>222</v>
      </c>
      <c r="I6" s="90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261</v>
      </c>
      <c r="E7" s="96"/>
      <c r="F7" s="96"/>
      <c r="G7" s="97">
        <v>549</v>
      </c>
      <c r="H7" s="98">
        <f t="shared" ref="H7:H24" si="0">G7-(C7*G7)</f>
        <v>0</v>
      </c>
      <c r="I7" s="99">
        <f t="shared" ref="I7:I215" si="1">H7*$H$5</f>
        <v>0</v>
      </c>
      <c r="J7" s="100">
        <v>0</v>
      </c>
      <c r="K7" s="101">
        <f t="shared" ref="K7:K215" si="2">J7-H7</f>
        <v>0</v>
      </c>
    </row>
    <row r="8" spans="1:11" ht="12.75" x14ac:dyDescent="0.2">
      <c r="A8" s="92">
        <v>45517</v>
      </c>
      <c r="B8" s="93" t="s">
        <v>35</v>
      </c>
      <c r="C8" s="94">
        <v>0.99650000000000005</v>
      </c>
      <c r="D8" s="95" t="s">
        <v>261</v>
      </c>
      <c r="E8" s="96"/>
      <c r="F8" s="96"/>
      <c r="G8" s="97">
        <v>571</v>
      </c>
      <c r="H8" s="98">
        <f t="shared" si="0"/>
        <v>1.9984999999999218</v>
      </c>
      <c r="I8" s="99">
        <f t="shared" si="1"/>
        <v>109.9174999999957</v>
      </c>
      <c r="J8" s="100">
        <f t="shared" ref="J8:J57" si="3">G8-(G8*J$3)</f>
        <v>28.550000000000068</v>
      </c>
      <c r="K8" s="101">
        <f t="shared" si="2"/>
        <v>26.551500000000146</v>
      </c>
    </row>
    <row r="9" spans="1:11" ht="12.75" x14ac:dyDescent="0.2">
      <c r="A9" s="92">
        <v>45518</v>
      </c>
      <c r="B9" s="93" t="s">
        <v>37</v>
      </c>
      <c r="C9" s="94">
        <v>0.98260000000000003</v>
      </c>
      <c r="D9" s="95" t="s">
        <v>261</v>
      </c>
      <c r="E9" s="96"/>
      <c r="F9" s="96"/>
      <c r="G9" s="97">
        <v>575</v>
      </c>
      <c r="H9" s="98">
        <f t="shared" si="0"/>
        <v>10.004999999999995</v>
      </c>
      <c r="I9" s="99">
        <f t="shared" si="1"/>
        <v>550.27499999999975</v>
      </c>
      <c r="J9" s="100">
        <f t="shared" si="3"/>
        <v>28.75</v>
      </c>
      <c r="K9" s="101">
        <f t="shared" si="2"/>
        <v>18.745000000000005</v>
      </c>
    </row>
    <row r="10" spans="1:11" ht="12.75" x14ac:dyDescent="0.2">
      <c r="A10" s="92">
        <v>45519</v>
      </c>
      <c r="B10" s="93" t="s">
        <v>39</v>
      </c>
      <c r="C10" s="94">
        <v>0.98609999999999998</v>
      </c>
      <c r="D10" s="95" t="s">
        <v>261</v>
      </c>
      <c r="E10" s="96"/>
      <c r="F10" s="96"/>
      <c r="G10" s="97">
        <v>576</v>
      </c>
      <c r="H10" s="98">
        <f t="shared" si="0"/>
        <v>8.0063999999999851</v>
      </c>
      <c r="I10" s="99">
        <f t="shared" si="1"/>
        <v>440.35199999999918</v>
      </c>
      <c r="J10" s="100">
        <f t="shared" si="3"/>
        <v>28.800000000000068</v>
      </c>
      <c r="K10" s="101">
        <f t="shared" si="2"/>
        <v>20.793600000000083</v>
      </c>
    </row>
    <row r="11" spans="1:11" ht="12.75" x14ac:dyDescent="0.2">
      <c r="A11" s="92">
        <v>45520</v>
      </c>
      <c r="B11" s="93" t="s">
        <v>41</v>
      </c>
      <c r="C11" s="94">
        <v>0.9587</v>
      </c>
      <c r="D11" s="95" t="s">
        <v>261</v>
      </c>
      <c r="E11" s="96"/>
      <c r="F11" s="96"/>
      <c r="G11" s="97">
        <v>581</v>
      </c>
      <c r="H11" s="98">
        <f t="shared" si="0"/>
        <v>23.995300000000043</v>
      </c>
      <c r="I11" s="99">
        <f t="shared" si="1"/>
        <v>1319.7415000000024</v>
      </c>
      <c r="J11" s="100">
        <f t="shared" si="3"/>
        <v>29.050000000000068</v>
      </c>
      <c r="K11" s="101">
        <f t="shared" si="2"/>
        <v>5.0547000000000253</v>
      </c>
    </row>
    <row r="12" spans="1:11" ht="12.75" x14ac:dyDescent="0.2">
      <c r="A12" s="92">
        <v>45523</v>
      </c>
      <c r="B12" s="93" t="s">
        <v>33</v>
      </c>
      <c r="C12" s="94">
        <v>0.94640000000000002</v>
      </c>
      <c r="D12" s="95" t="s">
        <v>261</v>
      </c>
      <c r="E12" s="96" t="s">
        <v>228</v>
      </c>
      <c r="F12" s="96"/>
      <c r="G12" s="97">
        <v>597</v>
      </c>
      <c r="H12" s="98">
        <f t="shared" si="0"/>
        <v>31.999199999999973</v>
      </c>
      <c r="I12" s="99">
        <f t="shared" si="1"/>
        <v>1759.9559999999985</v>
      </c>
      <c r="J12" s="100">
        <f t="shared" si="3"/>
        <v>29.850000000000023</v>
      </c>
      <c r="K12" s="101">
        <f t="shared" si="2"/>
        <v>-2.1491999999999507</v>
      </c>
    </row>
    <row r="13" spans="1:11" ht="12.75" x14ac:dyDescent="0.2">
      <c r="A13" s="92">
        <v>45524</v>
      </c>
      <c r="B13" s="93" t="s">
        <v>35</v>
      </c>
      <c r="C13" s="94">
        <v>0.97499999999999998</v>
      </c>
      <c r="D13" s="95" t="s">
        <v>261</v>
      </c>
      <c r="E13" s="96"/>
      <c r="F13" s="96"/>
      <c r="G13" s="97">
        <v>599</v>
      </c>
      <c r="H13" s="98">
        <f t="shared" si="0"/>
        <v>14.975000000000023</v>
      </c>
      <c r="I13" s="99">
        <f t="shared" si="1"/>
        <v>823.62500000000125</v>
      </c>
      <c r="J13" s="100">
        <f t="shared" si="3"/>
        <v>29.950000000000045</v>
      </c>
      <c r="K13" s="101">
        <f t="shared" si="2"/>
        <v>14.975000000000023</v>
      </c>
    </row>
    <row r="14" spans="1:11" ht="12.75" x14ac:dyDescent="0.2">
      <c r="A14" s="92">
        <v>45525</v>
      </c>
      <c r="B14" s="93" t="s">
        <v>37</v>
      </c>
      <c r="C14" s="94">
        <v>0.96350000000000002</v>
      </c>
      <c r="D14" s="95" t="s">
        <v>261</v>
      </c>
      <c r="E14" s="96"/>
      <c r="F14" s="96"/>
      <c r="G14" s="97">
        <v>603</v>
      </c>
      <c r="H14" s="98">
        <f t="shared" si="0"/>
        <v>22.009500000000003</v>
      </c>
      <c r="I14" s="99">
        <f t="shared" si="1"/>
        <v>1210.5225</v>
      </c>
      <c r="J14" s="100">
        <f t="shared" si="3"/>
        <v>30.149999999999977</v>
      </c>
      <c r="K14" s="101">
        <f t="shared" si="2"/>
        <v>8.1404999999999745</v>
      </c>
    </row>
    <row r="15" spans="1:11" ht="12.75" x14ac:dyDescent="0.2">
      <c r="A15" s="92">
        <v>45526</v>
      </c>
      <c r="B15" s="93" t="s">
        <v>39</v>
      </c>
      <c r="C15" s="94">
        <v>0.96350000000000002</v>
      </c>
      <c r="D15" s="95" t="s">
        <v>261</v>
      </c>
      <c r="E15" s="96"/>
      <c r="F15" s="96"/>
      <c r="G15" s="97">
        <v>603</v>
      </c>
      <c r="H15" s="98">
        <f t="shared" si="0"/>
        <v>22.009500000000003</v>
      </c>
      <c r="I15" s="99">
        <f t="shared" si="1"/>
        <v>1210.5225</v>
      </c>
      <c r="J15" s="100">
        <f t="shared" si="3"/>
        <v>30.149999999999977</v>
      </c>
      <c r="K15" s="101">
        <f t="shared" si="2"/>
        <v>8.1404999999999745</v>
      </c>
    </row>
    <row r="16" spans="1:11" ht="12.75" x14ac:dyDescent="0.2">
      <c r="A16" s="92">
        <v>45527</v>
      </c>
      <c r="B16" s="93" t="s">
        <v>41</v>
      </c>
      <c r="C16" s="94">
        <v>0.93200000000000005</v>
      </c>
      <c r="D16" s="95" t="s">
        <v>261</v>
      </c>
      <c r="E16" s="96"/>
      <c r="F16" s="96"/>
      <c r="G16" s="97">
        <v>603</v>
      </c>
      <c r="H16" s="98">
        <f t="shared" si="0"/>
        <v>41.004000000000019</v>
      </c>
      <c r="I16" s="99">
        <f t="shared" si="1"/>
        <v>2255.2200000000012</v>
      </c>
      <c r="J16" s="100">
        <f t="shared" si="3"/>
        <v>30.149999999999977</v>
      </c>
      <c r="K16" s="101">
        <f t="shared" si="2"/>
        <v>-10.854000000000042</v>
      </c>
    </row>
    <row r="17" spans="1:11" ht="12.75" x14ac:dyDescent="0.2">
      <c r="A17" s="92">
        <v>45530</v>
      </c>
      <c r="B17" s="93" t="s">
        <v>33</v>
      </c>
      <c r="C17" s="94">
        <v>0.9536</v>
      </c>
      <c r="D17" s="95" t="s">
        <v>261</v>
      </c>
      <c r="E17" s="96"/>
      <c r="F17" s="96"/>
      <c r="G17" s="97">
        <v>603</v>
      </c>
      <c r="H17" s="98">
        <f t="shared" si="0"/>
        <v>27.979199999999992</v>
      </c>
      <c r="I17" s="99">
        <f t="shared" si="1"/>
        <v>1538.8559999999995</v>
      </c>
      <c r="J17" s="100">
        <f t="shared" si="3"/>
        <v>30.149999999999977</v>
      </c>
      <c r="K17" s="101">
        <f t="shared" si="2"/>
        <v>2.1707999999999856</v>
      </c>
    </row>
    <row r="18" spans="1:11" ht="12.75" x14ac:dyDescent="0.2">
      <c r="A18" s="92">
        <v>45531</v>
      </c>
      <c r="B18" s="93" t="s">
        <v>35</v>
      </c>
      <c r="C18" s="94">
        <v>0.95860000000000001</v>
      </c>
      <c r="D18" s="95" t="s">
        <v>261</v>
      </c>
      <c r="E18" s="96"/>
      <c r="F18" s="96"/>
      <c r="G18" s="97">
        <v>604</v>
      </c>
      <c r="H18" s="98">
        <f t="shared" si="0"/>
        <v>25.005599999999959</v>
      </c>
      <c r="I18" s="99">
        <f t="shared" si="1"/>
        <v>1375.3079999999977</v>
      </c>
      <c r="J18" s="100">
        <f t="shared" si="3"/>
        <v>30.200000000000045</v>
      </c>
      <c r="K18" s="101">
        <f t="shared" si="2"/>
        <v>5.1944000000000869</v>
      </c>
    </row>
    <row r="19" spans="1:11" ht="12.75" x14ac:dyDescent="0.2">
      <c r="A19" s="92">
        <v>45532</v>
      </c>
      <c r="B19" s="93" t="s">
        <v>37</v>
      </c>
      <c r="C19" s="94">
        <v>0.94040000000000001</v>
      </c>
      <c r="D19" s="95" t="s">
        <v>261</v>
      </c>
      <c r="E19" s="96"/>
      <c r="F19" s="102"/>
      <c r="G19" s="97">
        <v>604</v>
      </c>
      <c r="H19" s="98">
        <f t="shared" si="0"/>
        <v>35.998399999999947</v>
      </c>
      <c r="I19" s="99">
        <f t="shared" si="1"/>
        <v>1979.9119999999971</v>
      </c>
      <c r="J19" s="100">
        <f t="shared" si="3"/>
        <v>30.200000000000045</v>
      </c>
      <c r="K19" s="101">
        <f t="shared" si="2"/>
        <v>-5.7983999999999014</v>
      </c>
    </row>
    <row r="20" spans="1:11" ht="12.75" x14ac:dyDescent="0.2">
      <c r="A20" s="92">
        <v>45533</v>
      </c>
      <c r="B20" s="93" t="s">
        <v>39</v>
      </c>
      <c r="C20" s="94">
        <v>0.95530000000000004</v>
      </c>
      <c r="D20" s="95" t="s">
        <v>261</v>
      </c>
      <c r="E20" s="96"/>
      <c r="F20" s="96"/>
      <c r="G20" s="97">
        <v>604</v>
      </c>
      <c r="H20" s="98">
        <f t="shared" si="0"/>
        <v>26.99879999999996</v>
      </c>
      <c r="I20" s="99">
        <f t="shared" si="1"/>
        <v>1484.9339999999979</v>
      </c>
      <c r="J20" s="100">
        <f t="shared" si="3"/>
        <v>30.200000000000045</v>
      </c>
      <c r="K20" s="101">
        <f t="shared" si="2"/>
        <v>3.2012000000000853</v>
      </c>
    </row>
    <row r="21" spans="1:11" ht="12.75" x14ac:dyDescent="0.2">
      <c r="A21" s="92">
        <v>45534</v>
      </c>
      <c r="B21" s="93" t="s">
        <v>41</v>
      </c>
      <c r="C21" s="94">
        <v>0.92720000000000002</v>
      </c>
      <c r="D21" s="95" t="s">
        <v>261</v>
      </c>
      <c r="E21" s="96"/>
      <c r="F21" s="96"/>
      <c r="G21" s="97">
        <v>604</v>
      </c>
      <c r="H21" s="98">
        <f t="shared" si="0"/>
        <v>43.971199999999953</v>
      </c>
      <c r="I21" s="99">
        <f t="shared" si="1"/>
        <v>2418.4159999999974</v>
      </c>
      <c r="J21" s="100">
        <f t="shared" si="3"/>
        <v>30.200000000000045</v>
      </c>
      <c r="K21" s="101">
        <f t="shared" si="2"/>
        <v>-13.771199999999908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0.94230000000000003</v>
      </c>
      <c r="D23" s="95" t="s">
        <v>261</v>
      </c>
      <c r="E23" s="96"/>
      <c r="F23" s="96"/>
      <c r="G23" s="97">
        <v>607</v>
      </c>
      <c r="H23" s="98">
        <f t="shared" si="0"/>
        <v>35.023900000000026</v>
      </c>
      <c r="I23" s="99">
        <f t="shared" si="1"/>
        <v>1926.3145000000013</v>
      </c>
      <c r="J23" s="100">
        <f t="shared" si="3"/>
        <v>30.350000000000023</v>
      </c>
      <c r="K23" s="101">
        <f t="shared" si="2"/>
        <v>-4.6739000000000033</v>
      </c>
    </row>
    <row r="24" spans="1:11" ht="12.75" x14ac:dyDescent="0.2">
      <c r="A24" s="92">
        <v>45539</v>
      </c>
      <c r="B24" s="93" t="s">
        <v>37</v>
      </c>
      <c r="C24" s="94">
        <v>0.95550000000000002</v>
      </c>
      <c r="D24" s="95" t="s">
        <v>261</v>
      </c>
      <c r="E24" s="96"/>
      <c r="F24" s="96"/>
      <c r="G24" s="97">
        <v>607</v>
      </c>
      <c r="H24" s="98">
        <f t="shared" si="0"/>
        <v>27.011499999999955</v>
      </c>
      <c r="I24" s="99">
        <f t="shared" si="1"/>
        <v>1485.6324999999974</v>
      </c>
      <c r="J24" s="100">
        <f t="shared" si="3"/>
        <v>30.350000000000023</v>
      </c>
      <c r="K24" s="101">
        <f t="shared" si="2"/>
        <v>3.3385000000000673</v>
      </c>
    </row>
    <row r="25" spans="1:11" ht="12.75" x14ac:dyDescent="0.2">
      <c r="A25" s="92">
        <v>45540</v>
      </c>
      <c r="B25" s="93" t="s">
        <v>39</v>
      </c>
      <c r="C25" s="94">
        <v>0.95389999999999997</v>
      </c>
      <c r="D25" s="95" t="s">
        <v>261</v>
      </c>
      <c r="E25" s="96"/>
      <c r="F25" s="96"/>
      <c r="G25" s="97">
        <v>608</v>
      </c>
      <c r="H25" s="98">
        <f t="shared" ref="H25:H28" si="4">G25-(C26*G25)</f>
        <v>37.027199999999993</v>
      </c>
      <c r="I25" s="99">
        <f t="shared" si="1"/>
        <v>2036.4959999999996</v>
      </c>
      <c r="J25" s="100">
        <f t="shared" si="3"/>
        <v>30.399999999999977</v>
      </c>
      <c r="K25" s="101">
        <f t="shared" si="2"/>
        <v>-6.6272000000000162</v>
      </c>
    </row>
    <row r="26" spans="1:11" ht="12.75" x14ac:dyDescent="0.2">
      <c r="A26" s="92">
        <v>45541</v>
      </c>
      <c r="B26" s="93" t="s">
        <v>41</v>
      </c>
      <c r="C26" s="94">
        <v>0.93910000000000005</v>
      </c>
      <c r="D26" s="95" t="s">
        <v>261</v>
      </c>
      <c r="E26" s="96"/>
      <c r="F26" s="96"/>
      <c r="G26" s="97">
        <v>608</v>
      </c>
      <c r="H26" s="98">
        <f t="shared" si="4"/>
        <v>37.027199999999993</v>
      </c>
      <c r="I26" s="99">
        <f t="shared" si="1"/>
        <v>2036.4959999999996</v>
      </c>
      <c r="J26" s="100">
        <f t="shared" si="3"/>
        <v>30.399999999999977</v>
      </c>
      <c r="K26" s="101">
        <f t="shared" si="2"/>
        <v>-6.6272000000000162</v>
      </c>
    </row>
    <row r="27" spans="1:11" ht="12.75" x14ac:dyDescent="0.2">
      <c r="A27" s="92">
        <v>45544</v>
      </c>
      <c r="B27" s="93" t="s">
        <v>33</v>
      </c>
      <c r="C27" s="94">
        <v>0.93910000000000005</v>
      </c>
      <c r="D27" s="95" t="s">
        <v>261</v>
      </c>
      <c r="E27" s="96"/>
      <c r="F27" s="96"/>
      <c r="G27" s="97">
        <v>608</v>
      </c>
      <c r="H27" s="98">
        <f t="shared" si="4"/>
        <v>22.982399999999984</v>
      </c>
      <c r="I27" s="99">
        <f t="shared" si="1"/>
        <v>1264.0319999999992</v>
      </c>
      <c r="J27" s="100">
        <f t="shared" si="3"/>
        <v>30.399999999999977</v>
      </c>
      <c r="K27" s="101">
        <f t="shared" si="2"/>
        <v>7.4175999999999931</v>
      </c>
    </row>
    <row r="28" spans="1:11" ht="12.75" x14ac:dyDescent="0.2">
      <c r="A28" s="92">
        <v>45545</v>
      </c>
      <c r="B28" s="93" t="s">
        <v>35</v>
      </c>
      <c r="C28" s="94">
        <v>0.96220000000000006</v>
      </c>
      <c r="D28" s="95" t="s">
        <v>261</v>
      </c>
      <c r="E28" s="96"/>
      <c r="F28" s="96"/>
      <c r="G28" s="97">
        <v>607</v>
      </c>
      <c r="H28" s="98">
        <f t="shared" si="4"/>
        <v>26.890099999999961</v>
      </c>
      <c r="I28" s="99">
        <f t="shared" si="1"/>
        <v>1478.9554999999978</v>
      </c>
      <c r="J28" s="100">
        <f t="shared" si="3"/>
        <v>30.350000000000023</v>
      </c>
      <c r="K28" s="101">
        <f t="shared" si="2"/>
        <v>3.4599000000000615</v>
      </c>
    </row>
    <row r="29" spans="1:11" ht="12.75" x14ac:dyDescent="0.2">
      <c r="A29" s="92">
        <v>45546</v>
      </c>
      <c r="B29" s="93" t="s">
        <v>37</v>
      </c>
      <c r="C29" s="94">
        <v>0.95569999999999999</v>
      </c>
      <c r="D29" s="95" t="s">
        <v>261</v>
      </c>
      <c r="E29" s="96"/>
      <c r="F29" s="96"/>
      <c r="G29" s="97">
        <v>609</v>
      </c>
      <c r="H29" s="98">
        <f t="shared" ref="H29:H58" si="5">G29-(C29*G29)</f>
        <v>26.978700000000003</v>
      </c>
      <c r="I29" s="99">
        <f t="shared" si="1"/>
        <v>1483.8285000000001</v>
      </c>
      <c r="J29" s="100">
        <f t="shared" si="3"/>
        <v>30.450000000000045</v>
      </c>
      <c r="K29" s="101">
        <f t="shared" si="2"/>
        <v>3.471300000000042</v>
      </c>
    </row>
    <row r="30" spans="1:11" ht="12.75" x14ac:dyDescent="0.2">
      <c r="A30" s="92">
        <v>45547</v>
      </c>
      <c r="B30" s="93" t="s">
        <v>39</v>
      </c>
      <c r="C30" s="94">
        <v>0.95409999999999995</v>
      </c>
      <c r="D30" s="95" t="s">
        <v>261</v>
      </c>
      <c r="E30" s="96"/>
      <c r="F30" s="96"/>
      <c r="G30" s="97">
        <v>610</v>
      </c>
      <c r="H30" s="98">
        <f t="shared" si="5"/>
        <v>27.999000000000024</v>
      </c>
      <c r="I30" s="99">
        <f t="shared" si="1"/>
        <v>1539.9450000000013</v>
      </c>
      <c r="J30" s="100">
        <f t="shared" si="3"/>
        <v>30.5</v>
      </c>
      <c r="K30" s="101">
        <f t="shared" si="2"/>
        <v>2.5009999999999764</v>
      </c>
    </row>
    <row r="31" spans="1:11" ht="12.75" x14ac:dyDescent="0.2">
      <c r="A31" s="92">
        <v>45548</v>
      </c>
      <c r="B31" s="93" t="s">
        <v>41</v>
      </c>
      <c r="C31" s="94">
        <v>0.94750000000000001</v>
      </c>
      <c r="D31" s="95" t="s">
        <v>261</v>
      </c>
      <c r="E31" s="96"/>
      <c r="F31" s="96"/>
      <c r="G31" s="97">
        <v>610</v>
      </c>
      <c r="H31" s="98">
        <f t="shared" si="5"/>
        <v>32.024999999999977</v>
      </c>
      <c r="I31" s="99">
        <f t="shared" si="1"/>
        <v>1761.3749999999986</v>
      </c>
      <c r="J31" s="100">
        <f t="shared" si="3"/>
        <v>30.5</v>
      </c>
      <c r="K31" s="101">
        <f t="shared" si="2"/>
        <v>-1.5249999999999773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5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0.96709999999999996</v>
      </c>
      <c r="D33" s="95" t="s">
        <v>261</v>
      </c>
      <c r="E33" s="96"/>
      <c r="F33" s="96"/>
      <c r="G33" s="97">
        <v>607</v>
      </c>
      <c r="H33" s="98">
        <f t="shared" si="5"/>
        <v>19.970300000000066</v>
      </c>
      <c r="I33" s="99">
        <f t="shared" si="1"/>
        <v>1098.3665000000037</v>
      </c>
      <c r="J33" s="100">
        <f t="shared" si="3"/>
        <v>30.350000000000023</v>
      </c>
      <c r="K33" s="101">
        <f t="shared" si="2"/>
        <v>10.379699999999957</v>
      </c>
    </row>
    <row r="34" spans="1:11" ht="12.75" x14ac:dyDescent="0.2">
      <c r="A34" s="92">
        <v>45553</v>
      </c>
      <c r="B34" s="93" t="s">
        <v>37</v>
      </c>
      <c r="C34" s="94">
        <v>0.96379999999999999</v>
      </c>
      <c r="D34" s="95" t="s">
        <v>261</v>
      </c>
      <c r="E34" s="96"/>
      <c r="F34" s="96"/>
      <c r="G34" s="97">
        <v>607</v>
      </c>
      <c r="H34" s="98">
        <f t="shared" si="5"/>
        <v>21.97339999999997</v>
      </c>
      <c r="I34" s="99">
        <f t="shared" si="1"/>
        <v>1208.5369999999984</v>
      </c>
      <c r="J34" s="100">
        <f t="shared" si="3"/>
        <v>30.350000000000023</v>
      </c>
      <c r="K34" s="101">
        <f t="shared" si="2"/>
        <v>8.3766000000000531</v>
      </c>
    </row>
    <row r="35" spans="1:11" ht="12.75" x14ac:dyDescent="0.2">
      <c r="A35" s="92">
        <v>45554</v>
      </c>
      <c r="B35" s="93" t="s">
        <v>39</v>
      </c>
      <c r="C35" s="94">
        <v>0.95550000000000002</v>
      </c>
      <c r="D35" s="95" t="s">
        <v>261</v>
      </c>
      <c r="E35" s="96"/>
      <c r="F35" s="96"/>
      <c r="G35" s="97">
        <v>607</v>
      </c>
      <c r="H35" s="98">
        <f t="shared" si="5"/>
        <v>27.011499999999955</v>
      </c>
      <c r="I35" s="99">
        <f t="shared" si="1"/>
        <v>1485.6324999999974</v>
      </c>
      <c r="J35" s="100">
        <f t="shared" si="3"/>
        <v>30.350000000000023</v>
      </c>
      <c r="K35" s="101">
        <f t="shared" si="2"/>
        <v>3.3385000000000673</v>
      </c>
    </row>
    <row r="36" spans="1:11" ht="12.75" x14ac:dyDescent="0.2">
      <c r="A36" s="92">
        <v>45555</v>
      </c>
      <c r="B36" s="93" t="s">
        <v>41</v>
      </c>
      <c r="C36" s="94">
        <v>0.88959999999999995</v>
      </c>
      <c r="D36" s="95" t="s">
        <v>261</v>
      </c>
      <c r="E36" s="96"/>
      <c r="F36" s="96"/>
      <c r="G36" s="97">
        <v>606</v>
      </c>
      <c r="H36" s="98">
        <f t="shared" si="5"/>
        <v>66.902400000000057</v>
      </c>
      <c r="I36" s="99">
        <f t="shared" si="1"/>
        <v>3679.6320000000032</v>
      </c>
      <c r="J36" s="100">
        <f t="shared" si="3"/>
        <v>30.300000000000068</v>
      </c>
      <c r="K36" s="101">
        <f t="shared" si="2"/>
        <v>-36.602399999999989</v>
      </c>
    </row>
    <row r="37" spans="1:11" ht="12.75" x14ac:dyDescent="0.2">
      <c r="A37" s="92">
        <v>45558</v>
      </c>
      <c r="B37" s="93" t="s">
        <v>33</v>
      </c>
      <c r="C37" s="94">
        <v>0.95389999999999997</v>
      </c>
      <c r="D37" s="95" t="s">
        <v>261</v>
      </c>
      <c r="E37" s="96"/>
      <c r="F37" s="96"/>
      <c r="G37" s="97">
        <v>608</v>
      </c>
      <c r="H37" s="98">
        <f t="shared" si="5"/>
        <v>28.028800000000047</v>
      </c>
      <c r="I37" s="99">
        <f t="shared" si="1"/>
        <v>1541.5840000000026</v>
      </c>
      <c r="J37" s="100">
        <f t="shared" si="3"/>
        <v>30.399999999999977</v>
      </c>
      <c r="K37" s="101">
        <f t="shared" si="2"/>
        <v>2.3711999999999307</v>
      </c>
    </row>
    <row r="38" spans="1:11" ht="12.75" x14ac:dyDescent="0.2">
      <c r="A38" s="92">
        <v>45559</v>
      </c>
      <c r="B38" s="93" t="s">
        <v>35</v>
      </c>
      <c r="C38" s="94">
        <v>0.96050000000000002</v>
      </c>
      <c r="D38" s="95" t="s">
        <v>261</v>
      </c>
      <c r="E38" s="96"/>
      <c r="F38" s="96"/>
      <c r="G38" s="97">
        <v>608</v>
      </c>
      <c r="H38" s="98">
        <f t="shared" si="5"/>
        <v>24.015999999999963</v>
      </c>
      <c r="I38" s="99">
        <f t="shared" si="1"/>
        <v>1320.8799999999978</v>
      </c>
      <c r="J38" s="100">
        <f t="shared" si="3"/>
        <v>30.399999999999977</v>
      </c>
      <c r="K38" s="101">
        <f t="shared" si="2"/>
        <v>6.3840000000000146</v>
      </c>
    </row>
    <row r="39" spans="1:11" ht="12.75" x14ac:dyDescent="0.2">
      <c r="A39" s="92">
        <v>45560</v>
      </c>
      <c r="B39" s="93" t="s">
        <v>37</v>
      </c>
      <c r="C39" s="94">
        <v>0.97199999999999998</v>
      </c>
      <c r="D39" s="95" t="s">
        <v>261</v>
      </c>
      <c r="E39" s="96"/>
      <c r="F39" s="96"/>
      <c r="G39" s="97">
        <v>607</v>
      </c>
      <c r="H39" s="98">
        <f t="shared" si="5"/>
        <v>16.995999999999981</v>
      </c>
      <c r="I39" s="99">
        <f t="shared" si="1"/>
        <v>934.77999999999895</v>
      </c>
      <c r="J39" s="100">
        <f t="shared" si="3"/>
        <v>30.350000000000023</v>
      </c>
      <c r="K39" s="101">
        <f t="shared" si="2"/>
        <v>13.354000000000042</v>
      </c>
    </row>
    <row r="40" spans="1:11" ht="12.75" x14ac:dyDescent="0.2">
      <c r="A40" s="92">
        <v>45561</v>
      </c>
      <c r="B40" s="93" t="s">
        <v>39</v>
      </c>
      <c r="C40" s="94">
        <v>0.97030000000000005</v>
      </c>
      <c r="D40" s="95" t="s">
        <v>261</v>
      </c>
      <c r="E40" s="96"/>
      <c r="F40" s="96"/>
      <c r="G40" s="97">
        <v>606</v>
      </c>
      <c r="H40" s="98">
        <f t="shared" si="5"/>
        <v>17.998199999999997</v>
      </c>
      <c r="I40" s="99">
        <f t="shared" si="1"/>
        <v>989.90099999999984</v>
      </c>
      <c r="J40" s="100">
        <f t="shared" si="3"/>
        <v>30.300000000000068</v>
      </c>
      <c r="K40" s="101">
        <f t="shared" si="2"/>
        <v>12.301800000000071</v>
      </c>
    </row>
    <row r="41" spans="1:11" ht="12.75" x14ac:dyDescent="0.2">
      <c r="A41" s="92">
        <v>45562</v>
      </c>
      <c r="B41" s="93" t="s">
        <v>41</v>
      </c>
      <c r="C41" s="94">
        <v>0.93910000000000005</v>
      </c>
      <c r="D41" s="95" t="s">
        <v>261</v>
      </c>
      <c r="E41" s="96"/>
      <c r="F41" s="96"/>
      <c r="G41" s="97">
        <v>608</v>
      </c>
      <c r="H41" s="98">
        <f t="shared" si="5"/>
        <v>37.027199999999993</v>
      </c>
      <c r="I41" s="99">
        <f t="shared" si="1"/>
        <v>2036.4959999999996</v>
      </c>
      <c r="J41" s="100">
        <f t="shared" si="3"/>
        <v>30.399999999999977</v>
      </c>
      <c r="K41" s="101">
        <f t="shared" si="2"/>
        <v>-6.6272000000000162</v>
      </c>
    </row>
    <row r="42" spans="1:11" ht="12.75" x14ac:dyDescent="0.2">
      <c r="A42" s="92">
        <v>45565</v>
      </c>
      <c r="B42" s="93" t="s">
        <v>33</v>
      </c>
      <c r="C42" s="94">
        <v>0.9456</v>
      </c>
      <c r="D42" s="95" t="s">
        <v>261</v>
      </c>
      <c r="E42" s="96"/>
      <c r="F42" s="96"/>
      <c r="G42" s="97">
        <v>607</v>
      </c>
      <c r="H42" s="98">
        <f t="shared" si="5"/>
        <v>33.020800000000008</v>
      </c>
      <c r="I42" s="99">
        <f t="shared" si="1"/>
        <v>1816.1440000000005</v>
      </c>
      <c r="J42" s="100">
        <f t="shared" si="3"/>
        <v>30.350000000000023</v>
      </c>
      <c r="K42" s="101">
        <f t="shared" si="2"/>
        <v>-2.6707999999999856</v>
      </c>
    </row>
    <row r="43" spans="1:11" ht="12.75" x14ac:dyDescent="0.2">
      <c r="A43" s="92">
        <v>45566</v>
      </c>
      <c r="B43" s="93" t="s">
        <v>35</v>
      </c>
      <c r="C43" s="94">
        <v>0.94569999999999999</v>
      </c>
      <c r="D43" s="95" t="s">
        <v>261</v>
      </c>
      <c r="E43" s="96"/>
      <c r="F43" s="96"/>
      <c r="G43" s="97">
        <v>607</v>
      </c>
      <c r="H43" s="98">
        <f t="shared" si="5"/>
        <v>32.960100000000011</v>
      </c>
      <c r="I43" s="99">
        <f t="shared" si="1"/>
        <v>1812.8055000000006</v>
      </c>
      <c r="J43" s="100">
        <f t="shared" si="3"/>
        <v>30.350000000000023</v>
      </c>
      <c r="K43" s="101">
        <f t="shared" si="2"/>
        <v>-2.6100999999999885</v>
      </c>
    </row>
    <row r="44" spans="1:11" ht="12.75" x14ac:dyDescent="0.2">
      <c r="A44" s="92">
        <v>45567</v>
      </c>
      <c r="B44" s="93" t="s">
        <v>37</v>
      </c>
      <c r="C44" s="94">
        <v>0.95389999999999997</v>
      </c>
      <c r="D44" s="95" t="s">
        <v>261</v>
      </c>
      <c r="E44" s="96"/>
      <c r="F44" s="96"/>
      <c r="G44" s="97">
        <v>607</v>
      </c>
      <c r="H44" s="98">
        <f t="shared" si="5"/>
        <v>27.982700000000023</v>
      </c>
      <c r="I44" s="99">
        <f t="shared" si="1"/>
        <v>1539.0485000000012</v>
      </c>
      <c r="J44" s="100">
        <f t="shared" si="3"/>
        <v>30.350000000000023</v>
      </c>
      <c r="K44" s="101">
        <f t="shared" si="2"/>
        <v>2.3673000000000002</v>
      </c>
    </row>
    <row r="45" spans="1:11" ht="12.75" x14ac:dyDescent="0.2">
      <c r="A45" s="92">
        <v>45568</v>
      </c>
      <c r="B45" s="93" t="s">
        <v>39</v>
      </c>
      <c r="C45" s="94">
        <v>0.95069999999999999</v>
      </c>
      <c r="D45" s="95" t="s">
        <v>261</v>
      </c>
      <c r="E45" s="96"/>
      <c r="F45" s="96"/>
      <c r="G45" s="97">
        <v>607</v>
      </c>
      <c r="H45" s="98">
        <f t="shared" si="5"/>
        <v>29.925100000000043</v>
      </c>
      <c r="I45" s="99">
        <f t="shared" si="1"/>
        <v>1645.8805000000025</v>
      </c>
      <c r="J45" s="100">
        <f t="shared" si="3"/>
        <v>30.350000000000023</v>
      </c>
      <c r="K45" s="101">
        <f t="shared" si="2"/>
        <v>0.42489999999997963</v>
      </c>
    </row>
    <row r="46" spans="1:11" ht="12.75" x14ac:dyDescent="0.2">
      <c r="A46" s="92">
        <v>45569</v>
      </c>
      <c r="B46" s="93" t="s">
        <v>41</v>
      </c>
      <c r="C46" s="94">
        <v>0.92110000000000003</v>
      </c>
      <c r="D46" s="95" t="s">
        <v>261</v>
      </c>
      <c r="E46" s="96"/>
      <c r="F46" s="96"/>
      <c r="G46" s="97">
        <v>607</v>
      </c>
      <c r="H46" s="98">
        <f t="shared" si="5"/>
        <v>47.892299999999977</v>
      </c>
      <c r="I46" s="99">
        <f t="shared" si="1"/>
        <v>2634.0764999999988</v>
      </c>
      <c r="J46" s="100">
        <f t="shared" si="3"/>
        <v>30.350000000000023</v>
      </c>
      <c r="K46" s="101">
        <f t="shared" si="2"/>
        <v>-17.542299999999955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5"/>
        <v>0</v>
      </c>
      <c r="I47" s="99">
        <f t="shared" si="1"/>
        <v>0</v>
      </c>
      <c r="J47" s="100">
        <f t="shared" si="3"/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5"/>
        <v>0</v>
      </c>
      <c r="I48" s="99">
        <f t="shared" si="1"/>
        <v>0</v>
      </c>
      <c r="J48" s="100">
        <f t="shared" si="3"/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5"/>
        <v>0</v>
      </c>
      <c r="I49" s="99">
        <f t="shared" si="1"/>
        <v>0</v>
      </c>
      <c r="J49" s="100">
        <f t="shared" si="3"/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5"/>
        <v>0</v>
      </c>
      <c r="I50" s="99">
        <f t="shared" si="1"/>
        <v>0</v>
      </c>
      <c r="J50" s="100">
        <f t="shared" si="3"/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5"/>
        <v>0</v>
      </c>
      <c r="I51" s="99">
        <f t="shared" si="1"/>
        <v>0</v>
      </c>
      <c r="J51" s="100">
        <f t="shared" si="3"/>
        <v>0</v>
      </c>
      <c r="K51" s="101">
        <f t="shared" si="2"/>
        <v>0</v>
      </c>
    </row>
    <row r="52" spans="1:11" ht="12.75" x14ac:dyDescent="0.2">
      <c r="A52" s="92">
        <v>45579</v>
      </c>
      <c r="B52" s="93" t="s">
        <v>33</v>
      </c>
      <c r="C52" s="94">
        <v>0.92759999999999998</v>
      </c>
      <c r="D52" s="95" t="s">
        <v>261</v>
      </c>
      <c r="E52" s="96"/>
      <c r="F52" s="96"/>
      <c r="G52" s="97">
        <v>608</v>
      </c>
      <c r="H52" s="98">
        <f t="shared" si="5"/>
        <v>44.019199999999955</v>
      </c>
      <c r="I52" s="99">
        <f t="shared" si="1"/>
        <v>2421.0559999999978</v>
      </c>
      <c r="J52" s="100">
        <f t="shared" si="3"/>
        <v>30.399999999999977</v>
      </c>
      <c r="K52" s="101">
        <f t="shared" si="2"/>
        <v>-13.619199999999978</v>
      </c>
    </row>
    <row r="53" spans="1:11" ht="12.75" x14ac:dyDescent="0.2">
      <c r="A53" s="92">
        <v>45580</v>
      </c>
      <c r="B53" s="93" t="s">
        <v>35</v>
      </c>
      <c r="C53" s="94">
        <v>0.96220000000000006</v>
      </c>
      <c r="D53" s="95" t="s">
        <v>261</v>
      </c>
      <c r="E53" s="96"/>
      <c r="F53" s="96"/>
      <c r="G53" s="97">
        <v>608</v>
      </c>
      <c r="H53" s="98">
        <f t="shared" si="5"/>
        <v>22.982399999999984</v>
      </c>
      <c r="I53" s="99">
        <f t="shared" si="1"/>
        <v>1264.0319999999992</v>
      </c>
      <c r="J53" s="100">
        <f t="shared" si="3"/>
        <v>30.399999999999977</v>
      </c>
      <c r="K53" s="101">
        <f t="shared" si="2"/>
        <v>7.4175999999999931</v>
      </c>
    </row>
    <row r="54" spans="1:11" ht="12.75" x14ac:dyDescent="0.2">
      <c r="A54" s="92">
        <v>45581</v>
      </c>
      <c r="B54" s="93" t="s">
        <v>37</v>
      </c>
      <c r="C54" s="115">
        <v>0.95720000000000005</v>
      </c>
      <c r="D54" s="95" t="s">
        <v>261</v>
      </c>
      <c r="E54" s="96"/>
      <c r="F54" s="116"/>
      <c r="G54" s="97">
        <v>607</v>
      </c>
      <c r="H54" s="98">
        <f t="shared" si="5"/>
        <v>25.979600000000005</v>
      </c>
      <c r="I54" s="99">
        <f t="shared" si="1"/>
        <v>1428.8780000000002</v>
      </c>
      <c r="J54" s="100">
        <f t="shared" si="3"/>
        <v>30.350000000000023</v>
      </c>
      <c r="K54" s="101">
        <f t="shared" si="2"/>
        <v>4.3704000000000178</v>
      </c>
    </row>
    <row r="55" spans="1:11" ht="12.75" x14ac:dyDescent="0.2">
      <c r="A55" s="92">
        <v>45582</v>
      </c>
      <c r="B55" s="93" t="s">
        <v>39</v>
      </c>
      <c r="C55" s="94">
        <v>0.96209999999999996</v>
      </c>
      <c r="D55" s="95" t="s">
        <v>261</v>
      </c>
      <c r="E55" s="96"/>
      <c r="F55" s="96"/>
      <c r="G55" s="97">
        <v>607</v>
      </c>
      <c r="H55" s="98">
        <f t="shared" si="5"/>
        <v>23.005300000000034</v>
      </c>
      <c r="I55" s="99">
        <f t="shared" si="1"/>
        <v>1265.2915000000019</v>
      </c>
      <c r="J55" s="100">
        <f t="shared" si="3"/>
        <v>30.350000000000023</v>
      </c>
      <c r="K55" s="101">
        <f t="shared" si="2"/>
        <v>7.3446999999999889</v>
      </c>
    </row>
    <row r="56" spans="1:11" ht="12.75" x14ac:dyDescent="0.2">
      <c r="A56" s="92">
        <v>45583</v>
      </c>
      <c r="B56" s="93" t="s">
        <v>41</v>
      </c>
      <c r="C56" s="94">
        <v>0.9274</v>
      </c>
      <c r="D56" s="95" t="s">
        <v>261</v>
      </c>
      <c r="E56" s="96"/>
      <c r="F56" s="96"/>
      <c r="G56" s="97">
        <v>607</v>
      </c>
      <c r="H56" s="98">
        <f t="shared" si="5"/>
        <v>44.068200000000047</v>
      </c>
      <c r="I56" s="99">
        <f t="shared" si="1"/>
        <v>2423.7510000000025</v>
      </c>
      <c r="J56" s="100">
        <f t="shared" si="3"/>
        <v>30.350000000000023</v>
      </c>
      <c r="K56" s="101">
        <f t="shared" si="2"/>
        <v>-13.718200000000024</v>
      </c>
    </row>
    <row r="57" spans="1:11" ht="12.75" x14ac:dyDescent="0.2">
      <c r="A57" s="92">
        <v>45586</v>
      </c>
      <c r="B57" s="93" t="s">
        <v>33</v>
      </c>
      <c r="C57" s="94">
        <v>0.94730000000000003</v>
      </c>
      <c r="D57" s="95" t="s">
        <v>261</v>
      </c>
      <c r="E57" s="96"/>
      <c r="F57" s="96"/>
      <c r="G57" s="97">
        <v>607</v>
      </c>
      <c r="H57" s="98">
        <f t="shared" si="5"/>
        <v>31.988899999999944</v>
      </c>
      <c r="I57" s="99">
        <f t="shared" si="1"/>
        <v>1759.389499999997</v>
      </c>
      <c r="J57" s="100">
        <f t="shared" si="3"/>
        <v>30.350000000000023</v>
      </c>
      <c r="K57" s="101">
        <f t="shared" si="2"/>
        <v>-1.6388999999999214</v>
      </c>
    </row>
    <row r="58" spans="1:11" ht="12.75" x14ac:dyDescent="0.2">
      <c r="A58" s="92">
        <v>45587</v>
      </c>
      <c r="B58" s="93" t="s">
        <v>35</v>
      </c>
      <c r="C58" s="94">
        <v>0.96209999999999996</v>
      </c>
      <c r="D58" s="95" t="s">
        <v>261</v>
      </c>
      <c r="E58" s="96"/>
      <c r="F58" s="96"/>
      <c r="G58" s="136">
        <v>607</v>
      </c>
      <c r="H58" s="98">
        <f t="shared" si="5"/>
        <v>23.005300000000034</v>
      </c>
      <c r="I58" s="99">
        <f t="shared" si="1"/>
        <v>1265.2915000000019</v>
      </c>
      <c r="J58" s="100" t="e">
        <f>#REF!-(#REF!*J$3)</f>
        <v>#REF!</v>
      </c>
      <c r="K58" s="101" t="e">
        <f t="shared" si="2"/>
        <v>#REF!</v>
      </c>
    </row>
    <row r="59" spans="1:11" ht="12.75" x14ac:dyDescent="0.2">
      <c r="A59" s="92">
        <v>45588</v>
      </c>
      <c r="B59" s="93" t="s">
        <v>37</v>
      </c>
      <c r="C59" s="94">
        <v>0.96709999999999996</v>
      </c>
      <c r="D59" s="95" t="s">
        <v>261</v>
      </c>
      <c r="E59" s="96"/>
      <c r="F59" s="96"/>
      <c r="G59" s="136">
        <v>607</v>
      </c>
      <c r="H59" s="98">
        <f>G58-(C59*G58)</f>
        <v>19.970300000000066</v>
      </c>
      <c r="I59" s="99">
        <f t="shared" si="1"/>
        <v>1098.3665000000037</v>
      </c>
      <c r="J59" s="100">
        <f>G58-(G58*J$3)</f>
        <v>30.350000000000023</v>
      </c>
      <c r="K59" s="101">
        <f t="shared" si="2"/>
        <v>10.379699999999957</v>
      </c>
    </row>
    <row r="60" spans="1:11" ht="12.75" x14ac:dyDescent="0.2">
      <c r="A60" s="92">
        <v>45589</v>
      </c>
      <c r="B60" s="93" t="s">
        <v>39</v>
      </c>
      <c r="C60" s="94">
        <v>0.94389999999999996</v>
      </c>
      <c r="D60" s="95" t="s">
        <v>261</v>
      </c>
      <c r="E60" s="96"/>
      <c r="F60" s="96"/>
      <c r="G60" s="97">
        <v>606</v>
      </c>
      <c r="H60" s="98">
        <f t="shared" ref="H60:H91" si="6">G60-(C60*G60)</f>
        <v>33.996600000000058</v>
      </c>
      <c r="I60" s="99">
        <f t="shared" si="1"/>
        <v>1869.8130000000033</v>
      </c>
      <c r="J60" s="100">
        <f t="shared" ref="J60:J91" si="7">G60-(G60*J$3)</f>
        <v>30.300000000000068</v>
      </c>
      <c r="K60" s="101">
        <f t="shared" si="2"/>
        <v>-3.6965999999999894</v>
      </c>
    </row>
    <row r="61" spans="1:11" ht="12.75" x14ac:dyDescent="0.2">
      <c r="A61" s="92">
        <v>45590</v>
      </c>
      <c r="B61" s="93" t="s">
        <v>41</v>
      </c>
      <c r="C61" s="94">
        <v>0.91420000000000001</v>
      </c>
      <c r="D61" s="95" t="s">
        <v>261</v>
      </c>
      <c r="E61" s="96"/>
      <c r="F61" s="96"/>
      <c r="G61" s="97">
        <v>606</v>
      </c>
      <c r="H61" s="98">
        <f t="shared" si="6"/>
        <v>51.994799999999941</v>
      </c>
      <c r="I61" s="99">
        <f t="shared" si="1"/>
        <v>2859.7139999999968</v>
      </c>
      <c r="J61" s="100">
        <f t="shared" si="7"/>
        <v>30.300000000000068</v>
      </c>
      <c r="K61" s="101">
        <f t="shared" si="2"/>
        <v>-21.694799999999873</v>
      </c>
    </row>
    <row r="62" spans="1:11" ht="12.75" x14ac:dyDescent="0.2">
      <c r="A62" s="92">
        <v>45593</v>
      </c>
      <c r="B62" s="93" t="s">
        <v>33</v>
      </c>
      <c r="C62" s="94">
        <v>0.94210000000000005</v>
      </c>
      <c r="D62" s="95" t="s">
        <v>261</v>
      </c>
      <c r="E62" s="96"/>
      <c r="F62" s="96"/>
      <c r="G62" s="97">
        <v>605</v>
      </c>
      <c r="H62" s="98">
        <f t="shared" si="6"/>
        <v>35.029499999999985</v>
      </c>
      <c r="I62" s="99">
        <f t="shared" si="1"/>
        <v>1926.622499999999</v>
      </c>
      <c r="J62" s="100">
        <f t="shared" si="7"/>
        <v>30.25</v>
      </c>
      <c r="K62" s="101">
        <f t="shared" si="2"/>
        <v>-4.7794999999999845</v>
      </c>
    </row>
    <row r="63" spans="1:11" ht="12.75" x14ac:dyDescent="0.2">
      <c r="A63" s="92">
        <v>45594</v>
      </c>
      <c r="B63" s="93" t="s">
        <v>35</v>
      </c>
      <c r="C63" s="94">
        <v>0.96689999999999998</v>
      </c>
      <c r="D63" s="95" t="s">
        <v>261</v>
      </c>
      <c r="E63" s="96"/>
      <c r="F63" s="96"/>
      <c r="G63" s="97">
        <v>604</v>
      </c>
      <c r="H63" s="98">
        <f t="shared" si="6"/>
        <v>19.992399999999975</v>
      </c>
      <c r="I63" s="99">
        <f t="shared" si="1"/>
        <v>1099.5819999999985</v>
      </c>
      <c r="J63" s="100">
        <f t="shared" si="7"/>
        <v>30.200000000000045</v>
      </c>
      <c r="K63" s="101">
        <f t="shared" si="2"/>
        <v>10.20760000000007</v>
      </c>
    </row>
    <row r="64" spans="1:11" ht="12.75" x14ac:dyDescent="0.2">
      <c r="A64" s="92">
        <v>45595</v>
      </c>
      <c r="B64" s="93" t="s">
        <v>37</v>
      </c>
      <c r="C64" s="94">
        <v>0.95540000000000003</v>
      </c>
      <c r="D64" s="95" t="s">
        <v>261</v>
      </c>
      <c r="E64" s="96"/>
      <c r="F64" s="96"/>
      <c r="G64" s="97">
        <v>606</v>
      </c>
      <c r="H64" s="98">
        <f t="shared" si="6"/>
        <v>27.027600000000007</v>
      </c>
      <c r="I64" s="99">
        <f t="shared" si="1"/>
        <v>1486.5180000000005</v>
      </c>
      <c r="J64" s="100">
        <f t="shared" si="7"/>
        <v>30.300000000000068</v>
      </c>
      <c r="K64" s="101">
        <f t="shared" si="2"/>
        <v>3.2724000000000615</v>
      </c>
    </row>
    <row r="65" spans="1:11" ht="12.75" x14ac:dyDescent="0.2">
      <c r="A65" s="92">
        <v>45596</v>
      </c>
      <c r="B65" s="93" t="s">
        <v>39</v>
      </c>
      <c r="C65" s="94">
        <v>0.94550000000000001</v>
      </c>
      <c r="D65" s="95" t="s">
        <v>261</v>
      </c>
      <c r="E65" s="96"/>
      <c r="F65" s="96"/>
      <c r="G65" s="97">
        <v>606</v>
      </c>
      <c r="H65" s="98">
        <f t="shared" si="6"/>
        <v>33.027000000000044</v>
      </c>
      <c r="I65" s="99">
        <f t="shared" si="1"/>
        <v>1816.4850000000024</v>
      </c>
      <c r="J65" s="100">
        <f t="shared" si="7"/>
        <v>30.300000000000068</v>
      </c>
      <c r="K65" s="101">
        <f t="shared" si="2"/>
        <v>-2.7269999999999754</v>
      </c>
    </row>
    <row r="66" spans="1:11" ht="12.75" x14ac:dyDescent="0.2">
      <c r="A66" s="92">
        <v>45597</v>
      </c>
      <c r="B66" s="93" t="s">
        <v>41</v>
      </c>
      <c r="C66" s="94">
        <v>0.90259999999999996</v>
      </c>
      <c r="D66" s="95" t="s">
        <v>261</v>
      </c>
      <c r="E66" s="96"/>
      <c r="F66" s="96"/>
      <c r="G66" s="97">
        <v>606</v>
      </c>
      <c r="H66" s="98">
        <f t="shared" si="6"/>
        <v>59.024400000000014</v>
      </c>
      <c r="I66" s="99">
        <f t="shared" si="1"/>
        <v>3246.3420000000006</v>
      </c>
      <c r="J66" s="100">
        <f t="shared" si="7"/>
        <v>30.300000000000068</v>
      </c>
      <c r="K66" s="101">
        <f t="shared" si="2"/>
        <v>-28.724399999999946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6"/>
        <v>0</v>
      </c>
      <c r="I67" s="99">
        <f t="shared" si="1"/>
        <v>0</v>
      </c>
      <c r="J67" s="100">
        <f t="shared" si="7"/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6"/>
        <v>0</v>
      </c>
      <c r="I68" s="99">
        <f t="shared" si="1"/>
        <v>0</v>
      </c>
      <c r="J68" s="100">
        <f t="shared" si="7"/>
        <v>0</v>
      </c>
      <c r="K68" s="101">
        <f t="shared" si="2"/>
        <v>0</v>
      </c>
    </row>
    <row r="69" spans="1:11" ht="12.75" x14ac:dyDescent="0.2">
      <c r="A69" s="92">
        <v>45602</v>
      </c>
      <c r="B69" s="93" t="s">
        <v>37</v>
      </c>
      <c r="C69" s="94">
        <v>0.96360000000000001</v>
      </c>
      <c r="D69" s="95" t="s">
        <v>261</v>
      </c>
      <c r="E69" s="96"/>
      <c r="F69" s="96"/>
      <c r="G69" s="97">
        <v>605</v>
      </c>
      <c r="H69" s="98">
        <f t="shared" si="6"/>
        <v>22.022000000000048</v>
      </c>
      <c r="I69" s="99">
        <f t="shared" si="1"/>
        <v>1211.2100000000028</v>
      </c>
      <c r="J69" s="100">
        <f t="shared" si="7"/>
        <v>30.25</v>
      </c>
      <c r="K69" s="101">
        <f t="shared" si="2"/>
        <v>8.2279999999999518</v>
      </c>
    </row>
    <row r="70" spans="1:11" ht="12.75" x14ac:dyDescent="0.2">
      <c r="A70" s="92">
        <v>45603</v>
      </c>
      <c r="B70" s="93" t="s">
        <v>39</v>
      </c>
      <c r="C70" s="94">
        <v>0.98340000000000005</v>
      </c>
      <c r="D70" s="102" t="s">
        <v>261</v>
      </c>
      <c r="E70" s="96"/>
      <c r="F70" s="96"/>
      <c r="G70" s="97">
        <v>604</v>
      </c>
      <c r="H70" s="98">
        <f t="shared" si="6"/>
        <v>10.026399999999967</v>
      </c>
      <c r="I70" s="99">
        <f t="shared" si="1"/>
        <v>551.45199999999818</v>
      </c>
      <c r="J70" s="100">
        <f t="shared" si="7"/>
        <v>30.200000000000045</v>
      </c>
      <c r="K70" s="101">
        <f t="shared" si="2"/>
        <v>20.173600000000079</v>
      </c>
    </row>
    <row r="71" spans="1:11" ht="12.75" x14ac:dyDescent="0.2">
      <c r="A71" s="92">
        <v>45604</v>
      </c>
      <c r="B71" s="93" t="s">
        <v>41</v>
      </c>
      <c r="C71" s="94">
        <v>0.94369999999999998</v>
      </c>
      <c r="D71" s="102" t="s">
        <v>261</v>
      </c>
      <c r="E71" s="96"/>
      <c r="F71" s="96"/>
      <c r="G71" s="97">
        <v>604</v>
      </c>
      <c r="H71" s="98">
        <f t="shared" si="6"/>
        <v>34.005200000000059</v>
      </c>
      <c r="I71" s="99">
        <f t="shared" si="1"/>
        <v>1870.2860000000032</v>
      </c>
      <c r="J71" s="100">
        <f t="shared" si="7"/>
        <v>30.200000000000045</v>
      </c>
      <c r="K71" s="101">
        <f t="shared" si="2"/>
        <v>-3.8052000000000135</v>
      </c>
    </row>
    <row r="72" spans="1:11" ht="12.75" x14ac:dyDescent="0.2">
      <c r="A72" s="92">
        <v>45607</v>
      </c>
      <c r="B72" s="93" t="s">
        <v>33</v>
      </c>
      <c r="C72" s="94">
        <v>0.94369999999999998</v>
      </c>
      <c r="D72" s="102" t="s">
        <v>261</v>
      </c>
      <c r="E72" s="96"/>
      <c r="F72" s="96"/>
      <c r="G72" s="97">
        <v>604</v>
      </c>
      <c r="H72" s="98">
        <f t="shared" si="6"/>
        <v>34.005200000000059</v>
      </c>
      <c r="I72" s="99">
        <f t="shared" si="1"/>
        <v>1870.2860000000032</v>
      </c>
      <c r="J72" s="100">
        <f t="shared" si="7"/>
        <v>30.200000000000045</v>
      </c>
      <c r="K72" s="101">
        <f t="shared" si="2"/>
        <v>-3.8052000000000135</v>
      </c>
    </row>
    <row r="73" spans="1:11" ht="12.75" x14ac:dyDescent="0.2">
      <c r="A73" s="92">
        <v>45608</v>
      </c>
      <c r="B73" s="93" t="s">
        <v>35</v>
      </c>
      <c r="C73" s="94">
        <v>0.96030000000000004</v>
      </c>
      <c r="D73" s="95" t="s">
        <v>261</v>
      </c>
      <c r="E73" s="96"/>
      <c r="F73" s="96"/>
      <c r="G73" s="97">
        <v>604</v>
      </c>
      <c r="H73" s="98">
        <f t="shared" si="6"/>
        <v>23.978799999999978</v>
      </c>
      <c r="I73" s="99">
        <f t="shared" si="1"/>
        <v>1318.8339999999989</v>
      </c>
      <c r="J73" s="100">
        <f t="shared" si="7"/>
        <v>30.200000000000045</v>
      </c>
      <c r="K73" s="101">
        <f t="shared" si="2"/>
        <v>6.2212000000000671</v>
      </c>
    </row>
    <row r="74" spans="1:11" ht="12.75" x14ac:dyDescent="0.2">
      <c r="A74" s="92">
        <v>45609</v>
      </c>
      <c r="B74" s="93" t="s">
        <v>37</v>
      </c>
      <c r="C74" s="94">
        <v>0.97350000000000003</v>
      </c>
      <c r="D74" s="95" t="s">
        <v>261</v>
      </c>
      <c r="E74" s="96"/>
      <c r="F74" s="96"/>
      <c r="G74" s="97">
        <v>604</v>
      </c>
      <c r="H74" s="98">
        <f t="shared" si="6"/>
        <v>16.005999999999972</v>
      </c>
      <c r="I74" s="99">
        <f t="shared" si="1"/>
        <v>880.32999999999845</v>
      </c>
      <c r="J74" s="100">
        <f t="shared" si="7"/>
        <v>30.200000000000045</v>
      </c>
      <c r="K74" s="101">
        <f t="shared" si="2"/>
        <v>14.194000000000074</v>
      </c>
    </row>
    <row r="75" spans="1:11" ht="12.75" x14ac:dyDescent="0.2">
      <c r="A75" s="92">
        <v>45610</v>
      </c>
      <c r="B75" s="93" t="s">
        <v>39</v>
      </c>
      <c r="C75" s="94">
        <v>0.96689999999999998</v>
      </c>
      <c r="D75" s="95" t="s">
        <v>261</v>
      </c>
      <c r="E75" s="96"/>
      <c r="F75" s="96"/>
      <c r="G75" s="97">
        <v>604</v>
      </c>
      <c r="H75" s="98">
        <f t="shared" si="6"/>
        <v>19.992399999999975</v>
      </c>
      <c r="I75" s="99">
        <f t="shared" si="1"/>
        <v>1099.5819999999985</v>
      </c>
      <c r="J75" s="100">
        <f t="shared" si="7"/>
        <v>30.200000000000045</v>
      </c>
      <c r="K75" s="101">
        <f t="shared" si="2"/>
        <v>10.20760000000007</v>
      </c>
    </row>
    <row r="76" spans="1:11" ht="12.75" x14ac:dyDescent="0.2">
      <c r="A76" s="92">
        <v>45611</v>
      </c>
      <c r="B76" s="93" t="s">
        <v>41</v>
      </c>
      <c r="C76" s="94">
        <v>0.93540000000000001</v>
      </c>
      <c r="D76" s="95" t="s">
        <v>261</v>
      </c>
      <c r="E76" s="96"/>
      <c r="F76" s="96"/>
      <c r="G76" s="97">
        <v>604</v>
      </c>
      <c r="H76" s="98">
        <f t="shared" si="6"/>
        <v>39.018400000000042</v>
      </c>
      <c r="I76" s="99">
        <f t="shared" si="1"/>
        <v>2146.0120000000024</v>
      </c>
      <c r="J76" s="100">
        <f t="shared" si="7"/>
        <v>30.200000000000045</v>
      </c>
      <c r="K76" s="101">
        <f t="shared" si="2"/>
        <v>-8.8183999999999969</v>
      </c>
    </row>
    <row r="77" spans="1:11" ht="12.75" x14ac:dyDescent="0.2">
      <c r="A77" s="92">
        <v>45614</v>
      </c>
      <c r="B77" s="93" t="s">
        <v>33</v>
      </c>
      <c r="C77" s="94">
        <v>0.92369999999999997</v>
      </c>
      <c r="D77" s="95" t="s">
        <v>261</v>
      </c>
      <c r="E77" s="96"/>
      <c r="F77" s="96"/>
      <c r="G77" s="97">
        <v>604</v>
      </c>
      <c r="H77" s="98">
        <f t="shared" si="6"/>
        <v>46.085199999999986</v>
      </c>
      <c r="I77" s="99">
        <f t="shared" si="1"/>
        <v>2534.6859999999992</v>
      </c>
      <c r="J77" s="100">
        <f t="shared" si="7"/>
        <v>30.200000000000045</v>
      </c>
      <c r="K77" s="101">
        <f t="shared" si="2"/>
        <v>-15.885199999999941</v>
      </c>
    </row>
    <row r="78" spans="1:11" ht="12.75" x14ac:dyDescent="0.2">
      <c r="A78" s="92">
        <v>45615</v>
      </c>
      <c r="B78" s="93" t="s">
        <v>35</v>
      </c>
      <c r="C78" s="94">
        <v>0.95860000000000001</v>
      </c>
      <c r="D78" s="95" t="s">
        <v>261</v>
      </c>
      <c r="E78" s="96"/>
      <c r="F78" s="96"/>
      <c r="G78" s="97">
        <v>604</v>
      </c>
      <c r="H78" s="98">
        <f t="shared" si="6"/>
        <v>25.005599999999959</v>
      </c>
      <c r="I78" s="99">
        <f t="shared" si="1"/>
        <v>1375.3079999999977</v>
      </c>
      <c r="J78" s="100">
        <f t="shared" si="7"/>
        <v>30.200000000000045</v>
      </c>
      <c r="K78" s="101">
        <f t="shared" si="2"/>
        <v>5.1944000000000869</v>
      </c>
    </row>
    <row r="79" spans="1:11" ht="12.75" x14ac:dyDescent="0.2">
      <c r="A79" s="92">
        <v>45616</v>
      </c>
      <c r="B79" s="93" t="s">
        <v>37</v>
      </c>
      <c r="C79" s="94">
        <v>0.94869999999999999</v>
      </c>
      <c r="D79" s="95" t="s">
        <v>261</v>
      </c>
      <c r="E79" s="96"/>
      <c r="F79" s="96"/>
      <c r="G79" s="97">
        <v>604</v>
      </c>
      <c r="H79" s="98">
        <f t="shared" si="6"/>
        <v>30.985199999999963</v>
      </c>
      <c r="I79" s="99">
        <f t="shared" si="1"/>
        <v>1704.1859999999979</v>
      </c>
      <c r="J79" s="100">
        <f t="shared" si="7"/>
        <v>30.200000000000045</v>
      </c>
      <c r="K79" s="101">
        <f t="shared" si="2"/>
        <v>-0.78519999999991796</v>
      </c>
    </row>
    <row r="80" spans="1:11" ht="12.75" x14ac:dyDescent="0.2">
      <c r="A80" s="92">
        <v>45617</v>
      </c>
      <c r="B80" s="93" t="s">
        <v>39</v>
      </c>
      <c r="C80" s="94">
        <v>0.95030000000000003</v>
      </c>
      <c r="D80" s="95" t="s">
        <v>261</v>
      </c>
      <c r="E80" s="96"/>
      <c r="F80" s="96"/>
      <c r="G80" s="97">
        <v>604</v>
      </c>
      <c r="H80" s="98">
        <f t="shared" si="6"/>
        <v>30.018799999999942</v>
      </c>
      <c r="I80" s="99">
        <f t="shared" si="1"/>
        <v>1651.0339999999969</v>
      </c>
      <c r="J80" s="100">
        <f t="shared" si="7"/>
        <v>30.200000000000045</v>
      </c>
      <c r="K80" s="101">
        <f t="shared" si="2"/>
        <v>0.1812000000001035</v>
      </c>
    </row>
    <row r="81" spans="1:11" ht="12.75" x14ac:dyDescent="0.2">
      <c r="A81" s="92">
        <v>45618</v>
      </c>
      <c r="B81" s="93" t="s">
        <v>41</v>
      </c>
      <c r="C81" s="94">
        <v>0.90069999999999995</v>
      </c>
      <c r="D81" s="95" t="s">
        <v>261</v>
      </c>
      <c r="E81" s="96"/>
      <c r="F81" s="96"/>
      <c r="G81" s="97">
        <v>604</v>
      </c>
      <c r="H81" s="98">
        <f t="shared" si="6"/>
        <v>59.977200000000039</v>
      </c>
      <c r="I81" s="99">
        <f t="shared" si="1"/>
        <v>3298.7460000000019</v>
      </c>
      <c r="J81" s="100">
        <f t="shared" si="7"/>
        <v>30.200000000000045</v>
      </c>
      <c r="K81" s="101">
        <f t="shared" si="2"/>
        <v>-29.777199999999993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6"/>
        <v>0</v>
      </c>
      <c r="I82" s="99">
        <f t="shared" si="1"/>
        <v>0</v>
      </c>
      <c r="J82" s="100">
        <f t="shared" si="7"/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6"/>
        <v>0</v>
      </c>
      <c r="I83" s="99">
        <f t="shared" si="1"/>
        <v>0</v>
      </c>
      <c r="J83" s="100">
        <f t="shared" si="7"/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6"/>
        <v>0</v>
      </c>
      <c r="I84" s="99">
        <f t="shared" si="1"/>
        <v>0</v>
      </c>
      <c r="J84" s="100">
        <f t="shared" si="7"/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6"/>
        <v>0</v>
      </c>
      <c r="I85" s="99">
        <f t="shared" si="1"/>
        <v>0</v>
      </c>
      <c r="J85" s="100">
        <f t="shared" si="7"/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6"/>
        <v>0</v>
      </c>
      <c r="I86" s="99">
        <f t="shared" si="1"/>
        <v>0</v>
      </c>
      <c r="J86" s="100">
        <f t="shared" si="7"/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0.93200000000000005</v>
      </c>
      <c r="D87" s="95" t="s">
        <v>261</v>
      </c>
      <c r="E87" s="96"/>
      <c r="F87" s="96"/>
      <c r="G87" s="97">
        <v>603</v>
      </c>
      <c r="H87" s="98">
        <f t="shared" si="6"/>
        <v>41.004000000000019</v>
      </c>
      <c r="I87" s="99">
        <f t="shared" si="1"/>
        <v>2255.2200000000012</v>
      </c>
      <c r="J87" s="100">
        <f t="shared" si="7"/>
        <v>30.149999999999977</v>
      </c>
      <c r="K87" s="101">
        <f t="shared" si="2"/>
        <v>-10.854000000000042</v>
      </c>
    </row>
    <row r="88" spans="1:11" ht="12.75" x14ac:dyDescent="0.2">
      <c r="A88" s="92">
        <v>45629</v>
      </c>
      <c r="B88" s="93" t="s">
        <v>35</v>
      </c>
      <c r="C88" s="94">
        <v>0.96530000000000005</v>
      </c>
      <c r="D88" s="95" t="s">
        <v>261</v>
      </c>
      <c r="E88" s="96"/>
      <c r="F88" s="96"/>
      <c r="G88" s="97">
        <v>605</v>
      </c>
      <c r="H88" s="98">
        <f t="shared" si="6"/>
        <v>20.993499999999926</v>
      </c>
      <c r="I88" s="99">
        <f t="shared" si="1"/>
        <v>1154.6424999999958</v>
      </c>
      <c r="J88" s="100">
        <f t="shared" si="7"/>
        <v>30.25</v>
      </c>
      <c r="K88" s="101">
        <f t="shared" si="2"/>
        <v>9.2565000000000737</v>
      </c>
    </row>
    <row r="89" spans="1:11" ht="12.75" x14ac:dyDescent="0.2">
      <c r="A89" s="92">
        <v>45630</v>
      </c>
      <c r="B89" s="93" t="s">
        <v>37</v>
      </c>
      <c r="C89" s="94">
        <v>0.93879999999999997</v>
      </c>
      <c r="D89" s="95" t="s">
        <v>261</v>
      </c>
      <c r="E89" s="96"/>
      <c r="F89" s="96"/>
      <c r="G89" s="97">
        <v>605</v>
      </c>
      <c r="H89" s="98">
        <f t="shared" si="6"/>
        <v>37.026000000000067</v>
      </c>
      <c r="I89" s="99">
        <f t="shared" si="1"/>
        <v>2036.4300000000037</v>
      </c>
      <c r="J89" s="100">
        <f t="shared" si="7"/>
        <v>30.25</v>
      </c>
      <c r="K89" s="101">
        <f t="shared" si="2"/>
        <v>-6.7760000000000673</v>
      </c>
    </row>
    <row r="90" spans="1:11" ht="12.75" x14ac:dyDescent="0.2">
      <c r="A90" s="92">
        <v>45631</v>
      </c>
      <c r="B90" s="93" t="s">
        <v>39</v>
      </c>
      <c r="C90" s="94">
        <v>0.96030000000000004</v>
      </c>
      <c r="D90" s="95" t="s">
        <v>261</v>
      </c>
      <c r="E90" s="96"/>
      <c r="F90" s="96"/>
      <c r="G90" s="97">
        <v>605</v>
      </c>
      <c r="H90" s="98">
        <f t="shared" si="6"/>
        <v>24.018500000000017</v>
      </c>
      <c r="I90" s="99">
        <f t="shared" si="1"/>
        <v>1321.0175000000008</v>
      </c>
      <c r="J90" s="100">
        <f t="shared" si="7"/>
        <v>30.25</v>
      </c>
      <c r="K90" s="101">
        <f t="shared" si="2"/>
        <v>6.2314999999999827</v>
      </c>
    </row>
    <row r="91" spans="1:11" ht="12.75" x14ac:dyDescent="0.2">
      <c r="A91" s="92">
        <v>45632</v>
      </c>
      <c r="B91" s="93" t="s">
        <v>41</v>
      </c>
      <c r="C91" s="94">
        <v>0.9405</v>
      </c>
      <c r="D91" s="95" t="s">
        <v>261</v>
      </c>
      <c r="E91" s="96"/>
      <c r="F91" s="96"/>
      <c r="G91" s="97">
        <v>605</v>
      </c>
      <c r="H91" s="98">
        <f t="shared" si="6"/>
        <v>35.997499999999945</v>
      </c>
      <c r="I91" s="99">
        <f t="shared" si="1"/>
        <v>1979.862499999997</v>
      </c>
      <c r="J91" s="100">
        <f t="shared" si="7"/>
        <v>30.25</v>
      </c>
      <c r="K91" s="101">
        <f t="shared" si="2"/>
        <v>-5.7474999999999454</v>
      </c>
    </row>
    <row r="92" spans="1:11" ht="12.75" x14ac:dyDescent="0.2">
      <c r="A92" s="92">
        <v>45635</v>
      </c>
      <c r="B92" s="93" t="s">
        <v>33</v>
      </c>
      <c r="C92" s="94">
        <v>0.95699999999999996</v>
      </c>
      <c r="D92" s="95" t="s">
        <v>261</v>
      </c>
      <c r="E92" s="96"/>
      <c r="F92" s="96"/>
      <c r="G92" s="97">
        <v>605</v>
      </c>
      <c r="H92" s="98">
        <f t="shared" ref="H92:H96" si="8">G93-(C92*G93)</f>
        <v>26.014999999999986</v>
      </c>
      <c r="I92" s="99">
        <f t="shared" si="1"/>
        <v>1430.8249999999994</v>
      </c>
      <c r="J92" s="100">
        <f t="shared" ref="J92:J93" si="9">G93-(G93*J$3)</f>
        <v>30.25</v>
      </c>
      <c r="K92" s="101">
        <f t="shared" si="2"/>
        <v>4.2350000000000136</v>
      </c>
    </row>
    <row r="93" spans="1:11" ht="12.75" x14ac:dyDescent="0.2">
      <c r="A93" s="92">
        <v>45636</v>
      </c>
      <c r="B93" s="93" t="s">
        <v>35</v>
      </c>
      <c r="C93" s="94">
        <v>0.96199999999999997</v>
      </c>
      <c r="D93" s="95" t="s">
        <v>261</v>
      </c>
      <c r="E93" s="96"/>
      <c r="F93" s="96"/>
      <c r="G93" s="97">
        <v>605</v>
      </c>
      <c r="H93" s="98">
        <f t="shared" si="8"/>
        <v>22.990000000000009</v>
      </c>
      <c r="I93" s="99">
        <f t="shared" si="1"/>
        <v>1264.4500000000005</v>
      </c>
      <c r="J93" s="100">
        <f t="shared" si="9"/>
        <v>30.25</v>
      </c>
      <c r="K93" s="101">
        <f t="shared" si="2"/>
        <v>7.2599999999999909</v>
      </c>
    </row>
    <row r="94" spans="1:11" ht="12.75" x14ac:dyDescent="0.2">
      <c r="A94" s="92">
        <v>45637</v>
      </c>
      <c r="B94" s="93" t="s">
        <v>37</v>
      </c>
      <c r="C94" s="94">
        <v>0.96030000000000004</v>
      </c>
      <c r="D94" s="95" t="s">
        <v>261</v>
      </c>
      <c r="E94" s="96"/>
      <c r="F94" s="96"/>
      <c r="G94" s="97">
        <v>605</v>
      </c>
      <c r="H94" s="98">
        <f t="shared" si="8"/>
        <v>24.13760000000002</v>
      </c>
      <c r="I94" s="99">
        <f t="shared" si="1"/>
        <v>1327.5680000000011</v>
      </c>
      <c r="J94" s="100">
        <f t="shared" ref="J94:J215" si="10">G94-(G94*J$3)</f>
        <v>30.25</v>
      </c>
      <c r="K94" s="101">
        <f t="shared" si="2"/>
        <v>6.1123999999999796</v>
      </c>
    </row>
    <row r="95" spans="1:11" ht="12.75" x14ac:dyDescent="0.2">
      <c r="A95" s="92">
        <v>45638</v>
      </c>
      <c r="B95" s="93" t="s">
        <v>39</v>
      </c>
      <c r="C95" s="94">
        <v>0.94740000000000002</v>
      </c>
      <c r="D95" s="95" t="s">
        <v>261</v>
      </c>
      <c r="E95" s="96"/>
      <c r="F95" s="96"/>
      <c r="G95" s="97">
        <v>608</v>
      </c>
      <c r="H95" s="98">
        <f t="shared" si="8"/>
        <v>31.980800000000045</v>
      </c>
      <c r="I95" s="99">
        <f t="shared" si="1"/>
        <v>1758.9440000000025</v>
      </c>
      <c r="J95" s="100">
        <f t="shared" si="10"/>
        <v>30.399999999999977</v>
      </c>
      <c r="K95" s="101">
        <f t="shared" si="2"/>
        <v>-1.5808000000000675</v>
      </c>
    </row>
    <row r="96" spans="1:11" ht="12.75" x14ac:dyDescent="0.2">
      <c r="A96" s="92">
        <v>45639</v>
      </c>
      <c r="B96" s="93" t="s">
        <v>41</v>
      </c>
      <c r="C96" s="94">
        <v>0.92269999999999996</v>
      </c>
      <c r="D96" s="95" t="s">
        <v>261</v>
      </c>
      <c r="E96" s="96"/>
      <c r="F96" s="96"/>
      <c r="G96" s="97">
        <v>608</v>
      </c>
      <c r="H96" s="98">
        <f t="shared" si="8"/>
        <v>46.998400000000061</v>
      </c>
      <c r="I96" s="99">
        <f t="shared" si="1"/>
        <v>2584.9120000000034</v>
      </c>
      <c r="J96" s="100">
        <f t="shared" si="10"/>
        <v>30.399999999999977</v>
      </c>
      <c r="K96" s="101">
        <f t="shared" si="2"/>
        <v>-16.598400000000083</v>
      </c>
    </row>
    <row r="97" spans="1:11" ht="12.75" x14ac:dyDescent="0.2">
      <c r="A97" s="92">
        <v>45642</v>
      </c>
      <c r="B97" s="93" t="s">
        <v>33</v>
      </c>
      <c r="C97" s="94">
        <v>0.93589999999999995</v>
      </c>
      <c r="D97" s="95" t="s">
        <v>261</v>
      </c>
      <c r="E97" s="96"/>
      <c r="F97" s="96"/>
      <c r="G97" s="97">
        <v>608</v>
      </c>
      <c r="H97" s="98">
        <f t="shared" ref="H97:H215" si="11">G97-(C97*G97)</f>
        <v>38.972800000000007</v>
      </c>
      <c r="I97" s="99">
        <f t="shared" si="1"/>
        <v>2143.5040000000004</v>
      </c>
      <c r="J97" s="100">
        <f t="shared" si="10"/>
        <v>30.399999999999977</v>
      </c>
      <c r="K97" s="101">
        <f t="shared" si="2"/>
        <v>-8.5728000000000293</v>
      </c>
    </row>
    <row r="98" spans="1:11" ht="12.75" x14ac:dyDescent="0.2">
      <c r="A98" s="92">
        <v>45643</v>
      </c>
      <c r="B98" s="93" t="s">
        <v>35</v>
      </c>
      <c r="C98" s="94">
        <v>0.96220000000000006</v>
      </c>
      <c r="D98" s="95" t="s">
        <v>261</v>
      </c>
      <c r="E98" s="96"/>
      <c r="F98" s="96"/>
      <c r="G98" s="97">
        <v>608</v>
      </c>
      <c r="H98" s="98">
        <f t="shared" si="11"/>
        <v>22.982399999999984</v>
      </c>
      <c r="I98" s="99">
        <f t="shared" si="1"/>
        <v>1264.0319999999992</v>
      </c>
      <c r="J98" s="100">
        <f t="shared" si="10"/>
        <v>30.399999999999977</v>
      </c>
      <c r="K98" s="101">
        <f t="shared" si="2"/>
        <v>7.4175999999999931</v>
      </c>
    </row>
    <row r="99" spans="1:11" ht="12.75" x14ac:dyDescent="0.2">
      <c r="A99" s="92">
        <v>45644</v>
      </c>
      <c r="B99" s="93" t="s">
        <v>37</v>
      </c>
      <c r="C99" s="94">
        <v>0.96220000000000006</v>
      </c>
      <c r="D99" s="95" t="s">
        <v>261</v>
      </c>
      <c r="E99" s="96"/>
      <c r="F99" s="96"/>
      <c r="G99" s="97">
        <v>608</v>
      </c>
      <c r="H99" s="98">
        <f t="shared" si="11"/>
        <v>22.982399999999984</v>
      </c>
      <c r="I99" s="99">
        <f t="shared" si="1"/>
        <v>1264.0319999999992</v>
      </c>
      <c r="J99" s="100">
        <f t="shared" si="10"/>
        <v>30.399999999999977</v>
      </c>
      <c r="K99" s="101">
        <f t="shared" si="2"/>
        <v>7.4175999999999931</v>
      </c>
    </row>
    <row r="100" spans="1:11" ht="12.75" x14ac:dyDescent="0.2">
      <c r="A100" s="92">
        <v>45645</v>
      </c>
      <c r="B100" s="93" t="s">
        <v>39</v>
      </c>
      <c r="C100" s="94">
        <v>0.92930000000000001</v>
      </c>
      <c r="D100" s="95" t="s">
        <v>261</v>
      </c>
      <c r="E100" s="96"/>
      <c r="F100" s="96"/>
      <c r="G100" s="97">
        <v>608</v>
      </c>
      <c r="H100" s="98">
        <f t="shared" si="11"/>
        <v>42.985599999999977</v>
      </c>
      <c r="I100" s="99">
        <f t="shared" si="1"/>
        <v>2364.2079999999987</v>
      </c>
      <c r="J100" s="100">
        <f t="shared" si="10"/>
        <v>30.399999999999977</v>
      </c>
      <c r="K100" s="101">
        <f t="shared" si="2"/>
        <v>-12.585599999999999</v>
      </c>
    </row>
    <row r="101" spans="1:11" ht="12.75" x14ac:dyDescent="0.2">
      <c r="A101" s="92">
        <v>45646</v>
      </c>
      <c r="B101" s="93" t="s">
        <v>41</v>
      </c>
      <c r="C101" s="94">
        <v>0.90629999999999999</v>
      </c>
      <c r="D101" s="95" t="s">
        <v>261</v>
      </c>
      <c r="E101" s="96"/>
      <c r="F101" s="96"/>
      <c r="G101" s="97">
        <v>608</v>
      </c>
      <c r="H101" s="98">
        <f t="shared" si="11"/>
        <v>56.969600000000014</v>
      </c>
      <c r="I101" s="99">
        <f t="shared" si="1"/>
        <v>3133.3280000000009</v>
      </c>
      <c r="J101" s="100">
        <f t="shared" si="10"/>
        <v>30.399999999999977</v>
      </c>
      <c r="K101" s="101">
        <f t="shared" si="2"/>
        <v>-26.569600000000037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11"/>
        <v>0</v>
      </c>
      <c r="I102" s="99">
        <f t="shared" si="1"/>
        <v>0</v>
      </c>
      <c r="J102" s="100">
        <f t="shared" si="10"/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11"/>
        <v>0</v>
      </c>
      <c r="I103" s="99">
        <f t="shared" si="1"/>
        <v>0</v>
      </c>
      <c r="J103" s="100">
        <f t="shared" si="10"/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11"/>
        <v>0</v>
      </c>
      <c r="I104" s="99">
        <f t="shared" si="1"/>
        <v>0</v>
      </c>
      <c r="J104" s="100">
        <f t="shared" si="10"/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11"/>
        <v>0</v>
      </c>
      <c r="I105" s="99">
        <f t="shared" si="1"/>
        <v>0</v>
      </c>
      <c r="J105" s="100">
        <f t="shared" si="10"/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11"/>
        <v>0</v>
      </c>
      <c r="I106" s="99">
        <f t="shared" si="1"/>
        <v>0</v>
      </c>
      <c r="J106" s="100">
        <f t="shared" si="10"/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11"/>
        <v>0</v>
      </c>
      <c r="I107" s="99">
        <f t="shared" si="1"/>
        <v>0</v>
      </c>
      <c r="J107" s="100">
        <f t="shared" si="10"/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11"/>
        <v>0</v>
      </c>
      <c r="I108" s="99">
        <f t="shared" si="1"/>
        <v>0</v>
      </c>
      <c r="J108" s="100">
        <f t="shared" si="10"/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11"/>
        <v>0</v>
      </c>
      <c r="I109" s="99">
        <f t="shared" si="1"/>
        <v>0</v>
      </c>
      <c r="J109" s="100">
        <f t="shared" si="10"/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11"/>
        <v>0</v>
      </c>
      <c r="I110" s="99">
        <f t="shared" si="1"/>
        <v>0</v>
      </c>
      <c r="J110" s="100">
        <f t="shared" si="10"/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11"/>
        <v>0</v>
      </c>
      <c r="I111" s="99">
        <f t="shared" si="1"/>
        <v>0</v>
      </c>
      <c r="J111" s="100">
        <f t="shared" si="10"/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11"/>
        <v>0</v>
      </c>
      <c r="I112" s="99">
        <f t="shared" si="1"/>
        <v>0</v>
      </c>
      <c r="J112" s="100">
        <f t="shared" si="10"/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11"/>
        <v>0</v>
      </c>
      <c r="I113" s="99">
        <f t="shared" si="1"/>
        <v>0</v>
      </c>
      <c r="J113" s="100">
        <f t="shared" si="10"/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0.89900000000000002</v>
      </c>
      <c r="D114" s="95" t="s">
        <v>263</v>
      </c>
      <c r="E114" s="96"/>
      <c r="F114" s="96"/>
      <c r="G114" s="97">
        <v>604</v>
      </c>
      <c r="H114" s="98">
        <f t="shared" si="11"/>
        <v>61.004000000000019</v>
      </c>
      <c r="I114" s="99">
        <f t="shared" si="1"/>
        <v>3355.2200000000012</v>
      </c>
      <c r="J114" s="100">
        <f t="shared" si="10"/>
        <v>30.200000000000045</v>
      </c>
      <c r="K114" s="101">
        <f t="shared" si="2"/>
        <v>-30.803999999999974</v>
      </c>
    </row>
    <row r="115" spans="1:11" ht="12.75" x14ac:dyDescent="0.2">
      <c r="A115" s="92">
        <v>45666</v>
      </c>
      <c r="B115" s="93" t="s">
        <v>39</v>
      </c>
      <c r="C115" s="94">
        <v>0.89600000000000002</v>
      </c>
      <c r="D115" s="95" t="s">
        <v>263</v>
      </c>
      <c r="E115" s="96"/>
      <c r="F115" s="96"/>
      <c r="G115" s="97">
        <v>606</v>
      </c>
      <c r="H115" s="98">
        <f t="shared" si="11"/>
        <v>63.024000000000001</v>
      </c>
      <c r="I115" s="99">
        <f t="shared" si="1"/>
        <v>3466.32</v>
      </c>
      <c r="J115" s="100">
        <f t="shared" si="10"/>
        <v>30.300000000000068</v>
      </c>
      <c r="K115" s="101">
        <f t="shared" si="2"/>
        <v>-32.723999999999933</v>
      </c>
    </row>
    <row r="116" spans="1:11" ht="12.75" x14ac:dyDescent="0.2">
      <c r="A116" s="92">
        <v>45667</v>
      </c>
      <c r="B116" s="93" t="s">
        <v>41</v>
      </c>
      <c r="C116" s="94">
        <v>0.86370000000000002</v>
      </c>
      <c r="D116" s="95" t="s">
        <v>263</v>
      </c>
      <c r="E116" s="96"/>
      <c r="F116" s="96"/>
      <c r="G116" s="97">
        <v>609</v>
      </c>
      <c r="H116" s="98">
        <f t="shared" si="11"/>
        <v>83.006700000000023</v>
      </c>
      <c r="I116" s="99">
        <f t="shared" si="1"/>
        <v>4565.3685000000014</v>
      </c>
      <c r="J116" s="100">
        <f t="shared" si="10"/>
        <v>30.450000000000045</v>
      </c>
      <c r="K116" s="101">
        <f t="shared" si="2"/>
        <v>-52.556699999999978</v>
      </c>
    </row>
    <row r="117" spans="1:11" ht="12.75" x14ac:dyDescent="0.2">
      <c r="A117" s="92">
        <v>45670</v>
      </c>
      <c r="B117" s="93" t="s">
        <v>33</v>
      </c>
      <c r="C117" s="94">
        <v>0.95240000000000002</v>
      </c>
      <c r="D117" s="95" t="s">
        <v>261</v>
      </c>
      <c r="E117" s="96"/>
      <c r="F117" s="96"/>
      <c r="G117" s="97">
        <v>611</v>
      </c>
      <c r="H117" s="98">
        <f t="shared" si="11"/>
        <v>29.083599999999933</v>
      </c>
      <c r="I117" s="99">
        <f t="shared" si="1"/>
        <v>1599.5979999999963</v>
      </c>
      <c r="J117" s="100">
        <f t="shared" si="10"/>
        <v>30.550000000000068</v>
      </c>
      <c r="K117" s="101">
        <f t="shared" si="2"/>
        <v>1.4664000000001352</v>
      </c>
    </row>
    <row r="118" spans="1:11" ht="12.75" x14ac:dyDescent="0.2">
      <c r="A118" s="92">
        <v>45671</v>
      </c>
      <c r="B118" s="93" t="s">
        <v>35</v>
      </c>
      <c r="C118" s="94">
        <v>0.9607</v>
      </c>
      <c r="D118" s="95" t="s">
        <v>261</v>
      </c>
      <c r="E118" s="96"/>
      <c r="F118" s="96"/>
      <c r="G118" s="97">
        <v>614</v>
      </c>
      <c r="H118" s="98">
        <f t="shared" si="11"/>
        <v>24.130199999999945</v>
      </c>
      <c r="I118" s="99">
        <f t="shared" si="1"/>
        <v>1327.1609999999969</v>
      </c>
      <c r="J118" s="100">
        <f t="shared" si="10"/>
        <v>30.700000000000045</v>
      </c>
      <c r="K118" s="101">
        <f t="shared" si="2"/>
        <v>6.5698000000001002</v>
      </c>
    </row>
    <row r="119" spans="1:11" ht="12.75" x14ac:dyDescent="0.2">
      <c r="A119" s="92">
        <v>45672</v>
      </c>
      <c r="B119" s="93" t="s">
        <v>37</v>
      </c>
      <c r="C119" s="94">
        <v>0.96560000000000001</v>
      </c>
      <c r="D119" s="95" t="s">
        <v>261</v>
      </c>
      <c r="E119" s="96"/>
      <c r="F119" s="96"/>
      <c r="G119" s="97">
        <v>610</v>
      </c>
      <c r="H119" s="98">
        <f t="shared" si="11"/>
        <v>20.984000000000037</v>
      </c>
      <c r="I119" s="99">
        <f t="shared" si="1"/>
        <v>1154.1200000000022</v>
      </c>
      <c r="J119" s="100">
        <f t="shared" si="10"/>
        <v>30.5</v>
      </c>
      <c r="K119" s="101">
        <f t="shared" si="2"/>
        <v>9.5159999999999627</v>
      </c>
    </row>
    <row r="120" spans="1:11" ht="12.75" x14ac:dyDescent="0.2">
      <c r="A120" s="92">
        <v>45673</v>
      </c>
      <c r="B120" s="93" t="s">
        <v>39</v>
      </c>
      <c r="C120" s="94">
        <v>0.95079999999999998</v>
      </c>
      <c r="D120" s="95" t="s">
        <v>261</v>
      </c>
      <c r="E120" s="96"/>
      <c r="F120" s="96"/>
      <c r="G120" s="97">
        <v>610</v>
      </c>
      <c r="H120" s="98">
        <f t="shared" si="11"/>
        <v>30.012000000000057</v>
      </c>
      <c r="I120" s="99">
        <f t="shared" si="1"/>
        <v>1650.660000000003</v>
      </c>
      <c r="J120" s="100">
        <f t="shared" si="10"/>
        <v>30.5</v>
      </c>
      <c r="K120" s="101">
        <f t="shared" si="2"/>
        <v>0.4879999999999427</v>
      </c>
    </row>
    <row r="121" spans="1:11" ht="12.75" x14ac:dyDescent="0.2">
      <c r="A121" s="92">
        <v>45674</v>
      </c>
      <c r="B121" s="93" t="s">
        <v>41</v>
      </c>
      <c r="C121" s="94">
        <v>0.91800000000000004</v>
      </c>
      <c r="D121" s="95" t="s">
        <v>261</v>
      </c>
      <c r="E121" s="96"/>
      <c r="F121" s="96"/>
      <c r="G121" s="97">
        <v>610</v>
      </c>
      <c r="H121" s="98">
        <f t="shared" si="11"/>
        <v>50.019999999999982</v>
      </c>
      <c r="I121" s="99">
        <f t="shared" si="1"/>
        <v>2751.099999999999</v>
      </c>
      <c r="J121" s="100">
        <f t="shared" si="10"/>
        <v>30.5</v>
      </c>
      <c r="K121" s="101">
        <f t="shared" si="2"/>
        <v>-19.519999999999982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11"/>
        <v>0</v>
      </c>
      <c r="I122" s="99">
        <f t="shared" si="1"/>
        <v>0</v>
      </c>
      <c r="J122" s="100">
        <f t="shared" si="10"/>
        <v>0</v>
      </c>
      <c r="K122" s="101">
        <f t="shared" si="2"/>
        <v>0</v>
      </c>
    </row>
    <row r="123" spans="1:11" ht="12.75" x14ac:dyDescent="0.2">
      <c r="A123" s="92">
        <v>45678</v>
      </c>
      <c r="B123" s="93" t="s">
        <v>35</v>
      </c>
      <c r="C123" s="94"/>
      <c r="D123" s="95"/>
      <c r="E123" s="96"/>
      <c r="F123" s="96"/>
      <c r="H123" s="98">
        <f t="shared" si="11"/>
        <v>0</v>
      </c>
      <c r="I123" s="99">
        <f t="shared" si="1"/>
        <v>0</v>
      </c>
      <c r="J123" s="100">
        <f t="shared" si="10"/>
        <v>0</v>
      </c>
      <c r="K123" s="101">
        <f t="shared" si="2"/>
        <v>0</v>
      </c>
    </row>
    <row r="124" spans="1:11" ht="12.75" x14ac:dyDescent="0.2">
      <c r="A124" s="92">
        <v>45679</v>
      </c>
      <c r="B124" s="93" t="s">
        <v>37</v>
      </c>
      <c r="C124" s="94"/>
      <c r="D124" s="95"/>
      <c r="E124" s="96"/>
      <c r="F124" s="96"/>
      <c r="H124" s="98">
        <f t="shared" si="11"/>
        <v>0</v>
      </c>
      <c r="I124" s="99">
        <f t="shared" si="1"/>
        <v>0</v>
      </c>
      <c r="J124" s="100">
        <f t="shared" si="10"/>
        <v>0</v>
      </c>
      <c r="K124" s="101">
        <f t="shared" si="2"/>
        <v>0</v>
      </c>
    </row>
    <row r="125" spans="1:11" ht="12.75" x14ac:dyDescent="0.2">
      <c r="A125" s="92">
        <v>45680</v>
      </c>
      <c r="B125" s="93" t="s">
        <v>39</v>
      </c>
      <c r="C125" s="94">
        <v>0.85709999999999997</v>
      </c>
      <c r="D125" s="95" t="s">
        <v>263</v>
      </c>
      <c r="E125" s="96"/>
      <c r="F125" s="96"/>
      <c r="G125" s="97">
        <v>609</v>
      </c>
      <c r="H125" s="98">
        <f t="shared" si="11"/>
        <v>87.026100000000042</v>
      </c>
      <c r="I125" s="99">
        <f t="shared" si="1"/>
        <v>4786.4355000000023</v>
      </c>
      <c r="J125" s="100">
        <f t="shared" si="10"/>
        <v>30.450000000000045</v>
      </c>
      <c r="K125" s="101">
        <f t="shared" si="2"/>
        <v>-56.576099999999997</v>
      </c>
    </row>
    <row r="126" spans="1:11" ht="12.75" x14ac:dyDescent="0.2">
      <c r="A126" s="92">
        <v>45681</v>
      </c>
      <c r="B126" s="93" t="s">
        <v>41</v>
      </c>
      <c r="C126" s="94">
        <v>0.90800000000000003</v>
      </c>
      <c r="D126" s="95" t="s">
        <v>261</v>
      </c>
      <c r="E126" s="96"/>
      <c r="F126" s="96"/>
      <c r="G126" s="97">
        <v>609</v>
      </c>
      <c r="H126" s="98">
        <f t="shared" si="11"/>
        <v>56.02800000000002</v>
      </c>
      <c r="I126" s="99">
        <f t="shared" si="1"/>
        <v>3081.5400000000009</v>
      </c>
      <c r="J126" s="100">
        <f t="shared" si="10"/>
        <v>30.450000000000045</v>
      </c>
      <c r="K126" s="101">
        <f t="shared" si="2"/>
        <v>-25.577999999999975</v>
      </c>
    </row>
    <row r="127" spans="1:11" ht="12.75" x14ac:dyDescent="0.2">
      <c r="A127" s="92">
        <v>45684</v>
      </c>
      <c r="B127" s="93" t="s">
        <v>33</v>
      </c>
      <c r="C127" s="94">
        <v>0.93400000000000005</v>
      </c>
      <c r="D127" s="95" t="s">
        <v>261</v>
      </c>
      <c r="E127" s="96"/>
      <c r="F127" s="96"/>
      <c r="G127" s="97">
        <v>606</v>
      </c>
      <c r="H127" s="98">
        <f t="shared" si="11"/>
        <v>39.995999999999981</v>
      </c>
      <c r="I127" s="99">
        <f t="shared" si="1"/>
        <v>2199.7799999999988</v>
      </c>
      <c r="J127" s="100">
        <f t="shared" si="10"/>
        <v>30.300000000000068</v>
      </c>
      <c r="K127" s="101">
        <f t="shared" si="2"/>
        <v>-9.6959999999999127</v>
      </c>
    </row>
    <row r="128" spans="1:11" ht="12.75" x14ac:dyDescent="0.2">
      <c r="A128" s="92">
        <v>45685</v>
      </c>
      <c r="B128" s="93" t="s">
        <v>35</v>
      </c>
      <c r="C128" s="94">
        <v>0.93899999999999995</v>
      </c>
      <c r="D128" s="95" t="s">
        <v>261</v>
      </c>
      <c r="E128" s="96"/>
      <c r="F128" s="96"/>
      <c r="G128" s="97">
        <v>607</v>
      </c>
      <c r="H128" s="98">
        <f t="shared" si="11"/>
        <v>37.027000000000044</v>
      </c>
      <c r="I128" s="99">
        <f t="shared" si="1"/>
        <v>2036.4850000000024</v>
      </c>
      <c r="J128" s="100">
        <f t="shared" si="10"/>
        <v>30.350000000000023</v>
      </c>
      <c r="K128" s="101">
        <f t="shared" si="2"/>
        <v>-6.6770000000000209</v>
      </c>
    </row>
    <row r="129" spans="1:11" ht="12.75" x14ac:dyDescent="0.2">
      <c r="A129" s="92">
        <v>45686</v>
      </c>
      <c r="B129" s="93" t="s">
        <v>37</v>
      </c>
      <c r="C129" s="94">
        <v>0.95240000000000002</v>
      </c>
      <c r="D129" s="95" t="s">
        <v>261</v>
      </c>
      <c r="E129" s="96"/>
      <c r="F129" s="96"/>
      <c r="G129" s="97">
        <v>608</v>
      </c>
      <c r="H129" s="98">
        <f t="shared" si="11"/>
        <v>28.940799999999967</v>
      </c>
      <c r="I129" s="99">
        <f t="shared" si="1"/>
        <v>1591.7439999999983</v>
      </c>
      <c r="J129" s="100">
        <f t="shared" si="10"/>
        <v>30.399999999999977</v>
      </c>
      <c r="K129" s="101">
        <f t="shared" si="2"/>
        <v>1.4592000000000098</v>
      </c>
    </row>
    <row r="130" spans="1:11" ht="12.75" x14ac:dyDescent="0.2">
      <c r="A130" s="92">
        <v>45687</v>
      </c>
      <c r="B130" s="93" t="s">
        <v>39</v>
      </c>
      <c r="C130" s="94">
        <v>0.93330000000000002</v>
      </c>
      <c r="D130" s="95" t="s">
        <v>261</v>
      </c>
      <c r="E130" s="96"/>
      <c r="F130" s="96"/>
      <c r="G130" s="97">
        <v>610</v>
      </c>
      <c r="H130" s="98">
        <f t="shared" si="11"/>
        <v>40.687000000000012</v>
      </c>
      <c r="I130" s="99">
        <f t="shared" si="1"/>
        <v>2237.7850000000008</v>
      </c>
      <c r="J130" s="100">
        <f t="shared" si="10"/>
        <v>30.5</v>
      </c>
      <c r="K130" s="101">
        <f t="shared" si="2"/>
        <v>-10.187000000000012</v>
      </c>
    </row>
    <row r="131" spans="1:11" ht="12.75" x14ac:dyDescent="0.2">
      <c r="A131" s="92">
        <v>45688</v>
      </c>
      <c r="B131" s="93" t="s">
        <v>41</v>
      </c>
      <c r="C131" s="94">
        <v>0.9194</v>
      </c>
      <c r="D131" s="95" t="s">
        <v>261</v>
      </c>
      <c r="E131" s="96"/>
      <c r="F131" s="96"/>
      <c r="G131" s="97">
        <v>608</v>
      </c>
      <c r="H131" s="98">
        <f t="shared" si="11"/>
        <v>49.004800000000046</v>
      </c>
      <c r="I131" s="99">
        <f t="shared" si="1"/>
        <v>2695.2640000000024</v>
      </c>
      <c r="J131" s="100">
        <f t="shared" si="10"/>
        <v>30.399999999999977</v>
      </c>
      <c r="K131" s="101">
        <f t="shared" si="2"/>
        <v>-18.604800000000068</v>
      </c>
    </row>
    <row r="132" spans="1:11" ht="12.75" x14ac:dyDescent="0.2">
      <c r="A132" s="92">
        <v>45691</v>
      </c>
      <c r="B132" s="93" t="s">
        <v>33</v>
      </c>
      <c r="C132" s="94">
        <v>0.79900000000000004</v>
      </c>
      <c r="D132" s="95" t="s">
        <v>263</v>
      </c>
      <c r="E132" s="96" t="s">
        <v>233</v>
      </c>
      <c r="F132" s="96"/>
      <c r="G132" s="97">
        <v>607</v>
      </c>
      <c r="H132" s="98">
        <f t="shared" si="11"/>
        <v>122.00699999999995</v>
      </c>
      <c r="I132" s="99">
        <f t="shared" si="1"/>
        <v>6710.3849999999975</v>
      </c>
      <c r="J132" s="100">
        <f t="shared" si="10"/>
        <v>30.350000000000023</v>
      </c>
      <c r="K132" s="101">
        <f t="shared" si="2"/>
        <v>-91.656999999999925</v>
      </c>
    </row>
    <row r="133" spans="1:11" ht="12.75" x14ac:dyDescent="0.2">
      <c r="A133" s="92">
        <v>45692</v>
      </c>
      <c r="B133" s="93" t="s">
        <v>35</v>
      </c>
      <c r="C133" s="94">
        <v>0.94710000000000005</v>
      </c>
      <c r="D133" s="95" t="s">
        <v>261</v>
      </c>
      <c r="E133" s="96"/>
      <c r="F133" s="96"/>
      <c r="G133" s="97">
        <v>605</v>
      </c>
      <c r="H133" s="98">
        <f t="shared" si="11"/>
        <v>32.004500000000007</v>
      </c>
      <c r="I133" s="99">
        <f t="shared" si="1"/>
        <v>1760.2475000000004</v>
      </c>
      <c r="J133" s="100">
        <f t="shared" si="10"/>
        <v>30.25</v>
      </c>
      <c r="K133" s="101">
        <f t="shared" si="2"/>
        <v>-1.7545000000000073</v>
      </c>
    </row>
    <row r="134" spans="1:11" ht="12.75" x14ac:dyDescent="0.2">
      <c r="A134" s="92">
        <v>45693</v>
      </c>
      <c r="B134" s="93" t="s">
        <v>37</v>
      </c>
      <c r="C134" s="94">
        <v>0.96179999999999999</v>
      </c>
      <c r="D134" s="95" t="s">
        <v>261</v>
      </c>
      <c r="E134" s="96"/>
      <c r="F134" s="96"/>
      <c r="G134" s="97">
        <v>602</v>
      </c>
      <c r="H134" s="98">
        <f t="shared" si="11"/>
        <v>22.996399999999994</v>
      </c>
      <c r="I134" s="99">
        <f t="shared" si="1"/>
        <v>1264.8019999999997</v>
      </c>
      <c r="J134" s="100">
        <f t="shared" si="10"/>
        <v>30.100000000000023</v>
      </c>
      <c r="K134" s="101">
        <f t="shared" si="2"/>
        <v>7.1036000000000286</v>
      </c>
    </row>
    <row r="135" spans="1:11" ht="12.75" x14ac:dyDescent="0.2">
      <c r="A135" s="92">
        <v>45694</v>
      </c>
      <c r="B135" s="93" t="s">
        <v>39</v>
      </c>
      <c r="C135" s="94">
        <v>0.94199999999999995</v>
      </c>
      <c r="D135" s="95" t="s">
        <v>261</v>
      </c>
      <c r="E135" s="96"/>
      <c r="F135" s="96"/>
      <c r="G135" s="97">
        <v>603</v>
      </c>
      <c r="H135" s="98">
        <f t="shared" si="11"/>
        <v>34.974000000000046</v>
      </c>
      <c r="I135" s="99">
        <f t="shared" si="1"/>
        <v>1923.5700000000024</v>
      </c>
      <c r="J135" s="100">
        <f t="shared" si="10"/>
        <v>30.149999999999977</v>
      </c>
      <c r="K135" s="101">
        <f t="shared" si="2"/>
        <v>-4.8240000000000691</v>
      </c>
    </row>
    <row r="136" spans="1:11" ht="12.75" x14ac:dyDescent="0.2">
      <c r="A136" s="92">
        <v>45695</v>
      </c>
      <c r="B136" s="93" t="s">
        <v>41</v>
      </c>
      <c r="C136" s="94">
        <v>0.94199999999999995</v>
      </c>
      <c r="D136" s="95" t="s">
        <v>261</v>
      </c>
      <c r="E136" s="96"/>
      <c r="F136" s="96"/>
      <c r="G136" s="97">
        <v>603</v>
      </c>
      <c r="H136" s="98">
        <f t="shared" si="11"/>
        <v>34.974000000000046</v>
      </c>
      <c r="I136" s="99">
        <f t="shared" si="1"/>
        <v>1923.5700000000024</v>
      </c>
      <c r="J136" s="100">
        <f t="shared" si="10"/>
        <v>30.149999999999977</v>
      </c>
      <c r="K136" s="101">
        <f t="shared" si="2"/>
        <v>-4.8240000000000691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11"/>
        <v>0</v>
      </c>
      <c r="I137" s="99">
        <f t="shared" si="1"/>
        <v>0</v>
      </c>
      <c r="J137" s="100">
        <f t="shared" si="10"/>
        <v>0</v>
      </c>
      <c r="K137" s="101">
        <f t="shared" si="2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11"/>
        <v>0</v>
      </c>
      <c r="I138" s="99">
        <f t="shared" si="1"/>
        <v>0</v>
      </c>
      <c r="J138" s="100">
        <f t="shared" si="10"/>
        <v>0</v>
      </c>
      <c r="K138" s="101">
        <f t="shared" si="2"/>
        <v>0</v>
      </c>
    </row>
    <row r="139" spans="1:11" ht="12.75" x14ac:dyDescent="0.2">
      <c r="A139" s="92">
        <v>45700</v>
      </c>
      <c r="B139" s="93" t="s">
        <v>37</v>
      </c>
      <c r="C139" s="94">
        <v>0.95189999999999997</v>
      </c>
      <c r="D139" s="95" t="s">
        <v>261</v>
      </c>
      <c r="E139" s="96"/>
      <c r="F139" s="96"/>
      <c r="G139" s="97">
        <v>603</v>
      </c>
      <c r="H139" s="98">
        <f t="shared" si="11"/>
        <v>29.004300000000057</v>
      </c>
      <c r="I139" s="99">
        <f t="shared" si="1"/>
        <v>1595.2365000000032</v>
      </c>
      <c r="J139" s="100">
        <f t="shared" si="10"/>
        <v>30.149999999999977</v>
      </c>
      <c r="K139" s="101">
        <f t="shared" si="2"/>
        <v>1.1456999999999198</v>
      </c>
    </row>
    <row r="140" spans="1:11" ht="12.75" x14ac:dyDescent="0.2">
      <c r="A140" s="92">
        <v>45701</v>
      </c>
      <c r="B140" s="93" t="s">
        <v>39</v>
      </c>
      <c r="C140" s="94">
        <v>0.94199999999999995</v>
      </c>
      <c r="D140" s="95" t="s">
        <v>261</v>
      </c>
      <c r="E140" s="96"/>
      <c r="F140" s="96"/>
      <c r="G140" s="97">
        <v>603</v>
      </c>
      <c r="H140" s="98">
        <f t="shared" si="11"/>
        <v>34.974000000000046</v>
      </c>
      <c r="I140" s="99">
        <f t="shared" si="1"/>
        <v>1923.5700000000024</v>
      </c>
      <c r="J140" s="100">
        <f t="shared" si="10"/>
        <v>30.149999999999977</v>
      </c>
      <c r="K140" s="101">
        <f t="shared" si="2"/>
        <v>-4.8240000000000691</v>
      </c>
    </row>
    <row r="141" spans="1:11" ht="12.75" x14ac:dyDescent="0.2">
      <c r="A141" s="92">
        <v>45702</v>
      </c>
      <c r="B141" s="93" t="s">
        <v>41</v>
      </c>
      <c r="C141" s="94">
        <v>0.93259999999999998</v>
      </c>
      <c r="D141" s="95" t="s">
        <v>261</v>
      </c>
      <c r="E141" s="96"/>
      <c r="F141" s="96"/>
      <c r="G141" s="97">
        <v>608</v>
      </c>
      <c r="H141" s="98">
        <f t="shared" si="11"/>
        <v>40.979199999999992</v>
      </c>
      <c r="I141" s="99">
        <f t="shared" si="1"/>
        <v>2253.8559999999998</v>
      </c>
      <c r="J141" s="100">
        <f t="shared" si="10"/>
        <v>30.399999999999977</v>
      </c>
      <c r="K141" s="101">
        <f t="shared" si="2"/>
        <v>-10.579200000000014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11"/>
        <v>0</v>
      </c>
      <c r="I142" s="99">
        <f t="shared" si="1"/>
        <v>0</v>
      </c>
      <c r="J142" s="100">
        <f t="shared" si="10"/>
        <v>0</v>
      </c>
      <c r="K142" s="101">
        <f t="shared" si="2"/>
        <v>0</v>
      </c>
    </row>
    <row r="143" spans="1:11" ht="12.75" x14ac:dyDescent="0.2">
      <c r="A143" s="92">
        <v>45706</v>
      </c>
      <c r="B143" s="93" t="s">
        <v>35</v>
      </c>
      <c r="C143" s="94">
        <v>0.93740000000000001</v>
      </c>
      <c r="D143" s="95" t="s">
        <v>261</v>
      </c>
      <c r="E143" s="96"/>
      <c r="F143" s="96"/>
      <c r="G143" s="97">
        <v>607</v>
      </c>
      <c r="H143" s="98">
        <f t="shared" si="11"/>
        <v>37.998199999999997</v>
      </c>
      <c r="I143" s="99">
        <f t="shared" si="1"/>
        <v>2089.9009999999998</v>
      </c>
      <c r="J143" s="100">
        <f t="shared" si="10"/>
        <v>30.350000000000023</v>
      </c>
      <c r="K143" s="101">
        <f t="shared" si="2"/>
        <v>-7.6481999999999744</v>
      </c>
    </row>
    <row r="144" spans="1:11" ht="12.75" x14ac:dyDescent="0.2">
      <c r="A144" s="92">
        <v>45707</v>
      </c>
      <c r="B144" s="93" t="s">
        <v>37</v>
      </c>
      <c r="C144" s="94">
        <v>0.94750000000000001</v>
      </c>
      <c r="D144" s="95" t="s">
        <v>261</v>
      </c>
      <c r="E144" s="96"/>
      <c r="F144" s="96"/>
      <c r="G144" s="97">
        <v>609</v>
      </c>
      <c r="H144" s="98">
        <f t="shared" si="11"/>
        <v>31.972499999999968</v>
      </c>
      <c r="I144" s="99">
        <f t="shared" si="1"/>
        <v>1758.4874999999984</v>
      </c>
      <c r="J144" s="100">
        <f t="shared" si="10"/>
        <v>30.450000000000045</v>
      </c>
      <c r="K144" s="101">
        <f t="shared" si="2"/>
        <v>-1.5224999999999227</v>
      </c>
    </row>
    <row r="145" spans="1:11" ht="12.75" x14ac:dyDescent="0.2">
      <c r="A145" s="92">
        <v>45708</v>
      </c>
      <c r="B145" s="93" t="s">
        <v>39</v>
      </c>
      <c r="C145" s="94">
        <v>0.89490000000000003</v>
      </c>
      <c r="D145" s="95" t="s">
        <v>263</v>
      </c>
      <c r="E145" s="96"/>
      <c r="F145" s="96"/>
      <c r="G145" s="97">
        <v>609</v>
      </c>
      <c r="H145" s="98">
        <f t="shared" si="11"/>
        <v>64.005899999999997</v>
      </c>
      <c r="I145" s="99">
        <f t="shared" si="1"/>
        <v>3520.3244999999997</v>
      </c>
      <c r="J145" s="100">
        <f t="shared" si="10"/>
        <v>30.450000000000045</v>
      </c>
      <c r="K145" s="101">
        <f t="shared" si="2"/>
        <v>-33.555899999999951</v>
      </c>
    </row>
    <row r="146" spans="1:11" ht="12.75" x14ac:dyDescent="0.2">
      <c r="A146" s="92">
        <v>45709</v>
      </c>
      <c r="B146" s="93" t="s">
        <v>41</v>
      </c>
      <c r="C146" s="94">
        <v>0.91949999999999998</v>
      </c>
      <c r="D146" s="95" t="s">
        <v>261</v>
      </c>
      <c r="E146" s="96"/>
      <c r="F146" s="96"/>
      <c r="G146" s="97">
        <v>609</v>
      </c>
      <c r="H146" s="98">
        <f t="shared" si="11"/>
        <v>49.024499999999989</v>
      </c>
      <c r="I146" s="99">
        <f t="shared" si="1"/>
        <v>2696.3474999999994</v>
      </c>
      <c r="J146" s="100">
        <f t="shared" si="10"/>
        <v>30.450000000000045</v>
      </c>
      <c r="K146" s="101">
        <f t="shared" si="2"/>
        <v>-18.574499999999944</v>
      </c>
    </row>
    <row r="147" spans="1:11" ht="12.75" x14ac:dyDescent="0.2">
      <c r="A147" s="92">
        <v>45712</v>
      </c>
      <c r="B147" s="93" t="s">
        <v>33</v>
      </c>
      <c r="C147" s="94">
        <v>0.94740000000000002</v>
      </c>
      <c r="D147" s="95" t="s">
        <v>261</v>
      </c>
      <c r="E147" s="96"/>
      <c r="F147" s="96"/>
      <c r="G147" s="97">
        <v>608</v>
      </c>
      <c r="H147" s="98">
        <f t="shared" si="11"/>
        <v>31.980800000000045</v>
      </c>
      <c r="I147" s="99">
        <f t="shared" si="1"/>
        <v>1758.9440000000025</v>
      </c>
      <c r="J147" s="100">
        <f t="shared" si="10"/>
        <v>30.399999999999977</v>
      </c>
      <c r="K147" s="101">
        <f t="shared" si="2"/>
        <v>-1.5808000000000675</v>
      </c>
    </row>
    <row r="148" spans="1:11" ht="12.75" x14ac:dyDescent="0.2">
      <c r="A148" s="92">
        <v>45713</v>
      </c>
      <c r="B148" s="93" t="s">
        <v>35</v>
      </c>
      <c r="C148" s="94">
        <v>0.9556</v>
      </c>
      <c r="D148" s="95" t="s">
        <v>261</v>
      </c>
      <c r="E148" s="96"/>
      <c r="F148" s="96"/>
      <c r="G148" s="97">
        <v>608</v>
      </c>
      <c r="H148" s="98">
        <f t="shared" si="11"/>
        <v>26.995199999999954</v>
      </c>
      <c r="I148" s="99">
        <f t="shared" si="1"/>
        <v>1484.7359999999976</v>
      </c>
      <c r="J148" s="100">
        <f t="shared" si="10"/>
        <v>30.399999999999977</v>
      </c>
      <c r="K148" s="101">
        <f t="shared" si="2"/>
        <v>3.4048000000000229</v>
      </c>
    </row>
    <row r="149" spans="1:11" ht="12.75" x14ac:dyDescent="0.2">
      <c r="A149" s="92">
        <v>45714</v>
      </c>
      <c r="B149" s="93" t="s">
        <v>37</v>
      </c>
      <c r="C149" s="94">
        <v>0.95720000000000005</v>
      </c>
      <c r="D149" s="95" t="s">
        <v>261</v>
      </c>
      <c r="E149" s="96"/>
      <c r="F149" s="96"/>
      <c r="G149" s="97">
        <v>608</v>
      </c>
      <c r="H149" s="98">
        <f t="shared" si="11"/>
        <v>26.022399999999948</v>
      </c>
      <c r="I149" s="99">
        <f t="shared" si="1"/>
        <v>1431.2319999999972</v>
      </c>
      <c r="J149" s="100">
        <f t="shared" si="10"/>
        <v>30.399999999999977</v>
      </c>
      <c r="K149" s="101">
        <f t="shared" si="2"/>
        <v>4.3776000000000295</v>
      </c>
    </row>
    <row r="150" spans="1:11" ht="12.75" x14ac:dyDescent="0.2">
      <c r="A150" s="92">
        <v>45715</v>
      </c>
      <c r="B150" s="93" t="s">
        <v>39</v>
      </c>
      <c r="C150" s="94">
        <v>0.9506</v>
      </c>
      <c r="D150" s="95" t="s">
        <v>261</v>
      </c>
      <c r="E150" s="96"/>
      <c r="F150" s="96"/>
      <c r="G150" s="97">
        <v>607</v>
      </c>
      <c r="H150" s="98">
        <f t="shared" si="11"/>
        <v>29.98580000000004</v>
      </c>
      <c r="I150" s="99">
        <f t="shared" si="1"/>
        <v>1649.2190000000023</v>
      </c>
      <c r="J150" s="100">
        <f t="shared" si="10"/>
        <v>30.350000000000023</v>
      </c>
      <c r="K150" s="101">
        <f t="shared" si="2"/>
        <v>0.36419999999998254</v>
      </c>
    </row>
    <row r="151" spans="1:11" ht="12.75" x14ac:dyDescent="0.2">
      <c r="A151" s="92">
        <v>45716</v>
      </c>
      <c r="B151" s="93" t="s">
        <v>41</v>
      </c>
      <c r="C151" s="94">
        <v>0.93569999999999998</v>
      </c>
      <c r="D151" s="95" t="s">
        <v>261</v>
      </c>
      <c r="E151" s="96"/>
      <c r="F151" s="96"/>
      <c r="G151" s="97">
        <v>607</v>
      </c>
      <c r="H151" s="98">
        <f t="shared" si="11"/>
        <v>39.030100000000061</v>
      </c>
      <c r="I151" s="99">
        <f t="shared" si="1"/>
        <v>2146.6555000000035</v>
      </c>
      <c r="J151" s="100">
        <f t="shared" si="10"/>
        <v>30.350000000000023</v>
      </c>
      <c r="K151" s="101">
        <f t="shared" si="2"/>
        <v>-8.6801000000000386</v>
      </c>
    </row>
    <row r="152" spans="1:11" ht="12.75" x14ac:dyDescent="0.2">
      <c r="A152" s="92">
        <v>45719</v>
      </c>
      <c r="B152" s="93" t="s">
        <v>33</v>
      </c>
      <c r="C152" s="94">
        <v>0.95369999999999999</v>
      </c>
      <c r="D152" s="95" t="s">
        <v>261</v>
      </c>
      <c r="E152" s="96"/>
      <c r="F152" s="96"/>
      <c r="G152" s="97">
        <v>605</v>
      </c>
      <c r="H152" s="98">
        <f t="shared" si="11"/>
        <v>28.011499999999955</v>
      </c>
      <c r="I152" s="99">
        <f t="shared" si="1"/>
        <v>1540.6324999999974</v>
      </c>
      <c r="J152" s="100">
        <f t="shared" si="10"/>
        <v>30.25</v>
      </c>
      <c r="K152" s="101">
        <f t="shared" si="2"/>
        <v>2.2385000000000446</v>
      </c>
    </row>
    <row r="153" spans="1:11" ht="12.75" x14ac:dyDescent="0.2">
      <c r="A153" s="92">
        <v>45720</v>
      </c>
      <c r="B153" s="93" t="s">
        <v>35</v>
      </c>
      <c r="C153" s="94">
        <v>0.94550000000000001</v>
      </c>
      <c r="D153" s="95" t="s">
        <v>261</v>
      </c>
      <c r="E153" s="96"/>
      <c r="F153" s="96"/>
      <c r="G153" s="97">
        <v>605</v>
      </c>
      <c r="H153" s="98">
        <f t="shared" si="11"/>
        <v>32.972499999999968</v>
      </c>
      <c r="I153" s="99">
        <f t="shared" si="1"/>
        <v>1813.4874999999984</v>
      </c>
      <c r="J153" s="100">
        <f t="shared" si="10"/>
        <v>30.25</v>
      </c>
      <c r="K153" s="101">
        <f t="shared" si="2"/>
        <v>-2.7224999999999682</v>
      </c>
    </row>
    <row r="154" spans="1:11" ht="12.75" x14ac:dyDescent="0.2">
      <c r="A154" s="92">
        <v>45721</v>
      </c>
      <c r="B154" s="93" t="s">
        <v>37</v>
      </c>
      <c r="C154" s="94">
        <v>0.95860000000000001</v>
      </c>
      <c r="D154" s="95" t="s">
        <v>261</v>
      </c>
      <c r="E154" s="96"/>
      <c r="F154" s="96"/>
      <c r="G154" s="97">
        <v>604</v>
      </c>
      <c r="H154" s="98">
        <f t="shared" si="11"/>
        <v>25.005599999999959</v>
      </c>
      <c r="I154" s="99">
        <f t="shared" si="1"/>
        <v>1375.3079999999977</v>
      </c>
      <c r="J154" s="100">
        <f t="shared" si="10"/>
        <v>30.200000000000045</v>
      </c>
      <c r="K154" s="101">
        <f t="shared" si="2"/>
        <v>5.1944000000000869</v>
      </c>
    </row>
    <row r="155" spans="1:11" ht="12.75" x14ac:dyDescent="0.2">
      <c r="A155" s="92">
        <v>45722</v>
      </c>
      <c r="B155" s="93" t="s">
        <v>39</v>
      </c>
      <c r="C155" s="94">
        <v>0.96189999999999998</v>
      </c>
      <c r="D155" s="95" t="s">
        <v>261</v>
      </c>
      <c r="E155" s="96"/>
      <c r="F155" s="96"/>
      <c r="G155" s="97">
        <v>604</v>
      </c>
      <c r="H155" s="98">
        <f t="shared" si="11"/>
        <v>23.012400000000071</v>
      </c>
      <c r="I155" s="99">
        <f t="shared" si="1"/>
        <v>1265.6820000000039</v>
      </c>
      <c r="J155" s="100">
        <f t="shared" si="10"/>
        <v>30.200000000000045</v>
      </c>
      <c r="K155" s="101">
        <f t="shared" si="2"/>
        <v>7.1875999999999749</v>
      </c>
    </row>
    <row r="156" spans="1:11" ht="12.75" x14ac:dyDescent="0.2">
      <c r="A156" s="92">
        <v>45723</v>
      </c>
      <c r="B156" s="93" t="s">
        <v>41</v>
      </c>
      <c r="C156" s="94">
        <v>0.94210000000000005</v>
      </c>
      <c r="D156" s="95" t="s">
        <v>261</v>
      </c>
      <c r="E156" s="96"/>
      <c r="F156" s="96"/>
      <c r="G156" s="97">
        <v>604</v>
      </c>
      <c r="H156" s="98">
        <f t="shared" si="11"/>
        <v>34.971599999999967</v>
      </c>
      <c r="I156" s="99">
        <f t="shared" si="1"/>
        <v>1923.4379999999983</v>
      </c>
      <c r="J156" s="100">
        <f t="shared" si="10"/>
        <v>30.200000000000045</v>
      </c>
      <c r="K156" s="101">
        <f t="shared" si="2"/>
        <v>-4.7715999999999212</v>
      </c>
    </row>
    <row r="157" spans="1:11" ht="12.75" x14ac:dyDescent="0.2">
      <c r="A157" s="123">
        <v>45726</v>
      </c>
      <c r="B157" s="124" t="s">
        <v>33</v>
      </c>
      <c r="C157" s="94">
        <v>0.89400000000000002</v>
      </c>
      <c r="D157" s="95" t="s">
        <v>263</v>
      </c>
      <c r="E157" s="96"/>
      <c r="F157" s="96"/>
      <c r="G157" s="97">
        <v>604</v>
      </c>
      <c r="H157" s="98">
        <f t="shared" si="11"/>
        <v>64.024000000000001</v>
      </c>
      <c r="I157" s="99">
        <f t="shared" si="1"/>
        <v>3521.32</v>
      </c>
      <c r="J157" s="100">
        <f t="shared" si="10"/>
        <v>30.200000000000045</v>
      </c>
      <c r="K157" s="101">
        <f t="shared" si="2"/>
        <v>-33.823999999999955</v>
      </c>
    </row>
    <row r="158" spans="1:11" ht="12.75" x14ac:dyDescent="0.2">
      <c r="A158" s="123">
        <v>45727</v>
      </c>
      <c r="B158" s="124" t="s">
        <v>35</v>
      </c>
      <c r="C158" s="94"/>
      <c r="D158" s="95"/>
      <c r="E158" s="96"/>
      <c r="F158" s="96"/>
      <c r="H158" s="98">
        <f t="shared" si="11"/>
        <v>0</v>
      </c>
      <c r="I158" s="99">
        <f t="shared" si="1"/>
        <v>0</v>
      </c>
      <c r="J158" s="100">
        <f t="shared" si="10"/>
        <v>0</v>
      </c>
      <c r="K158" s="101">
        <f t="shared" si="2"/>
        <v>0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11"/>
        <v>0</v>
      </c>
      <c r="I159" s="99">
        <f t="shared" si="1"/>
        <v>0</v>
      </c>
      <c r="J159" s="100">
        <f t="shared" si="10"/>
        <v>0</v>
      </c>
      <c r="K159" s="101">
        <f t="shared" si="2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11"/>
        <v>0</v>
      </c>
      <c r="I160" s="99">
        <f t="shared" si="1"/>
        <v>0</v>
      </c>
      <c r="J160" s="100">
        <f t="shared" si="10"/>
        <v>0</v>
      </c>
      <c r="K160" s="101">
        <f t="shared" si="2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11"/>
        <v>0</v>
      </c>
      <c r="I161" s="99">
        <f t="shared" si="1"/>
        <v>0</v>
      </c>
      <c r="J161" s="100">
        <f t="shared" si="10"/>
        <v>0</v>
      </c>
      <c r="K161" s="101">
        <f t="shared" si="2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11"/>
        <v>0</v>
      </c>
      <c r="I162" s="99">
        <f t="shared" si="1"/>
        <v>0</v>
      </c>
      <c r="J162" s="100">
        <f t="shared" si="10"/>
        <v>0</v>
      </c>
      <c r="K162" s="101">
        <f t="shared" si="2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11"/>
        <v>0</v>
      </c>
      <c r="I163" s="99">
        <f t="shared" si="1"/>
        <v>0</v>
      </c>
      <c r="J163" s="100">
        <f t="shared" si="10"/>
        <v>0</v>
      </c>
      <c r="K163" s="101">
        <f t="shared" si="2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11"/>
        <v>0</v>
      </c>
      <c r="I164" s="99">
        <f t="shared" si="1"/>
        <v>0</v>
      </c>
      <c r="J164" s="100">
        <f t="shared" si="10"/>
        <v>0</v>
      </c>
      <c r="K164" s="101">
        <f t="shared" si="2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11"/>
        <v>0</v>
      </c>
      <c r="I165" s="99">
        <f t="shared" si="1"/>
        <v>0</v>
      </c>
      <c r="J165" s="100">
        <f t="shared" si="10"/>
        <v>0</v>
      </c>
      <c r="K165" s="101">
        <f t="shared" si="2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11"/>
        <v>0</v>
      </c>
      <c r="I166" s="99">
        <f t="shared" si="1"/>
        <v>0</v>
      </c>
      <c r="J166" s="100">
        <f t="shared" si="10"/>
        <v>0</v>
      </c>
      <c r="K166" s="101">
        <f t="shared" si="2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11"/>
        <v>0</v>
      </c>
      <c r="I167" s="99">
        <f t="shared" si="1"/>
        <v>0</v>
      </c>
      <c r="J167" s="100">
        <f t="shared" si="10"/>
        <v>0</v>
      </c>
      <c r="K167" s="101">
        <f t="shared" si="2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11"/>
        <v>0</v>
      </c>
      <c r="I168" s="99">
        <f t="shared" si="1"/>
        <v>0</v>
      </c>
      <c r="J168" s="100">
        <f t="shared" si="10"/>
        <v>0</v>
      </c>
      <c r="K168" s="101">
        <f t="shared" si="2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11"/>
        <v>0</v>
      </c>
      <c r="I169" s="99">
        <f t="shared" si="1"/>
        <v>0</v>
      </c>
      <c r="J169" s="100">
        <f t="shared" si="10"/>
        <v>0</v>
      </c>
      <c r="K169" s="101">
        <f t="shared" si="2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11"/>
        <v>0</v>
      </c>
      <c r="I170" s="99">
        <f t="shared" si="1"/>
        <v>0</v>
      </c>
      <c r="J170" s="100">
        <f t="shared" si="10"/>
        <v>0</v>
      </c>
      <c r="K170" s="101">
        <f t="shared" si="2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11"/>
        <v>0</v>
      </c>
      <c r="I171" s="99">
        <f t="shared" si="1"/>
        <v>0</v>
      </c>
      <c r="J171" s="100">
        <f t="shared" si="10"/>
        <v>0</v>
      </c>
      <c r="K171" s="101">
        <f t="shared" si="2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11"/>
        <v>0</v>
      </c>
      <c r="I172" s="99">
        <f t="shared" si="1"/>
        <v>0</v>
      </c>
      <c r="J172" s="100">
        <f t="shared" si="10"/>
        <v>0</v>
      </c>
      <c r="K172" s="101">
        <f t="shared" si="2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11"/>
        <v>0</v>
      </c>
      <c r="I173" s="99">
        <f t="shared" si="1"/>
        <v>0</v>
      </c>
      <c r="J173" s="100">
        <f t="shared" si="10"/>
        <v>0</v>
      </c>
      <c r="K173" s="101">
        <f t="shared" si="2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11"/>
        <v>0</v>
      </c>
      <c r="I174" s="99">
        <f t="shared" si="1"/>
        <v>0</v>
      </c>
      <c r="J174" s="100">
        <f t="shared" si="10"/>
        <v>0</v>
      </c>
      <c r="K174" s="101">
        <f t="shared" si="2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11"/>
        <v>0</v>
      </c>
      <c r="I175" s="99">
        <f t="shared" si="1"/>
        <v>0</v>
      </c>
      <c r="J175" s="100">
        <f t="shared" si="10"/>
        <v>0</v>
      </c>
      <c r="K175" s="101">
        <f t="shared" si="2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11"/>
        <v>0</v>
      </c>
      <c r="I176" s="99">
        <f t="shared" si="1"/>
        <v>0</v>
      </c>
      <c r="J176" s="100">
        <f t="shared" si="10"/>
        <v>0</v>
      </c>
      <c r="K176" s="101">
        <f t="shared" si="2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11"/>
        <v>0</v>
      </c>
      <c r="I177" s="99">
        <f t="shared" si="1"/>
        <v>0</v>
      </c>
      <c r="J177" s="100">
        <f t="shared" si="10"/>
        <v>0</v>
      </c>
      <c r="K177" s="101">
        <f t="shared" si="2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11"/>
        <v>0</v>
      </c>
      <c r="I178" s="99">
        <f t="shared" si="1"/>
        <v>0</v>
      </c>
      <c r="J178" s="100">
        <f t="shared" si="10"/>
        <v>0</v>
      </c>
      <c r="K178" s="101">
        <f t="shared" si="2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11"/>
        <v>0</v>
      </c>
      <c r="I179" s="99">
        <f t="shared" si="1"/>
        <v>0</v>
      </c>
      <c r="J179" s="100">
        <f t="shared" si="10"/>
        <v>0</v>
      </c>
      <c r="K179" s="101">
        <f t="shared" si="2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11"/>
        <v>0</v>
      </c>
      <c r="I180" s="99">
        <f t="shared" si="1"/>
        <v>0</v>
      </c>
      <c r="J180" s="100">
        <f t="shared" si="10"/>
        <v>0</v>
      </c>
      <c r="K180" s="101">
        <f t="shared" si="2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11"/>
        <v>0</v>
      </c>
      <c r="I181" s="99">
        <f t="shared" si="1"/>
        <v>0</v>
      </c>
      <c r="J181" s="100">
        <f t="shared" si="10"/>
        <v>0</v>
      </c>
      <c r="K181" s="101">
        <f t="shared" si="2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11"/>
        <v>0</v>
      </c>
      <c r="I182" s="99">
        <f t="shared" si="1"/>
        <v>0</v>
      </c>
      <c r="J182" s="100">
        <f t="shared" si="10"/>
        <v>0</v>
      </c>
      <c r="K182" s="101">
        <f t="shared" si="2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11"/>
        <v>0</v>
      </c>
      <c r="I183" s="99">
        <f t="shared" si="1"/>
        <v>0</v>
      </c>
      <c r="J183" s="100">
        <f t="shared" si="10"/>
        <v>0</v>
      </c>
      <c r="K183" s="101">
        <f t="shared" si="2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11"/>
        <v>0</v>
      </c>
      <c r="I184" s="99">
        <f t="shared" si="1"/>
        <v>0</v>
      </c>
      <c r="J184" s="100">
        <f t="shared" si="10"/>
        <v>0</v>
      </c>
      <c r="K184" s="101">
        <f t="shared" si="2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11"/>
        <v>0</v>
      </c>
      <c r="I185" s="99">
        <f t="shared" si="1"/>
        <v>0</v>
      </c>
      <c r="J185" s="100">
        <f t="shared" si="10"/>
        <v>0</v>
      </c>
      <c r="K185" s="101">
        <f t="shared" si="2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11"/>
        <v>0</v>
      </c>
      <c r="I186" s="99">
        <f t="shared" si="1"/>
        <v>0</v>
      </c>
      <c r="J186" s="100">
        <f t="shared" si="10"/>
        <v>0</v>
      </c>
      <c r="K186" s="101">
        <f t="shared" si="2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11"/>
        <v>0</v>
      </c>
      <c r="I187" s="99">
        <f t="shared" si="1"/>
        <v>0</v>
      </c>
      <c r="J187" s="100">
        <f t="shared" si="10"/>
        <v>0</v>
      </c>
      <c r="K187" s="101">
        <f t="shared" si="2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11"/>
        <v>0</v>
      </c>
      <c r="I188" s="99">
        <f t="shared" si="1"/>
        <v>0</v>
      </c>
      <c r="J188" s="100">
        <f t="shared" si="10"/>
        <v>0</v>
      </c>
      <c r="K188" s="101">
        <f t="shared" si="2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11"/>
        <v>0</v>
      </c>
      <c r="I189" s="99">
        <f t="shared" si="1"/>
        <v>0</v>
      </c>
      <c r="J189" s="100">
        <f t="shared" si="10"/>
        <v>0</v>
      </c>
      <c r="K189" s="101">
        <f t="shared" si="2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11"/>
        <v>0</v>
      </c>
      <c r="I190" s="99">
        <f t="shared" si="1"/>
        <v>0</v>
      </c>
      <c r="J190" s="100">
        <f t="shared" si="10"/>
        <v>0</v>
      </c>
      <c r="K190" s="101">
        <f t="shared" si="2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11"/>
        <v>0</v>
      </c>
      <c r="I191" s="99">
        <f t="shared" si="1"/>
        <v>0</v>
      </c>
      <c r="J191" s="100">
        <f t="shared" si="10"/>
        <v>0</v>
      </c>
      <c r="K191" s="101">
        <f t="shared" si="2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11"/>
        <v>0</v>
      </c>
      <c r="I192" s="99">
        <f t="shared" si="1"/>
        <v>0</v>
      </c>
      <c r="J192" s="100">
        <f t="shared" si="10"/>
        <v>0</v>
      </c>
      <c r="K192" s="101">
        <f t="shared" si="2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11"/>
        <v>0</v>
      </c>
      <c r="I193" s="99">
        <f t="shared" si="1"/>
        <v>0</v>
      </c>
      <c r="J193" s="100">
        <f t="shared" si="10"/>
        <v>0</v>
      </c>
      <c r="K193" s="101">
        <f t="shared" si="2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11"/>
        <v>0</v>
      </c>
      <c r="I194" s="99">
        <f t="shared" si="1"/>
        <v>0</v>
      </c>
      <c r="J194" s="100">
        <f t="shared" si="10"/>
        <v>0</v>
      </c>
      <c r="K194" s="101">
        <f t="shared" si="2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11"/>
        <v>0</v>
      </c>
      <c r="I195" s="99">
        <f t="shared" si="1"/>
        <v>0</v>
      </c>
      <c r="J195" s="100">
        <f t="shared" si="10"/>
        <v>0</v>
      </c>
      <c r="K195" s="101">
        <f t="shared" si="2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11"/>
        <v>0</v>
      </c>
      <c r="I196" s="99">
        <f t="shared" si="1"/>
        <v>0</v>
      </c>
      <c r="J196" s="100">
        <f t="shared" si="10"/>
        <v>0</v>
      </c>
      <c r="K196" s="101">
        <f t="shared" si="2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11"/>
        <v>0</v>
      </c>
      <c r="I197" s="99">
        <f t="shared" si="1"/>
        <v>0</v>
      </c>
      <c r="J197" s="100">
        <f t="shared" si="10"/>
        <v>0</v>
      </c>
      <c r="K197" s="101">
        <f t="shared" si="2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11"/>
        <v>0</v>
      </c>
      <c r="I198" s="99">
        <f t="shared" si="1"/>
        <v>0</v>
      </c>
      <c r="J198" s="100">
        <f t="shared" si="10"/>
        <v>0</v>
      </c>
      <c r="K198" s="101">
        <f t="shared" si="2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11"/>
        <v>0</v>
      </c>
      <c r="I199" s="99">
        <f t="shared" si="1"/>
        <v>0</v>
      </c>
      <c r="J199" s="100">
        <f t="shared" si="10"/>
        <v>0</v>
      </c>
      <c r="K199" s="101">
        <f t="shared" si="2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11"/>
        <v>0</v>
      </c>
      <c r="I200" s="99">
        <f t="shared" si="1"/>
        <v>0</v>
      </c>
      <c r="J200" s="100">
        <f t="shared" si="10"/>
        <v>0</v>
      </c>
      <c r="K200" s="101">
        <f t="shared" si="2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11"/>
        <v>0</v>
      </c>
      <c r="I201" s="99">
        <f t="shared" si="1"/>
        <v>0</v>
      </c>
      <c r="J201" s="100">
        <f t="shared" si="10"/>
        <v>0</v>
      </c>
      <c r="K201" s="101">
        <f t="shared" si="2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11"/>
        <v>0</v>
      </c>
      <c r="I202" s="99">
        <f t="shared" si="1"/>
        <v>0</v>
      </c>
      <c r="J202" s="100">
        <f t="shared" si="10"/>
        <v>0</v>
      </c>
      <c r="K202" s="101">
        <f t="shared" si="2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11"/>
        <v>0</v>
      </c>
      <c r="I203" s="99">
        <f t="shared" si="1"/>
        <v>0</v>
      </c>
      <c r="J203" s="100">
        <f t="shared" si="10"/>
        <v>0</v>
      </c>
      <c r="K203" s="101">
        <f t="shared" si="2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11"/>
        <v>0</v>
      </c>
      <c r="I204" s="99">
        <f t="shared" si="1"/>
        <v>0</v>
      </c>
      <c r="J204" s="100">
        <f t="shared" si="10"/>
        <v>0</v>
      </c>
      <c r="K204" s="101">
        <f t="shared" si="2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11"/>
        <v>0</v>
      </c>
      <c r="I205" s="99">
        <f t="shared" si="1"/>
        <v>0</v>
      </c>
      <c r="J205" s="100">
        <f t="shared" si="10"/>
        <v>0</v>
      </c>
      <c r="K205" s="101">
        <f t="shared" si="2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11"/>
        <v>0</v>
      </c>
      <c r="I206" s="99">
        <f t="shared" si="1"/>
        <v>0</v>
      </c>
      <c r="J206" s="100">
        <f t="shared" si="10"/>
        <v>0</v>
      </c>
      <c r="K206" s="101">
        <f t="shared" si="2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11"/>
        <v>0</v>
      </c>
      <c r="I207" s="99">
        <f t="shared" si="1"/>
        <v>0</v>
      </c>
      <c r="J207" s="100">
        <f t="shared" si="10"/>
        <v>0</v>
      </c>
      <c r="K207" s="101">
        <f t="shared" si="2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11"/>
        <v>0</v>
      </c>
      <c r="I208" s="99">
        <f t="shared" si="1"/>
        <v>0</v>
      </c>
      <c r="J208" s="100">
        <f t="shared" si="10"/>
        <v>0</v>
      </c>
      <c r="K208" s="101">
        <f t="shared" si="2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11"/>
        <v>0</v>
      </c>
      <c r="I209" s="99">
        <f t="shared" si="1"/>
        <v>0</v>
      </c>
      <c r="J209" s="100">
        <f t="shared" si="10"/>
        <v>0</v>
      </c>
      <c r="K209" s="101">
        <f t="shared" si="2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11"/>
        <v>0</v>
      </c>
      <c r="I210" s="99">
        <f t="shared" si="1"/>
        <v>0</v>
      </c>
      <c r="J210" s="100">
        <f t="shared" si="10"/>
        <v>0</v>
      </c>
      <c r="K210" s="101">
        <f t="shared" si="2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11"/>
        <v>0</v>
      </c>
      <c r="I211" s="99">
        <f t="shared" si="1"/>
        <v>0</v>
      </c>
      <c r="J211" s="100">
        <f t="shared" si="10"/>
        <v>0</v>
      </c>
      <c r="K211" s="101">
        <f t="shared" si="2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11"/>
        <v>0</v>
      </c>
      <c r="I212" s="99">
        <f t="shared" si="1"/>
        <v>0</v>
      </c>
      <c r="J212" s="100">
        <f t="shared" si="10"/>
        <v>0</v>
      </c>
      <c r="K212" s="101">
        <f t="shared" si="2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11"/>
        <v>0</v>
      </c>
      <c r="I213" s="99">
        <f t="shared" si="1"/>
        <v>0</v>
      </c>
      <c r="J213" s="100">
        <f t="shared" si="10"/>
        <v>0</v>
      </c>
      <c r="K213" s="101">
        <f t="shared" si="2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11"/>
        <v>0</v>
      </c>
      <c r="I214" s="99">
        <f t="shared" si="1"/>
        <v>0</v>
      </c>
      <c r="J214" s="100">
        <f t="shared" si="10"/>
        <v>0</v>
      </c>
      <c r="K214" s="101">
        <f t="shared" si="2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11"/>
        <v>0</v>
      </c>
      <c r="I215" s="99">
        <f t="shared" si="1"/>
        <v>0</v>
      </c>
      <c r="J215" s="100">
        <f t="shared" si="10"/>
        <v>0</v>
      </c>
      <c r="K215" s="101">
        <f t="shared" si="2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6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1 C7:C215">
    <cfRule type="cellIs" dxfId="40" priority="1" operator="lessThan">
      <formula>"90%"</formula>
    </cfRule>
    <cfRule type="cellIs" dxfId="39" priority="2" operator="lessThan">
      <formula>"94%"</formula>
    </cfRule>
  </conditionalFormatting>
  <conditionalFormatting sqref="C6:C853">
    <cfRule type="cellIs" dxfId="38" priority="4" operator="lessThan">
      <formula>"92%"</formula>
    </cfRule>
  </conditionalFormatting>
  <conditionalFormatting sqref="K1:K853">
    <cfRule type="cellIs" dxfId="37" priority="3" operator="lessThan">
      <formula>0</formula>
    </cfRule>
  </conditionalFormatting>
  <dataValidations count="1">
    <dataValidation type="list" allowBlank="1" sqref="E7:E215" xr:uid="{00000000-0002-0000-06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outlinePr summaryBelow="0" summaryRight="0"/>
    <pageSetUpPr fitToPage="1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0" t="s">
        <v>305</v>
      </c>
      <c r="B1" s="80"/>
      <c r="C1" s="80"/>
      <c r="D1" s="80"/>
      <c r="E1" s="80"/>
      <c r="F1" s="80"/>
      <c r="G1" s="80"/>
      <c r="H1" s="81"/>
      <c r="I1" s="81"/>
      <c r="J1" s="82"/>
      <c r="K1" s="135" t="e">
        <f>SUM(K7:K215)</f>
        <v>#REF!</v>
      </c>
    </row>
    <row r="2" spans="1:11" x14ac:dyDescent="0.25">
      <c r="A2" s="242" t="s">
        <v>306</v>
      </c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307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127930.14850000001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89" t="s">
        <v>222</v>
      </c>
      <c r="I6" s="90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282</v>
      </c>
      <c r="E7" s="96"/>
      <c r="F7" s="96"/>
      <c r="G7" s="97">
        <v>486</v>
      </c>
      <c r="H7" s="98">
        <f t="shared" ref="H7:H132" si="0">G7-(C7*G7)</f>
        <v>0</v>
      </c>
      <c r="I7" s="99">
        <f t="shared" ref="I7:I215" si="1">H7*$H$5</f>
        <v>0</v>
      </c>
      <c r="J7" s="100">
        <v>0</v>
      </c>
      <c r="K7" s="101">
        <f t="shared" ref="K7:K215" si="2">J7-H7</f>
        <v>0</v>
      </c>
    </row>
    <row r="8" spans="1:11" ht="12.75" x14ac:dyDescent="0.2">
      <c r="A8" s="92">
        <v>45517</v>
      </c>
      <c r="B8" s="93" t="s">
        <v>35</v>
      </c>
      <c r="C8" s="94">
        <v>0.998</v>
      </c>
      <c r="D8" s="95" t="s">
        <v>282</v>
      </c>
      <c r="E8" s="96"/>
      <c r="F8" s="96"/>
      <c r="G8" s="97">
        <v>501</v>
      </c>
      <c r="H8" s="98">
        <f t="shared" si="0"/>
        <v>1.0020000000000095</v>
      </c>
      <c r="I8" s="99">
        <f t="shared" si="1"/>
        <v>55.110000000000525</v>
      </c>
      <c r="J8" s="100">
        <f t="shared" ref="J8:J132" si="3">G8-(G8*J$3)</f>
        <v>25.050000000000011</v>
      </c>
      <c r="K8" s="101">
        <f t="shared" si="2"/>
        <v>24.048000000000002</v>
      </c>
    </row>
    <row r="9" spans="1:11" ht="12.75" x14ac:dyDescent="0.2">
      <c r="A9" s="92">
        <v>45518</v>
      </c>
      <c r="B9" s="93" t="s">
        <v>37</v>
      </c>
      <c r="C9" s="94">
        <v>0.99419999999999997</v>
      </c>
      <c r="D9" s="95" t="s">
        <v>226</v>
      </c>
      <c r="E9" s="96"/>
      <c r="F9" s="96"/>
      <c r="G9" s="97">
        <v>514</v>
      </c>
      <c r="H9" s="98">
        <f t="shared" si="0"/>
        <v>2.9812000000000012</v>
      </c>
      <c r="I9" s="99">
        <f t="shared" si="1"/>
        <v>163.96600000000007</v>
      </c>
      <c r="J9" s="100">
        <f t="shared" si="3"/>
        <v>25.700000000000045</v>
      </c>
      <c r="K9" s="101">
        <f t="shared" si="2"/>
        <v>22.718800000000044</v>
      </c>
    </row>
    <row r="10" spans="1:11" ht="25.5" x14ac:dyDescent="0.2">
      <c r="A10" s="103">
        <v>45519</v>
      </c>
      <c r="B10" s="104" t="s">
        <v>39</v>
      </c>
      <c r="C10" s="105"/>
      <c r="D10" s="106"/>
      <c r="E10" s="107"/>
      <c r="F10" s="107" t="s">
        <v>308</v>
      </c>
      <c r="G10" s="108"/>
      <c r="H10" s="98">
        <f t="shared" si="0"/>
        <v>0</v>
      </c>
      <c r="I10" s="99">
        <f t="shared" si="1"/>
        <v>0</v>
      </c>
      <c r="J10" s="100">
        <f t="shared" si="3"/>
        <v>0</v>
      </c>
      <c r="K10" s="101">
        <f t="shared" si="2"/>
        <v>0</v>
      </c>
    </row>
    <row r="11" spans="1:11" ht="12.75" x14ac:dyDescent="0.2">
      <c r="A11" s="92">
        <v>45520</v>
      </c>
      <c r="B11" s="93" t="s">
        <v>41</v>
      </c>
      <c r="C11" s="94">
        <v>0.97109999999999996</v>
      </c>
      <c r="D11" s="95" t="s">
        <v>282</v>
      </c>
      <c r="E11" s="96"/>
      <c r="F11" s="96"/>
      <c r="G11" s="97">
        <v>519</v>
      </c>
      <c r="H11" s="98">
        <f t="shared" si="0"/>
        <v>14.999099999999999</v>
      </c>
      <c r="I11" s="99">
        <f t="shared" si="1"/>
        <v>824.95049999999992</v>
      </c>
      <c r="J11" s="100">
        <f t="shared" si="3"/>
        <v>25.950000000000045</v>
      </c>
      <c r="K11" s="101">
        <f t="shared" si="2"/>
        <v>10.950900000000047</v>
      </c>
    </row>
    <row r="12" spans="1:11" ht="12.75" x14ac:dyDescent="0.2">
      <c r="A12" s="92">
        <v>45523</v>
      </c>
      <c r="B12" s="93" t="s">
        <v>33</v>
      </c>
      <c r="C12" s="94">
        <v>0.97709999999999997</v>
      </c>
      <c r="D12" s="95" t="s">
        <v>282</v>
      </c>
      <c r="E12" s="96"/>
      <c r="F12" s="96"/>
      <c r="G12" s="97">
        <v>524</v>
      </c>
      <c r="H12" s="98">
        <f t="shared" si="0"/>
        <v>11.999599999999987</v>
      </c>
      <c r="I12" s="99">
        <f t="shared" si="1"/>
        <v>659.97799999999927</v>
      </c>
      <c r="J12" s="100">
        <f t="shared" si="3"/>
        <v>26.200000000000045</v>
      </c>
      <c r="K12" s="101">
        <f t="shared" si="2"/>
        <v>14.200400000000059</v>
      </c>
    </row>
    <row r="13" spans="1:11" ht="12.75" x14ac:dyDescent="0.2">
      <c r="A13" s="92">
        <v>45524</v>
      </c>
      <c r="B13" s="93" t="s">
        <v>35</v>
      </c>
      <c r="C13" s="94">
        <v>0.97160000000000002</v>
      </c>
      <c r="D13" s="95" t="s">
        <v>282</v>
      </c>
      <c r="E13" s="96"/>
      <c r="F13" s="96"/>
      <c r="G13" s="97">
        <v>529</v>
      </c>
      <c r="H13" s="98">
        <f t="shared" si="0"/>
        <v>15.023599999999988</v>
      </c>
      <c r="I13" s="99">
        <f t="shared" si="1"/>
        <v>826.29799999999932</v>
      </c>
      <c r="J13" s="100">
        <f t="shared" si="3"/>
        <v>26.450000000000045</v>
      </c>
      <c r="K13" s="101">
        <f t="shared" si="2"/>
        <v>11.426400000000058</v>
      </c>
    </row>
    <row r="14" spans="1:11" ht="12.75" x14ac:dyDescent="0.2">
      <c r="A14" s="92">
        <v>45525</v>
      </c>
      <c r="B14" s="93" t="s">
        <v>37</v>
      </c>
      <c r="C14" s="94">
        <v>0.96599999999999997</v>
      </c>
      <c r="D14" s="95" t="s">
        <v>282</v>
      </c>
      <c r="E14" s="96"/>
      <c r="F14" s="96"/>
      <c r="G14" s="97">
        <v>530</v>
      </c>
      <c r="H14" s="98">
        <f t="shared" si="0"/>
        <v>18.020000000000039</v>
      </c>
      <c r="I14" s="99">
        <f t="shared" si="1"/>
        <v>991.10000000000218</v>
      </c>
      <c r="J14" s="100">
        <f t="shared" si="3"/>
        <v>26.5</v>
      </c>
      <c r="K14" s="101">
        <f t="shared" si="2"/>
        <v>8.4799999999999613</v>
      </c>
    </row>
    <row r="15" spans="1:11" ht="12.75" x14ac:dyDescent="0.2">
      <c r="A15" s="92">
        <v>45526</v>
      </c>
      <c r="B15" s="93" t="s">
        <v>39</v>
      </c>
      <c r="C15" s="94">
        <v>0.9718</v>
      </c>
      <c r="D15" s="95" t="s">
        <v>282</v>
      </c>
      <c r="E15" s="96"/>
      <c r="F15" s="96"/>
      <c r="G15" s="97">
        <v>531</v>
      </c>
      <c r="H15" s="98">
        <f t="shared" si="0"/>
        <v>14.974199999999996</v>
      </c>
      <c r="I15" s="99">
        <f t="shared" si="1"/>
        <v>823.58099999999979</v>
      </c>
      <c r="J15" s="100">
        <f t="shared" si="3"/>
        <v>26.550000000000011</v>
      </c>
      <c r="K15" s="101">
        <f t="shared" si="2"/>
        <v>11.575800000000015</v>
      </c>
    </row>
    <row r="16" spans="1:11" ht="12.75" x14ac:dyDescent="0.2">
      <c r="A16" s="92">
        <v>45527</v>
      </c>
      <c r="B16" s="93" t="s">
        <v>41</v>
      </c>
      <c r="C16" s="94">
        <v>0.94550000000000001</v>
      </c>
      <c r="D16" s="95" t="s">
        <v>282</v>
      </c>
      <c r="E16" s="96"/>
      <c r="F16" s="96"/>
      <c r="G16" s="97">
        <v>532</v>
      </c>
      <c r="H16" s="98">
        <f t="shared" si="0"/>
        <v>28.993999999999971</v>
      </c>
      <c r="I16" s="99">
        <f t="shared" si="1"/>
        <v>1594.6699999999985</v>
      </c>
      <c r="J16" s="100">
        <f t="shared" si="3"/>
        <v>26.600000000000023</v>
      </c>
      <c r="K16" s="101">
        <f t="shared" si="2"/>
        <v>-2.3939999999999486</v>
      </c>
    </row>
    <row r="17" spans="1:11" ht="12.75" x14ac:dyDescent="0.2">
      <c r="A17" s="92">
        <v>45530</v>
      </c>
      <c r="B17" s="93" t="s">
        <v>33</v>
      </c>
      <c r="C17" s="94">
        <v>0.93459999999999999</v>
      </c>
      <c r="D17" s="95" t="s">
        <v>282</v>
      </c>
      <c r="E17" s="96"/>
      <c r="F17" s="96"/>
      <c r="G17" s="97">
        <v>535</v>
      </c>
      <c r="H17" s="98">
        <f t="shared" si="0"/>
        <v>34.989000000000033</v>
      </c>
      <c r="I17" s="99">
        <f t="shared" si="1"/>
        <v>1924.3950000000018</v>
      </c>
      <c r="J17" s="100">
        <f t="shared" si="3"/>
        <v>26.75</v>
      </c>
      <c r="K17" s="101">
        <f t="shared" si="2"/>
        <v>-8.2390000000000327</v>
      </c>
    </row>
    <row r="18" spans="1:11" ht="12.75" x14ac:dyDescent="0.2">
      <c r="A18" s="92">
        <v>45531</v>
      </c>
      <c r="B18" s="93" t="s">
        <v>35</v>
      </c>
      <c r="C18" s="94">
        <v>0.95330000000000004</v>
      </c>
      <c r="D18" s="95" t="s">
        <v>282</v>
      </c>
      <c r="E18" s="96"/>
      <c r="F18" s="96"/>
      <c r="G18" s="97">
        <v>535</v>
      </c>
      <c r="H18" s="98">
        <f t="shared" si="0"/>
        <v>24.984499999999969</v>
      </c>
      <c r="I18" s="99">
        <f t="shared" si="1"/>
        <v>1374.1474999999982</v>
      </c>
      <c r="J18" s="100">
        <f t="shared" si="3"/>
        <v>26.75</v>
      </c>
      <c r="K18" s="101">
        <f t="shared" si="2"/>
        <v>1.7655000000000314</v>
      </c>
    </row>
    <row r="19" spans="1:11" ht="12.75" x14ac:dyDescent="0.2">
      <c r="A19" s="92">
        <v>45532</v>
      </c>
      <c r="B19" s="93" t="s">
        <v>37</v>
      </c>
      <c r="C19" s="94">
        <v>0.95720000000000005</v>
      </c>
      <c r="D19" s="95" t="s">
        <v>282</v>
      </c>
      <c r="E19" s="96"/>
      <c r="F19" s="102"/>
      <c r="G19" s="97">
        <v>538</v>
      </c>
      <c r="H19" s="98">
        <f t="shared" si="0"/>
        <v>23.026399999999967</v>
      </c>
      <c r="I19" s="99">
        <f t="shared" si="1"/>
        <v>1266.4519999999982</v>
      </c>
      <c r="J19" s="100">
        <f t="shared" si="3"/>
        <v>26.900000000000034</v>
      </c>
      <c r="K19" s="101">
        <f t="shared" si="2"/>
        <v>3.8736000000000672</v>
      </c>
    </row>
    <row r="20" spans="1:11" ht="12.75" x14ac:dyDescent="0.2">
      <c r="A20" s="92">
        <v>45533</v>
      </c>
      <c r="B20" s="93" t="s">
        <v>39</v>
      </c>
      <c r="C20" s="94">
        <v>0.95530000000000004</v>
      </c>
      <c r="D20" s="95" t="s">
        <v>282</v>
      </c>
      <c r="E20" s="96"/>
      <c r="F20" s="96"/>
      <c r="G20" s="97">
        <v>537</v>
      </c>
      <c r="H20" s="98">
        <f t="shared" si="0"/>
        <v>24.003899999999931</v>
      </c>
      <c r="I20" s="99">
        <f t="shared" si="1"/>
        <v>1320.2144999999962</v>
      </c>
      <c r="J20" s="100">
        <f t="shared" si="3"/>
        <v>26.850000000000023</v>
      </c>
      <c r="K20" s="101">
        <f t="shared" si="2"/>
        <v>2.8461000000000922</v>
      </c>
    </row>
    <row r="21" spans="1:11" ht="12.75" x14ac:dyDescent="0.2">
      <c r="A21" s="92">
        <v>45534</v>
      </c>
      <c r="B21" s="93" t="s">
        <v>41</v>
      </c>
      <c r="C21" s="94">
        <v>0.94589999999999996</v>
      </c>
      <c r="D21" s="95" t="s">
        <v>282</v>
      </c>
      <c r="E21" s="96"/>
      <c r="F21" s="96"/>
      <c r="G21" s="97">
        <v>536</v>
      </c>
      <c r="H21" s="98">
        <f t="shared" si="0"/>
        <v>28.997600000000034</v>
      </c>
      <c r="I21" s="99">
        <f t="shared" si="1"/>
        <v>1594.8680000000018</v>
      </c>
      <c r="J21" s="100">
        <f t="shared" si="3"/>
        <v>26.800000000000011</v>
      </c>
      <c r="K21" s="101">
        <f t="shared" si="2"/>
        <v>-2.1976000000000226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0.94930000000000003</v>
      </c>
      <c r="D23" s="95" t="s">
        <v>282</v>
      </c>
      <c r="E23" s="96"/>
      <c r="F23" s="96"/>
      <c r="G23" s="97">
        <v>533</v>
      </c>
      <c r="H23" s="98">
        <f t="shared" si="0"/>
        <v>27.023099999999999</v>
      </c>
      <c r="I23" s="99">
        <f t="shared" si="1"/>
        <v>1486.2705000000001</v>
      </c>
      <c r="J23" s="100">
        <f t="shared" si="3"/>
        <v>26.650000000000034</v>
      </c>
      <c r="K23" s="101">
        <f t="shared" si="2"/>
        <v>-0.37309999999996535</v>
      </c>
    </row>
    <row r="24" spans="1:11" ht="12.75" x14ac:dyDescent="0.2">
      <c r="A24" s="92">
        <v>45539</v>
      </c>
      <c r="B24" s="93" t="s">
        <v>37</v>
      </c>
      <c r="C24" s="94">
        <v>0.96050000000000002</v>
      </c>
      <c r="D24" s="95" t="s">
        <v>282</v>
      </c>
      <c r="E24" s="96"/>
      <c r="F24" s="96"/>
      <c r="G24" s="97">
        <v>532</v>
      </c>
      <c r="H24" s="98">
        <f t="shared" si="0"/>
        <v>21.01400000000001</v>
      </c>
      <c r="I24" s="99">
        <f t="shared" si="1"/>
        <v>1155.7700000000004</v>
      </c>
      <c r="J24" s="100">
        <f t="shared" si="3"/>
        <v>26.600000000000023</v>
      </c>
      <c r="K24" s="101">
        <f t="shared" si="2"/>
        <v>5.5860000000000127</v>
      </c>
    </row>
    <row r="25" spans="1:11" ht="12.75" x14ac:dyDescent="0.2">
      <c r="A25" s="92">
        <v>45540</v>
      </c>
      <c r="B25" s="93" t="s">
        <v>39</v>
      </c>
      <c r="C25" s="94">
        <v>0.95860000000000001</v>
      </c>
      <c r="D25" s="95" t="s">
        <v>282</v>
      </c>
      <c r="E25" s="96"/>
      <c r="F25" s="96"/>
      <c r="G25" s="97">
        <v>532</v>
      </c>
      <c r="H25" s="98">
        <f t="shared" si="0"/>
        <v>22.024799999999971</v>
      </c>
      <c r="I25" s="99">
        <f t="shared" si="1"/>
        <v>1211.3639999999984</v>
      </c>
      <c r="J25" s="100">
        <f t="shared" si="3"/>
        <v>26.600000000000023</v>
      </c>
      <c r="K25" s="101">
        <f t="shared" si="2"/>
        <v>4.5752000000000521</v>
      </c>
    </row>
    <row r="26" spans="1:11" ht="12.75" x14ac:dyDescent="0.2">
      <c r="A26" s="92">
        <v>45541</v>
      </c>
      <c r="B26" s="93" t="s">
        <v>41</v>
      </c>
      <c r="C26" s="94">
        <v>0.91930000000000001</v>
      </c>
      <c r="D26" s="95" t="s">
        <v>282</v>
      </c>
      <c r="E26" s="96"/>
      <c r="F26" s="96"/>
      <c r="G26" s="97">
        <v>533</v>
      </c>
      <c r="H26" s="98">
        <f t="shared" si="0"/>
        <v>43.013100000000009</v>
      </c>
      <c r="I26" s="99">
        <f t="shared" si="1"/>
        <v>2365.7205000000004</v>
      </c>
      <c r="J26" s="100">
        <f t="shared" si="3"/>
        <v>26.650000000000034</v>
      </c>
      <c r="K26" s="101">
        <f t="shared" si="2"/>
        <v>-16.363099999999974</v>
      </c>
    </row>
    <row r="27" spans="1:11" ht="12.75" x14ac:dyDescent="0.2">
      <c r="A27" s="92">
        <v>45544</v>
      </c>
      <c r="B27" s="93" t="s">
        <v>33</v>
      </c>
      <c r="C27" s="94">
        <v>0.96060000000000001</v>
      </c>
      <c r="D27" s="95" t="s">
        <v>282</v>
      </c>
      <c r="E27" s="96"/>
      <c r="F27" s="96"/>
      <c r="G27" s="97">
        <v>533</v>
      </c>
      <c r="H27" s="98">
        <f t="shared" si="0"/>
        <v>21.000200000000007</v>
      </c>
      <c r="I27" s="99">
        <f t="shared" si="1"/>
        <v>1155.0110000000004</v>
      </c>
      <c r="J27" s="100">
        <f t="shared" si="3"/>
        <v>26.650000000000034</v>
      </c>
      <c r="K27" s="101">
        <f t="shared" si="2"/>
        <v>5.6498000000000275</v>
      </c>
    </row>
    <row r="28" spans="1:11" ht="12.75" x14ac:dyDescent="0.2">
      <c r="A28" s="92">
        <v>45545</v>
      </c>
      <c r="B28" s="93" t="s">
        <v>35</v>
      </c>
      <c r="C28" s="94">
        <v>0.96060000000000001</v>
      </c>
      <c r="D28" s="95" t="s">
        <v>282</v>
      </c>
      <c r="E28" s="96"/>
      <c r="F28" s="96"/>
      <c r="G28" s="97">
        <v>533</v>
      </c>
      <c r="H28" s="98">
        <f t="shared" si="0"/>
        <v>21.000200000000007</v>
      </c>
      <c r="I28" s="99">
        <f t="shared" si="1"/>
        <v>1155.0110000000004</v>
      </c>
      <c r="J28" s="100">
        <f t="shared" si="3"/>
        <v>26.650000000000034</v>
      </c>
      <c r="K28" s="101">
        <f t="shared" si="2"/>
        <v>5.6498000000000275</v>
      </c>
    </row>
    <row r="29" spans="1:11" ht="12.75" x14ac:dyDescent="0.2">
      <c r="A29" s="92">
        <v>45546</v>
      </c>
      <c r="B29" s="93" t="s">
        <v>37</v>
      </c>
      <c r="C29" s="94">
        <v>0.9607</v>
      </c>
      <c r="D29" s="95" t="s">
        <v>282</v>
      </c>
      <c r="E29" s="96"/>
      <c r="F29" s="96"/>
      <c r="G29" s="97">
        <v>534</v>
      </c>
      <c r="H29" s="98">
        <f t="shared" si="0"/>
        <v>20.986200000000053</v>
      </c>
      <c r="I29" s="99">
        <f t="shared" si="1"/>
        <v>1154.2410000000029</v>
      </c>
      <c r="J29" s="100">
        <f t="shared" si="3"/>
        <v>26.700000000000045</v>
      </c>
      <c r="K29" s="101">
        <f t="shared" si="2"/>
        <v>5.713799999999992</v>
      </c>
    </row>
    <row r="30" spans="1:11" ht="12.75" x14ac:dyDescent="0.2">
      <c r="A30" s="92">
        <v>45547</v>
      </c>
      <c r="B30" s="93" t="s">
        <v>39</v>
      </c>
      <c r="C30" s="94">
        <v>0.96630000000000005</v>
      </c>
      <c r="D30" s="95" t="s">
        <v>282</v>
      </c>
      <c r="E30" s="96"/>
      <c r="F30" s="96"/>
      <c r="G30" s="97">
        <v>534</v>
      </c>
      <c r="H30" s="98">
        <f t="shared" si="0"/>
        <v>17.995800000000031</v>
      </c>
      <c r="I30" s="99">
        <f t="shared" si="1"/>
        <v>989.76900000000171</v>
      </c>
      <c r="J30" s="100">
        <f t="shared" si="3"/>
        <v>26.700000000000045</v>
      </c>
      <c r="K30" s="101">
        <f t="shared" si="2"/>
        <v>8.7042000000000144</v>
      </c>
    </row>
    <row r="31" spans="1:11" ht="12.75" x14ac:dyDescent="0.2">
      <c r="A31" s="92">
        <v>45548</v>
      </c>
      <c r="B31" s="93" t="s">
        <v>41</v>
      </c>
      <c r="C31" s="94">
        <v>0.94379999999999997</v>
      </c>
      <c r="D31" s="95" t="s">
        <v>282</v>
      </c>
      <c r="E31" s="96"/>
      <c r="F31" s="96"/>
      <c r="G31" s="97">
        <v>534</v>
      </c>
      <c r="H31" s="98">
        <f t="shared" si="0"/>
        <v>30.010800000000017</v>
      </c>
      <c r="I31" s="99">
        <f t="shared" si="1"/>
        <v>1650.594000000001</v>
      </c>
      <c r="J31" s="100">
        <f t="shared" si="3"/>
        <v>26.700000000000045</v>
      </c>
      <c r="K31" s="101">
        <f t="shared" si="2"/>
        <v>-3.310799999999972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0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0.9627</v>
      </c>
      <c r="D33" s="95" t="s">
        <v>282</v>
      </c>
      <c r="E33" s="96"/>
      <c r="F33" s="96"/>
      <c r="G33" s="97">
        <v>536</v>
      </c>
      <c r="H33" s="98">
        <f t="shared" si="0"/>
        <v>19.992799999999988</v>
      </c>
      <c r="I33" s="99">
        <f t="shared" si="1"/>
        <v>1099.6039999999994</v>
      </c>
      <c r="J33" s="100">
        <f t="shared" si="3"/>
        <v>26.800000000000011</v>
      </c>
      <c r="K33" s="101">
        <f t="shared" si="2"/>
        <v>6.807200000000023</v>
      </c>
    </row>
    <row r="34" spans="1:11" ht="12.75" x14ac:dyDescent="0.2">
      <c r="A34" s="92">
        <v>45553</v>
      </c>
      <c r="B34" s="93" t="s">
        <v>37</v>
      </c>
      <c r="C34" s="94">
        <v>0.97570000000000001</v>
      </c>
      <c r="D34" s="95" t="s">
        <v>282</v>
      </c>
      <c r="E34" s="96"/>
      <c r="F34" s="96"/>
      <c r="G34" s="97">
        <v>536</v>
      </c>
      <c r="H34" s="98">
        <f t="shared" si="0"/>
        <v>13.024800000000027</v>
      </c>
      <c r="I34" s="99">
        <f t="shared" si="1"/>
        <v>716.36400000000151</v>
      </c>
      <c r="J34" s="100">
        <f t="shared" si="3"/>
        <v>26.800000000000011</v>
      </c>
      <c r="K34" s="101">
        <f t="shared" si="2"/>
        <v>13.775199999999984</v>
      </c>
    </row>
    <row r="35" spans="1:11" ht="12.75" x14ac:dyDescent="0.2">
      <c r="A35" s="92">
        <v>45554</v>
      </c>
      <c r="B35" s="93" t="s">
        <v>39</v>
      </c>
      <c r="C35" s="94">
        <v>0.96830000000000005</v>
      </c>
      <c r="D35" s="95" t="s">
        <v>282</v>
      </c>
      <c r="E35" s="96"/>
      <c r="F35" s="96"/>
      <c r="G35" s="97">
        <v>536</v>
      </c>
      <c r="H35" s="98">
        <f t="shared" si="0"/>
        <v>16.991199999999935</v>
      </c>
      <c r="I35" s="99">
        <f t="shared" si="1"/>
        <v>934.51599999999644</v>
      </c>
      <c r="J35" s="100">
        <f t="shared" si="3"/>
        <v>26.800000000000011</v>
      </c>
      <c r="K35" s="101">
        <f t="shared" si="2"/>
        <v>9.8088000000000761</v>
      </c>
    </row>
    <row r="36" spans="1:11" ht="12.75" x14ac:dyDescent="0.2">
      <c r="A36" s="92">
        <v>45555</v>
      </c>
      <c r="B36" s="93" t="s">
        <v>41</v>
      </c>
      <c r="C36" s="94">
        <v>0.93659999999999999</v>
      </c>
      <c r="D36" s="95" t="s">
        <v>282</v>
      </c>
      <c r="E36" s="96"/>
      <c r="F36" s="96"/>
      <c r="G36" s="97">
        <v>536</v>
      </c>
      <c r="H36" s="98">
        <f t="shared" si="0"/>
        <v>33.982399999999984</v>
      </c>
      <c r="I36" s="99">
        <f t="shared" si="1"/>
        <v>1869.0319999999992</v>
      </c>
      <c r="J36" s="100">
        <f t="shared" si="3"/>
        <v>26.800000000000011</v>
      </c>
      <c r="K36" s="101">
        <f t="shared" si="2"/>
        <v>-7.1823999999999728</v>
      </c>
    </row>
    <row r="37" spans="1:11" ht="12.75" x14ac:dyDescent="0.2">
      <c r="A37" s="92">
        <v>45558</v>
      </c>
      <c r="B37" s="93" t="s">
        <v>33</v>
      </c>
      <c r="C37" s="94">
        <v>0.94969999999999999</v>
      </c>
      <c r="D37" s="95" t="s">
        <v>282</v>
      </c>
      <c r="E37" s="96"/>
      <c r="F37" s="96"/>
      <c r="G37" s="97">
        <v>537</v>
      </c>
      <c r="H37" s="98">
        <f t="shared" si="0"/>
        <v>27.011099999999999</v>
      </c>
      <c r="I37" s="99">
        <f t="shared" si="1"/>
        <v>1485.6105</v>
      </c>
      <c r="J37" s="100">
        <f t="shared" si="3"/>
        <v>26.850000000000023</v>
      </c>
      <c r="K37" s="101">
        <f t="shared" si="2"/>
        <v>-0.16109999999997626</v>
      </c>
    </row>
    <row r="38" spans="1:11" ht="12.75" x14ac:dyDescent="0.2">
      <c r="A38" s="92">
        <v>45559</v>
      </c>
      <c r="B38" s="93" t="s">
        <v>35</v>
      </c>
      <c r="C38" s="94">
        <v>0.9516</v>
      </c>
      <c r="D38" s="95" t="s">
        <v>282</v>
      </c>
      <c r="E38" s="96"/>
      <c r="F38" s="96"/>
      <c r="G38" s="97">
        <v>537</v>
      </c>
      <c r="H38" s="98">
        <f t="shared" si="0"/>
        <v>25.990799999999979</v>
      </c>
      <c r="I38" s="99">
        <f t="shared" si="1"/>
        <v>1429.4939999999988</v>
      </c>
      <c r="J38" s="100">
        <f t="shared" si="3"/>
        <v>26.850000000000023</v>
      </c>
      <c r="K38" s="101">
        <f t="shared" si="2"/>
        <v>0.85920000000004393</v>
      </c>
    </row>
    <row r="39" spans="1:11" ht="12.75" x14ac:dyDescent="0.2">
      <c r="A39" s="92">
        <v>45560</v>
      </c>
      <c r="B39" s="93" t="s">
        <v>37</v>
      </c>
      <c r="C39" s="94">
        <v>0.97770000000000001</v>
      </c>
      <c r="D39" s="95" t="s">
        <v>282</v>
      </c>
      <c r="E39" s="96"/>
      <c r="F39" s="96"/>
      <c r="G39" s="97">
        <v>537</v>
      </c>
      <c r="H39" s="98">
        <f t="shared" si="0"/>
        <v>11.975099999999998</v>
      </c>
      <c r="I39" s="99">
        <f t="shared" si="1"/>
        <v>658.63049999999987</v>
      </c>
      <c r="J39" s="100">
        <f t="shared" si="3"/>
        <v>26.850000000000023</v>
      </c>
      <c r="K39" s="101">
        <f t="shared" si="2"/>
        <v>14.874900000000025</v>
      </c>
    </row>
    <row r="40" spans="1:11" ht="12.75" x14ac:dyDescent="0.2">
      <c r="A40" s="92">
        <v>45561</v>
      </c>
      <c r="B40" s="93" t="s">
        <v>39</v>
      </c>
      <c r="C40" s="94">
        <v>0.97019999999999995</v>
      </c>
      <c r="D40" s="95" t="s">
        <v>282</v>
      </c>
      <c r="E40" s="96"/>
      <c r="F40" s="96"/>
      <c r="G40" s="97">
        <v>537</v>
      </c>
      <c r="H40" s="98">
        <f t="shared" si="0"/>
        <v>16.002600000000029</v>
      </c>
      <c r="I40" s="99">
        <f t="shared" si="1"/>
        <v>880.14300000000162</v>
      </c>
      <c r="J40" s="100">
        <f t="shared" si="3"/>
        <v>26.850000000000023</v>
      </c>
      <c r="K40" s="101">
        <f t="shared" si="2"/>
        <v>10.847399999999993</v>
      </c>
    </row>
    <row r="41" spans="1:11" ht="12.75" x14ac:dyDescent="0.2">
      <c r="A41" s="92">
        <v>45562</v>
      </c>
      <c r="B41" s="93" t="s">
        <v>41</v>
      </c>
      <c r="C41" s="94">
        <v>0.93669999999999998</v>
      </c>
      <c r="D41" s="95" t="s">
        <v>282</v>
      </c>
      <c r="E41" s="96"/>
      <c r="F41" s="96"/>
      <c r="G41" s="97">
        <v>537</v>
      </c>
      <c r="H41" s="98">
        <f t="shared" si="0"/>
        <v>33.992099999999994</v>
      </c>
      <c r="I41" s="99">
        <f t="shared" si="1"/>
        <v>1869.5654999999997</v>
      </c>
      <c r="J41" s="100">
        <f t="shared" si="3"/>
        <v>26.850000000000023</v>
      </c>
      <c r="K41" s="101">
        <f t="shared" si="2"/>
        <v>-7.1420999999999708</v>
      </c>
    </row>
    <row r="42" spans="1:11" ht="12.75" x14ac:dyDescent="0.2">
      <c r="A42" s="92">
        <v>45565</v>
      </c>
      <c r="B42" s="93" t="s">
        <v>33</v>
      </c>
      <c r="C42" s="94">
        <v>0.94810000000000005</v>
      </c>
      <c r="D42" s="95" t="s">
        <v>282</v>
      </c>
      <c r="E42" s="96"/>
      <c r="F42" s="96"/>
      <c r="G42" s="97">
        <v>539</v>
      </c>
      <c r="H42" s="98">
        <f t="shared" si="0"/>
        <v>27.974099999999964</v>
      </c>
      <c r="I42" s="99">
        <f t="shared" si="1"/>
        <v>1538.5754999999981</v>
      </c>
      <c r="J42" s="100">
        <f t="shared" si="3"/>
        <v>26.950000000000045</v>
      </c>
      <c r="K42" s="101">
        <f t="shared" si="2"/>
        <v>-1.024099999999919</v>
      </c>
    </row>
    <row r="43" spans="1:11" ht="12.75" x14ac:dyDescent="0.2">
      <c r="A43" s="92">
        <v>45566</v>
      </c>
      <c r="B43" s="93" t="s">
        <v>35</v>
      </c>
      <c r="C43" s="94">
        <v>0.97219999999999995</v>
      </c>
      <c r="D43" s="95" t="s">
        <v>282</v>
      </c>
      <c r="E43" s="96"/>
      <c r="F43" s="96"/>
      <c r="G43" s="97">
        <v>539</v>
      </c>
      <c r="H43" s="98">
        <f t="shared" si="0"/>
        <v>14.984199999999987</v>
      </c>
      <c r="I43" s="99">
        <f t="shared" si="1"/>
        <v>824.13099999999929</v>
      </c>
      <c r="J43" s="100">
        <f t="shared" si="3"/>
        <v>26.950000000000045</v>
      </c>
      <c r="K43" s="101">
        <f t="shared" si="2"/>
        <v>11.965800000000058</v>
      </c>
    </row>
    <row r="44" spans="1:11" ht="12.75" x14ac:dyDescent="0.2">
      <c r="A44" s="92">
        <v>45567</v>
      </c>
      <c r="B44" s="93" t="s">
        <v>37</v>
      </c>
      <c r="C44" s="94">
        <v>0.97030000000000005</v>
      </c>
      <c r="D44" s="95" t="s">
        <v>282</v>
      </c>
      <c r="E44" s="96"/>
      <c r="F44" s="96"/>
      <c r="G44" s="97">
        <v>539</v>
      </c>
      <c r="H44" s="98">
        <f t="shared" si="0"/>
        <v>16.008299999999963</v>
      </c>
      <c r="I44" s="99">
        <f t="shared" si="1"/>
        <v>880.45649999999796</v>
      </c>
      <c r="J44" s="100">
        <f t="shared" si="3"/>
        <v>26.950000000000045</v>
      </c>
      <c r="K44" s="101">
        <f t="shared" si="2"/>
        <v>10.941700000000083</v>
      </c>
    </row>
    <row r="45" spans="1:11" ht="12.75" x14ac:dyDescent="0.2">
      <c r="A45" s="92">
        <v>45568</v>
      </c>
      <c r="B45" s="93" t="s">
        <v>39</v>
      </c>
      <c r="C45" s="94">
        <v>0.96660000000000001</v>
      </c>
      <c r="D45" s="95" t="s">
        <v>282</v>
      </c>
      <c r="E45" s="96"/>
      <c r="F45" s="96"/>
      <c r="G45" s="97">
        <v>539</v>
      </c>
      <c r="H45" s="98">
        <f t="shared" si="0"/>
        <v>18.002600000000029</v>
      </c>
      <c r="I45" s="99">
        <f t="shared" si="1"/>
        <v>990.14300000000162</v>
      </c>
      <c r="J45" s="100">
        <f t="shared" si="3"/>
        <v>26.950000000000045</v>
      </c>
      <c r="K45" s="101">
        <f t="shared" si="2"/>
        <v>8.947400000000016</v>
      </c>
    </row>
    <row r="46" spans="1:11" ht="12.75" x14ac:dyDescent="0.2">
      <c r="A46" s="92">
        <v>45569</v>
      </c>
      <c r="B46" s="93" t="s">
        <v>41</v>
      </c>
      <c r="C46" s="94">
        <v>0.92949999999999999</v>
      </c>
      <c r="D46" s="95" t="s">
        <v>282</v>
      </c>
      <c r="E46" s="96"/>
      <c r="F46" s="96"/>
      <c r="G46" s="97">
        <v>539</v>
      </c>
      <c r="H46" s="98">
        <f t="shared" si="0"/>
        <v>37.999500000000012</v>
      </c>
      <c r="I46" s="99">
        <f t="shared" si="1"/>
        <v>2089.9725000000008</v>
      </c>
      <c r="J46" s="100">
        <f t="shared" si="3"/>
        <v>26.950000000000045</v>
      </c>
      <c r="K46" s="101">
        <f t="shared" si="2"/>
        <v>-11.049499999999966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0"/>
        <v>0</v>
      </c>
      <c r="I47" s="99">
        <f t="shared" si="1"/>
        <v>0</v>
      </c>
      <c r="J47" s="100">
        <f t="shared" si="3"/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0"/>
        <v>0</v>
      </c>
      <c r="I48" s="99">
        <f t="shared" si="1"/>
        <v>0</v>
      </c>
      <c r="J48" s="100">
        <f t="shared" si="3"/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0"/>
        <v>0</v>
      </c>
      <c r="I49" s="99">
        <f t="shared" si="1"/>
        <v>0</v>
      </c>
      <c r="J49" s="100">
        <f t="shared" si="3"/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0"/>
        <v>0</v>
      </c>
      <c r="I50" s="99">
        <f t="shared" si="1"/>
        <v>0</v>
      </c>
      <c r="J50" s="100">
        <f t="shared" si="3"/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0"/>
        <v>0</v>
      </c>
      <c r="I51" s="99">
        <f t="shared" si="1"/>
        <v>0</v>
      </c>
      <c r="J51" s="100">
        <f t="shared" si="3"/>
        <v>0</v>
      </c>
      <c r="K51" s="101">
        <f t="shared" si="2"/>
        <v>0</v>
      </c>
    </row>
    <row r="52" spans="1:11" ht="12.75" x14ac:dyDescent="0.2">
      <c r="A52" s="92">
        <v>45579</v>
      </c>
      <c r="B52" s="93" t="s">
        <v>33</v>
      </c>
      <c r="C52" s="94">
        <v>0.93700000000000006</v>
      </c>
      <c r="D52" s="95" t="s">
        <v>282</v>
      </c>
      <c r="E52" s="96"/>
      <c r="F52" s="96"/>
      <c r="G52" s="97">
        <v>540</v>
      </c>
      <c r="H52" s="98">
        <f t="shared" si="0"/>
        <v>34.019999999999982</v>
      </c>
      <c r="I52" s="99">
        <f t="shared" si="1"/>
        <v>1871.099999999999</v>
      </c>
      <c r="J52" s="100">
        <f t="shared" si="3"/>
        <v>27</v>
      </c>
      <c r="K52" s="101">
        <f t="shared" si="2"/>
        <v>-7.0199999999999818</v>
      </c>
    </row>
    <row r="53" spans="1:11" ht="12.75" x14ac:dyDescent="0.2">
      <c r="A53" s="92">
        <v>45580</v>
      </c>
      <c r="B53" s="93" t="s">
        <v>35</v>
      </c>
      <c r="C53" s="94">
        <v>0.95369999999999999</v>
      </c>
      <c r="D53" s="95" t="s">
        <v>282</v>
      </c>
      <c r="E53" s="96"/>
      <c r="F53" s="96"/>
      <c r="G53" s="97">
        <v>540</v>
      </c>
      <c r="H53" s="98">
        <f t="shared" si="0"/>
        <v>25.001999999999953</v>
      </c>
      <c r="I53" s="99">
        <f t="shared" si="1"/>
        <v>1375.1099999999974</v>
      </c>
      <c r="J53" s="100">
        <f t="shared" si="3"/>
        <v>27</v>
      </c>
      <c r="K53" s="101">
        <f t="shared" si="2"/>
        <v>1.9980000000000473</v>
      </c>
    </row>
    <row r="54" spans="1:11" ht="12.75" x14ac:dyDescent="0.2">
      <c r="A54" s="92">
        <v>45581</v>
      </c>
      <c r="B54" s="93" t="s">
        <v>37</v>
      </c>
      <c r="C54" s="115">
        <v>0.96299999999999997</v>
      </c>
      <c r="D54" s="95" t="s">
        <v>282</v>
      </c>
      <c r="E54" s="96"/>
      <c r="F54" s="116"/>
      <c r="G54" s="97">
        <v>540</v>
      </c>
      <c r="H54" s="98">
        <f t="shared" si="0"/>
        <v>19.980000000000018</v>
      </c>
      <c r="I54" s="99">
        <f t="shared" si="1"/>
        <v>1098.900000000001</v>
      </c>
      <c r="J54" s="100">
        <f t="shared" si="3"/>
        <v>27</v>
      </c>
      <c r="K54" s="101">
        <f t="shared" si="2"/>
        <v>7.0199999999999818</v>
      </c>
    </row>
    <row r="55" spans="1:11" ht="12.75" x14ac:dyDescent="0.2">
      <c r="A55" s="92">
        <v>45582</v>
      </c>
      <c r="B55" s="93" t="s">
        <v>39</v>
      </c>
      <c r="C55" s="94">
        <v>0.95189999999999997</v>
      </c>
      <c r="D55" s="95" t="s">
        <v>282</v>
      </c>
      <c r="E55" s="96"/>
      <c r="F55" s="96"/>
      <c r="G55" s="97">
        <v>540</v>
      </c>
      <c r="H55" s="98">
        <f t="shared" si="0"/>
        <v>25.974000000000046</v>
      </c>
      <c r="I55" s="99">
        <f t="shared" si="1"/>
        <v>1428.5700000000024</v>
      </c>
      <c r="J55" s="100">
        <f t="shared" si="3"/>
        <v>27</v>
      </c>
      <c r="K55" s="101">
        <f t="shared" si="2"/>
        <v>1.0259999999999536</v>
      </c>
    </row>
    <row r="56" spans="1:11" ht="12.75" x14ac:dyDescent="0.2">
      <c r="A56" s="92">
        <v>45583</v>
      </c>
      <c r="B56" s="93" t="s">
        <v>41</v>
      </c>
      <c r="C56" s="94">
        <v>0.93489999999999995</v>
      </c>
      <c r="D56" s="95" t="s">
        <v>282</v>
      </c>
      <c r="E56" s="96"/>
      <c r="F56" s="96"/>
      <c r="G56" s="97">
        <v>538</v>
      </c>
      <c r="H56" s="98">
        <f t="shared" si="0"/>
        <v>35.023800000000051</v>
      </c>
      <c r="I56" s="99">
        <f t="shared" si="1"/>
        <v>1926.3090000000029</v>
      </c>
      <c r="J56" s="100">
        <f t="shared" si="3"/>
        <v>26.900000000000034</v>
      </c>
      <c r="K56" s="101">
        <f t="shared" si="2"/>
        <v>-8.123800000000017</v>
      </c>
    </row>
    <row r="57" spans="1:11" ht="12.75" x14ac:dyDescent="0.2">
      <c r="A57" s="92">
        <v>45586</v>
      </c>
      <c r="B57" s="93" t="s">
        <v>33</v>
      </c>
      <c r="C57" s="94">
        <v>0.92710000000000004</v>
      </c>
      <c r="D57" s="95" t="s">
        <v>282</v>
      </c>
      <c r="E57" s="96"/>
      <c r="F57" s="96"/>
      <c r="G57" s="97">
        <v>535</v>
      </c>
      <c r="H57" s="98">
        <f t="shared" si="0"/>
        <v>39.001499999999965</v>
      </c>
      <c r="I57" s="99">
        <f t="shared" si="1"/>
        <v>2145.0824999999982</v>
      </c>
      <c r="J57" s="100">
        <f t="shared" si="3"/>
        <v>26.75</v>
      </c>
      <c r="K57" s="101">
        <f t="shared" si="2"/>
        <v>-12.251499999999965</v>
      </c>
    </row>
    <row r="58" spans="1:11" ht="12.75" x14ac:dyDescent="0.2">
      <c r="A58" s="92">
        <v>45587</v>
      </c>
      <c r="B58" s="93" t="s">
        <v>35</v>
      </c>
      <c r="C58" s="94">
        <v>0.93840000000000001</v>
      </c>
      <c r="D58" s="95" t="s">
        <v>282</v>
      </c>
      <c r="E58" s="96"/>
      <c r="F58" s="96"/>
      <c r="G58" s="97">
        <v>536</v>
      </c>
      <c r="H58" s="98">
        <f t="shared" si="0"/>
        <v>33.017600000000016</v>
      </c>
      <c r="I58" s="99">
        <f t="shared" si="1"/>
        <v>1815.9680000000008</v>
      </c>
      <c r="J58" s="100">
        <f t="shared" si="3"/>
        <v>26.800000000000011</v>
      </c>
      <c r="K58" s="101">
        <f t="shared" si="2"/>
        <v>-6.2176000000000045</v>
      </c>
    </row>
    <row r="59" spans="1:11" ht="12.75" x14ac:dyDescent="0.2">
      <c r="A59" s="92">
        <v>45588</v>
      </c>
      <c r="B59" s="93" t="s">
        <v>37</v>
      </c>
      <c r="C59" s="94">
        <v>0.97570000000000001</v>
      </c>
      <c r="D59" s="95" t="s">
        <v>282</v>
      </c>
      <c r="E59" s="96"/>
      <c r="F59" s="96"/>
      <c r="G59" s="97">
        <v>536</v>
      </c>
      <c r="H59" s="98">
        <f t="shared" si="0"/>
        <v>13.024800000000027</v>
      </c>
      <c r="I59" s="99">
        <f t="shared" si="1"/>
        <v>716.36400000000151</v>
      </c>
      <c r="J59" s="100">
        <f t="shared" si="3"/>
        <v>26.800000000000011</v>
      </c>
      <c r="K59" s="101">
        <f t="shared" si="2"/>
        <v>13.775199999999984</v>
      </c>
    </row>
    <row r="60" spans="1:11" ht="12.75" x14ac:dyDescent="0.2">
      <c r="A60" s="92">
        <v>45589</v>
      </c>
      <c r="B60" s="93" t="s">
        <v>39</v>
      </c>
      <c r="C60" s="94">
        <v>0.96640000000000004</v>
      </c>
      <c r="D60" s="95" t="s">
        <v>282</v>
      </c>
      <c r="E60" s="96"/>
      <c r="F60" s="96"/>
      <c r="G60" s="97">
        <v>536</v>
      </c>
      <c r="H60" s="98">
        <f t="shared" si="0"/>
        <v>18.009599999999978</v>
      </c>
      <c r="I60" s="99">
        <f t="shared" si="1"/>
        <v>990.52799999999877</v>
      </c>
      <c r="J60" s="100">
        <f t="shared" si="3"/>
        <v>26.800000000000011</v>
      </c>
      <c r="K60" s="101">
        <f t="shared" si="2"/>
        <v>8.7904000000000337</v>
      </c>
    </row>
    <row r="61" spans="1:11" ht="12.75" x14ac:dyDescent="0.2">
      <c r="A61" s="92">
        <v>45590</v>
      </c>
      <c r="B61" s="93" t="s">
        <v>41</v>
      </c>
      <c r="C61" s="94">
        <v>0.95150000000000001</v>
      </c>
      <c r="D61" s="95" t="s">
        <v>282</v>
      </c>
      <c r="E61" s="96"/>
      <c r="F61" s="96"/>
      <c r="G61" s="97">
        <v>536</v>
      </c>
      <c r="H61" s="98">
        <f t="shared" si="0"/>
        <v>25.995999999999981</v>
      </c>
      <c r="I61" s="99">
        <f t="shared" si="1"/>
        <v>1429.7799999999988</v>
      </c>
      <c r="J61" s="100">
        <f t="shared" si="3"/>
        <v>26.800000000000011</v>
      </c>
      <c r="K61" s="101">
        <f t="shared" si="2"/>
        <v>0.80400000000003047</v>
      </c>
    </row>
    <row r="62" spans="1:11" ht="12.75" x14ac:dyDescent="0.2">
      <c r="A62" s="92">
        <v>45593</v>
      </c>
      <c r="B62" s="93" t="s">
        <v>33</v>
      </c>
      <c r="C62" s="94">
        <v>0.95150000000000001</v>
      </c>
      <c r="D62" s="95" t="s">
        <v>282</v>
      </c>
      <c r="E62" s="96"/>
      <c r="F62" s="96"/>
      <c r="G62" s="97">
        <v>536</v>
      </c>
      <c r="H62" s="98">
        <f t="shared" si="0"/>
        <v>25.995999999999981</v>
      </c>
      <c r="I62" s="99">
        <f t="shared" si="1"/>
        <v>1429.7799999999988</v>
      </c>
      <c r="J62" s="100">
        <f t="shared" si="3"/>
        <v>26.800000000000011</v>
      </c>
      <c r="K62" s="101">
        <f t="shared" si="2"/>
        <v>0.80400000000003047</v>
      </c>
    </row>
    <row r="63" spans="1:11" ht="12.75" x14ac:dyDescent="0.2">
      <c r="A63" s="92">
        <v>45594</v>
      </c>
      <c r="B63" s="93" t="s">
        <v>35</v>
      </c>
      <c r="C63" s="94">
        <v>0.96460000000000001</v>
      </c>
      <c r="D63" s="95" t="s">
        <v>282</v>
      </c>
      <c r="E63" s="96"/>
      <c r="F63" s="96"/>
      <c r="G63" s="97">
        <v>536</v>
      </c>
      <c r="H63" s="98">
        <f t="shared" si="0"/>
        <v>18.974399999999946</v>
      </c>
      <c r="I63" s="99">
        <f t="shared" si="1"/>
        <v>1043.5919999999969</v>
      </c>
      <c r="J63" s="100">
        <f t="shared" si="3"/>
        <v>26.800000000000011</v>
      </c>
      <c r="K63" s="101">
        <f t="shared" si="2"/>
        <v>7.8256000000000654</v>
      </c>
    </row>
    <row r="64" spans="1:11" ht="12.75" x14ac:dyDescent="0.2">
      <c r="A64" s="92">
        <v>45595</v>
      </c>
      <c r="B64" s="93" t="s">
        <v>37</v>
      </c>
      <c r="C64" s="94">
        <v>0.95509999999999995</v>
      </c>
      <c r="D64" s="95" t="s">
        <v>282</v>
      </c>
      <c r="E64" s="96"/>
      <c r="F64" s="96"/>
      <c r="G64" s="97">
        <v>535</v>
      </c>
      <c r="H64" s="98">
        <f t="shared" si="0"/>
        <v>24.021500000000003</v>
      </c>
      <c r="I64" s="99">
        <f t="shared" si="1"/>
        <v>1321.1825000000001</v>
      </c>
      <c r="J64" s="100">
        <f t="shared" si="3"/>
        <v>26.75</v>
      </c>
      <c r="K64" s="101">
        <f t="shared" si="2"/>
        <v>2.7284999999999968</v>
      </c>
    </row>
    <row r="65" spans="1:11" ht="12.75" x14ac:dyDescent="0.2">
      <c r="A65" s="92">
        <v>45596</v>
      </c>
      <c r="B65" s="93" t="s">
        <v>39</v>
      </c>
      <c r="C65" s="94">
        <v>0.96819999999999995</v>
      </c>
      <c r="D65" s="95" t="s">
        <v>282</v>
      </c>
      <c r="E65" s="96"/>
      <c r="F65" s="96"/>
      <c r="G65" s="97">
        <v>535</v>
      </c>
      <c r="H65" s="98">
        <f t="shared" si="0"/>
        <v>17.013000000000034</v>
      </c>
      <c r="I65" s="99">
        <f t="shared" si="1"/>
        <v>935.71500000000185</v>
      </c>
      <c r="J65" s="100">
        <f t="shared" si="3"/>
        <v>26.75</v>
      </c>
      <c r="K65" s="101">
        <f t="shared" si="2"/>
        <v>9.7369999999999663</v>
      </c>
    </row>
    <row r="66" spans="1:11" ht="12.75" x14ac:dyDescent="0.2">
      <c r="A66" s="92">
        <v>45597</v>
      </c>
      <c r="B66" s="93" t="s">
        <v>41</v>
      </c>
      <c r="C66" s="94">
        <v>0.90280000000000005</v>
      </c>
      <c r="D66" s="95" t="s">
        <v>282</v>
      </c>
      <c r="E66" s="96"/>
      <c r="F66" s="96"/>
      <c r="G66" s="97">
        <v>535</v>
      </c>
      <c r="H66" s="98">
        <f t="shared" si="0"/>
        <v>52.001999999999953</v>
      </c>
      <c r="I66" s="99">
        <f t="shared" si="1"/>
        <v>2860.1099999999974</v>
      </c>
      <c r="J66" s="100">
        <f t="shared" si="3"/>
        <v>26.75</v>
      </c>
      <c r="K66" s="101">
        <f t="shared" si="2"/>
        <v>-25.251999999999953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0"/>
        <v>0</v>
      </c>
      <c r="I67" s="99">
        <f t="shared" si="1"/>
        <v>0</v>
      </c>
      <c r="J67" s="100">
        <f t="shared" si="3"/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0"/>
        <v>0</v>
      </c>
      <c r="I68" s="99">
        <f t="shared" si="1"/>
        <v>0</v>
      </c>
      <c r="J68" s="100">
        <f t="shared" si="3"/>
        <v>0</v>
      </c>
      <c r="K68" s="101">
        <f t="shared" si="2"/>
        <v>0</v>
      </c>
    </row>
    <row r="69" spans="1:11" ht="12.75" x14ac:dyDescent="0.2">
      <c r="A69" s="92">
        <v>45602</v>
      </c>
      <c r="B69" s="93" t="s">
        <v>37</v>
      </c>
      <c r="C69" s="94">
        <v>0.95509999999999995</v>
      </c>
      <c r="D69" s="95" t="s">
        <v>282</v>
      </c>
      <c r="E69" s="96"/>
      <c r="F69" s="96"/>
      <c r="G69" s="97">
        <v>535</v>
      </c>
      <c r="H69" s="98">
        <f t="shared" si="0"/>
        <v>24.021500000000003</v>
      </c>
      <c r="I69" s="99">
        <f t="shared" si="1"/>
        <v>1321.1825000000001</v>
      </c>
      <c r="J69" s="100">
        <f t="shared" si="3"/>
        <v>26.75</v>
      </c>
      <c r="K69" s="101">
        <f t="shared" si="2"/>
        <v>2.7284999999999968</v>
      </c>
    </row>
    <row r="70" spans="1:11" ht="12.75" x14ac:dyDescent="0.2">
      <c r="A70" s="92">
        <v>45603</v>
      </c>
      <c r="B70" s="93" t="s">
        <v>39</v>
      </c>
      <c r="C70" s="94">
        <v>0.96050000000000002</v>
      </c>
      <c r="D70" s="102" t="s">
        <v>282</v>
      </c>
      <c r="E70" s="96"/>
      <c r="F70" s="96"/>
      <c r="G70" s="97">
        <v>532</v>
      </c>
      <c r="H70" s="98">
        <f t="shared" si="0"/>
        <v>21.01400000000001</v>
      </c>
      <c r="I70" s="99">
        <f t="shared" si="1"/>
        <v>1155.7700000000004</v>
      </c>
      <c r="J70" s="100">
        <f t="shared" si="3"/>
        <v>26.600000000000023</v>
      </c>
      <c r="K70" s="101">
        <f t="shared" si="2"/>
        <v>5.5860000000000127</v>
      </c>
    </row>
    <row r="71" spans="1:11" ht="12.75" x14ac:dyDescent="0.2">
      <c r="A71" s="92">
        <v>45604</v>
      </c>
      <c r="B71" s="93" t="s">
        <v>41</v>
      </c>
      <c r="C71" s="94">
        <v>0.95299999999999996</v>
      </c>
      <c r="D71" s="102" t="s">
        <v>282</v>
      </c>
      <c r="E71" s="96"/>
      <c r="F71" s="96"/>
      <c r="G71" s="97">
        <v>532</v>
      </c>
      <c r="H71" s="98">
        <f t="shared" si="0"/>
        <v>25.004000000000019</v>
      </c>
      <c r="I71" s="99">
        <f t="shared" si="1"/>
        <v>1375.2200000000012</v>
      </c>
      <c r="J71" s="100">
        <f t="shared" si="3"/>
        <v>26.600000000000023</v>
      </c>
      <c r="K71" s="101">
        <f t="shared" si="2"/>
        <v>1.5960000000000036</v>
      </c>
    </row>
    <row r="72" spans="1:11" ht="12.75" x14ac:dyDescent="0.2">
      <c r="A72" s="92">
        <v>45607</v>
      </c>
      <c r="B72" s="93" t="s">
        <v>33</v>
      </c>
      <c r="C72" s="94">
        <v>0.95299999999999996</v>
      </c>
      <c r="D72" s="102" t="s">
        <v>282</v>
      </c>
      <c r="E72" s="96"/>
      <c r="F72" s="96"/>
      <c r="G72" s="97">
        <v>532</v>
      </c>
      <c r="H72" s="98">
        <f t="shared" si="0"/>
        <v>25.004000000000019</v>
      </c>
      <c r="I72" s="99">
        <f t="shared" si="1"/>
        <v>1375.2200000000012</v>
      </c>
      <c r="J72" s="100">
        <f t="shared" si="3"/>
        <v>26.600000000000023</v>
      </c>
      <c r="K72" s="101">
        <f t="shared" si="2"/>
        <v>1.5960000000000036</v>
      </c>
    </row>
    <row r="73" spans="1:11" ht="12.75" x14ac:dyDescent="0.2">
      <c r="A73" s="92">
        <v>45608</v>
      </c>
      <c r="B73" s="93" t="s">
        <v>35</v>
      </c>
      <c r="C73" s="94">
        <v>0.94899999999999995</v>
      </c>
      <c r="D73" s="95" t="s">
        <v>282</v>
      </c>
      <c r="E73" s="96"/>
      <c r="F73" s="96"/>
      <c r="G73" s="97">
        <v>529</v>
      </c>
      <c r="H73" s="98">
        <f t="shared" si="0"/>
        <v>26.979000000000042</v>
      </c>
      <c r="I73" s="99">
        <f t="shared" si="1"/>
        <v>1483.8450000000023</v>
      </c>
      <c r="J73" s="100">
        <f t="shared" si="3"/>
        <v>26.450000000000045</v>
      </c>
      <c r="K73" s="101">
        <f t="shared" si="2"/>
        <v>-0.52899999999999636</v>
      </c>
    </row>
    <row r="74" spans="1:11" ht="12.75" x14ac:dyDescent="0.2">
      <c r="A74" s="92">
        <v>45609</v>
      </c>
      <c r="B74" s="93" t="s">
        <v>37</v>
      </c>
      <c r="C74" s="94">
        <v>0.96409999999999996</v>
      </c>
      <c r="D74" s="95" t="s">
        <v>282</v>
      </c>
      <c r="E74" s="96"/>
      <c r="F74" s="96"/>
      <c r="G74" s="97">
        <v>529</v>
      </c>
      <c r="H74" s="98">
        <f t="shared" si="0"/>
        <v>18.991100000000017</v>
      </c>
      <c r="I74" s="99">
        <f t="shared" si="1"/>
        <v>1044.510500000001</v>
      </c>
      <c r="J74" s="100">
        <f t="shared" si="3"/>
        <v>26.450000000000045</v>
      </c>
      <c r="K74" s="101">
        <f t="shared" si="2"/>
        <v>7.4589000000000283</v>
      </c>
    </row>
    <row r="75" spans="1:11" ht="12.75" x14ac:dyDescent="0.2">
      <c r="A75" s="92">
        <v>45610</v>
      </c>
      <c r="B75" s="93" t="s">
        <v>39</v>
      </c>
      <c r="C75" s="94">
        <v>0.94899999999999995</v>
      </c>
      <c r="D75" s="95" t="s">
        <v>282</v>
      </c>
      <c r="E75" s="96"/>
      <c r="F75" s="96"/>
      <c r="G75" s="97">
        <v>529</v>
      </c>
      <c r="H75" s="98">
        <f t="shared" si="0"/>
        <v>26.979000000000042</v>
      </c>
      <c r="I75" s="99">
        <f t="shared" si="1"/>
        <v>1483.8450000000023</v>
      </c>
      <c r="J75" s="100">
        <f t="shared" si="3"/>
        <v>26.450000000000045</v>
      </c>
      <c r="K75" s="101">
        <f t="shared" si="2"/>
        <v>-0.52899999999999636</v>
      </c>
    </row>
    <row r="76" spans="1:11" ht="12.75" x14ac:dyDescent="0.2">
      <c r="A76" s="92">
        <v>45611</v>
      </c>
      <c r="B76" s="93" t="s">
        <v>41</v>
      </c>
      <c r="C76" s="94">
        <v>0.95269999999999999</v>
      </c>
      <c r="D76" s="95" t="s">
        <v>282</v>
      </c>
      <c r="E76" s="96"/>
      <c r="F76" s="96"/>
      <c r="G76" s="97">
        <v>529</v>
      </c>
      <c r="H76" s="98">
        <f t="shared" si="0"/>
        <v>25.02170000000001</v>
      </c>
      <c r="I76" s="99">
        <f t="shared" si="1"/>
        <v>1376.1935000000005</v>
      </c>
      <c r="J76" s="100">
        <f t="shared" si="3"/>
        <v>26.450000000000045</v>
      </c>
      <c r="K76" s="101">
        <f t="shared" si="2"/>
        <v>1.4283000000000357</v>
      </c>
    </row>
    <row r="77" spans="1:11" ht="12.75" x14ac:dyDescent="0.2">
      <c r="A77" s="92">
        <v>45614</v>
      </c>
      <c r="B77" s="93" t="s">
        <v>33</v>
      </c>
      <c r="C77" s="94">
        <v>0.93010000000000004</v>
      </c>
      <c r="D77" s="95" t="s">
        <v>282</v>
      </c>
      <c r="E77" s="96"/>
      <c r="F77" s="96"/>
      <c r="G77" s="97">
        <v>529</v>
      </c>
      <c r="H77" s="98">
        <f t="shared" si="0"/>
        <v>36.977100000000007</v>
      </c>
      <c r="I77" s="99">
        <f t="shared" si="1"/>
        <v>2033.7405000000003</v>
      </c>
      <c r="J77" s="100">
        <f t="shared" si="3"/>
        <v>26.450000000000045</v>
      </c>
      <c r="K77" s="101">
        <f t="shared" si="2"/>
        <v>-10.527099999999962</v>
      </c>
    </row>
    <row r="78" spans="1:11" ht="12.75" x14ac:dyDescent="0.2">
      <c r="A78" s="92">
        <v>45615</v>
      </c>
      <c r="B78" s="93" t="s">
        <v>35</v>
      </c>
      <c r="C78" s="94">
        <v>0.9546</v>
      </c>
      <c r="D78" s="95" t="s">
        <v>282</v>
      </c>
      <c r="E78" s="96"/>
      <c r="F78" s="96"/>
      <c r="G78" s="97">
        <v>529</v>
      </c>
      <c r="H78" s="98">
        <f t="shared" si="0"/>
        <v>24.016599999999983</v>
      </c>
      <c r="I78" s="99">
        <f t="shared" si="1"/>
        <v>1320.9129999999991</v>
      </c>
      <c r="J78" s="100">
        <f t="shared" si="3"/>
        <v>26.450000000000045</v>
      </c>
      <c r="K78" s="101">
        <f t="shared" si="2"/>
        <v>2.4334000000000628</v>
      </c>
    </row>
    <row r="79" spans="1:11" ht="12.75" x14ac:dyDescent="0.2">
      <c r="A79" s="92">
        <v>45616</v>
      </c>
      <c r="B79" s="93" t="s">
        <v>37</v>
      </c>
      <c r="C79" s="94">
        <v>0.96789999999999998</v>
      </c>
      <c r="D79" s="95" t="s">
        <v>282</v>
      </c>
      <c r="E79" s="96"/>
      <c r="F79" s="96"/>
      <c r="G79" s="97">
        <v>529</v>
      </c>
      <c r="H79" s="98">
        <f t="shared" si="0"/>
        <v>16.98090000000002</v>
      </c>
      <c r="I79" s="99">
        <f t="shared" si="1"/>
        <v>933.94950000000108</v>
      </c>
      <c r="J79" s="100">
        <f t="shared" si="3"/>
        <v>26.450000000000045</v>
      </c>
      <c r="K79" s="101">
        <f t="shared" si="2"/>
        <v>9.4691000000000258</v>
      </c>
    </row>
    <row r="80" spans="1:11" ht="12.75" x14ac:dyDescent="0.2">
      <c r="A80" s="92">
        <v>45617</v>
      </c>
      <c r="B80" s="93" t="s">
        <v>39</v>
      </c>
      <c r="C80" s="94">
        <v>0.95840000000000003</v>
      </c>
      <c r="D80" s="95" t="s">
        <v>282</v>
      </c>
      <c r="E80" s="96"/>
      <c r="F80" s="96"/>
      <c r="G80" s="97">
        <v>529</v>
      </c>
      <c r="H80" s="98">
        <f t="shared" si="0"/>
        <v>22.006399999999985</v>
      </c>
      <c r="I80" s="99">
        <f t="shared" si="1"/>
        <v>1210.3519999999992</v>
      </c>
      <c r="J80" s="100">
        <f t="shared" si="3"/>
        <v>26.450000000000045</v>
      </c>
      <c r="K80" s="101">
        <f t="shared" si="2"/>
        <v>4.4436000000000604</v>
      </c>
    </row>
    <row r="81" spans="1:11" ht="12.75" x14ac:dyDescent="0.2">
      <c r="A81" s="92">
        <v>45618</v>
      </c>
      <c r="B81" s="93" t="s">
        <v>41</v>
      </c>
      <c r="C81" s="94">
        <v>0.90169999999999995</v>
      </c>
      <c r="D81" s="95" t="s">
        <v>282</v>
      </c>
      <c r="E81" s="96"/>
      <c r="F81" s="96"/>
      <c r="G81" s="97">
        <v>529</v>
      </c>
      <c r="H81" s="98">
        <f t="shared" si="0"/>
        <v>52.000700000000052</v>
      </c>
      <c r="I81" s="99">
        <f t="shared" si="1"/>
        <v>2860.0385000000028</v>
      </c>
      <c r="J81" s="100">
        <f t="shared" si="3"/>
        <v>26.450000000000045</v>
      </c>
      <c r="K81" s="101">
        <f t="shared" si="2"/>
        <v>-25.550700000000006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0"/>
        <v>0</v>
      </c>
      <c r="I82" s="99">
        <f t="shared" si="1"/>
        <v>0</v>
      </c>
      <c r="J82" s="100">
        <f t="shared" si="3"/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0"/>
        <v>0</v>
      </c>
      <c r="I83" s="99">
        <f t="shared" si="1"/>
        <v>0</v>
      </c>
      <c r="J83" s="100">
        <f t="shared" si="3"/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0"/>
        <v>0</v>
      </c>
      <c r="I84" s="99">
        <f t="shared" si="1"/>
        <v>0</v>
      </c>
      <c r="J84" s="100">
        <f t="shared" si="3"/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0"/>
        <v>0</v>
      </c>
      <c r="I85" s="99">
        <f t="shared" si="1"/>
        <v>0</v>
      </c>
      <c r="J85" s="100">
        <f t="shared" si="3"/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0"/>
        <v>0</v>
      </c>
      <c r="I86" s="99">
        <f t="shared" si="1"/>
        <v>0</v>
      </c>
      <c r="J86" s="100">
        <f t="shared" si="3"/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0.94140000000000001</v>
      </c>
      <c r="D87" s="95" t="s">
        <v>282</v>
      </c>
      <c r="E87" s="96"/>
      <c r="F87" s="96"/>
      <c r="G87" s="97">
        <v>529</v>
      </c>
      <c r="H87" s="98">
        <f t="shared" si="0"/>
        <v>30.99939999999998</v>
      </c>
      <c r="I87" s="99">
        <f t="shared" si="1"/>
        <v>1704.966999999999</v>
      </c>
      <c r="J87" s="100">
        <f t="shared" si="3"/>
        <v>26.450000000000045</v>
      </c>
      <c r="K87" s="101">
        <f t="shared" si="2"/>
        <v>-4.5493999999999346</v>
      </c>
    </row>
    <row r="88" spans="1:11" ht="12.75" x14ac:dyDescent="0.2">
      <c r="A88" s="92">
        <v>45629</v>
      </c>
      <c r="B88" s="93" t="s">
        <v>35</v>
      </c>
      <c r="C88" s="94">
        <v>0.9395</v>
      </c>
      <c r="D88" s="95" t="s">
        <v>282</v>
      </c>
      <c r="E88" s="96"/>
      <c r="F88" s="96"/>
      <c r="G88" s="97">
        <v>529</v>
      </c>
      <c r="H88" s="98">
        <f t="shared" si="0"/>
        <v>32.004500000000007</v>
      </c>
      <c r="I88" s="99">
        <f t="shared" si="1"/>
        <v>1760.2475000000004</v>
      </c>
      <c r="J88" s="100">
        <f t="shared" si="3"/>
        <v>26.450000000000045</v>
      </c>
      <c r="K88" s="101">
        <f t="shared" si="2"/>
        <v>-5.5544999999999618</v>
      </c>
    </row>
    <row r="89" spans="1:11" ht="12.75" x14ac:dyDescent="0.2">
      <c r="A89" s="92">
        <v>45630</v>
      </c>
      <c r="B89" s="93" t="s">
        <v>37</v>
      </c>
      <c r="C89" s="94">
        <v>0.97919999999999996</v>
      </c>
      <c r="D89" s="95" t="s">
        <v>282</v>
      </c>
      <c r="E89" s="96"/>
      <c r="F89" s="96"/>
      <c r="G89" s="97">
        <v>528</v>
      </c>
      <c r="H89" s="98">
        <f t="shared" si="0"/>
        <v>10.982399999999984</v>
      </c>
      <c r="I89" s="99">
        <f t="shared" si="1"/>
        <v>604.03199999999913</v>
      </c>
      <c r="J89" s="100">
        <f t="shared" si="3"/>
        <v>26.400000000000034</v>
      </c>
      <c r="K89" s="101">
        <f t="shared" si="2"/>
        <v>15.41760000000005</v>
      </c>
    </row>
    <row r="90" spans="1:11" ht="12.75" x14ac:dyDescent="0.2">
      <c r="A90" s="92">
        <v>45631</v>
      </c>
      <c r="B90" s="93" t="s">
        <v>39</v>
      </c>
      <c r="C90" s="94">
        <v>0.96020000000000005</v>
      </c>
      <c r="D90" s="95" t="s">
        <v>282</v>
      </c>
      <c r="E90" s="96"/>
      <c r="F90" s="96"/>
      <c r="G90" s="97">
        <v>528</v>
      </c>
      <c r="H90" s="98">
        <f t="shared" si="0"/>
        <v>21.014399999999966</v>
      </c>
      <c r="I90" s="99">
        <f t="shared" si="1"/>
        <v>1155.7919999999981</v>
      </c>
      <c r="J90" s="100">
        <f t="shared" si="3"/>
        <v>26.400000000000034</v>
      </c>
      <c r="K90" s="101">
        <f t="shared" si="2"/>
        <v>5.3856000000000677</v>
      </c>
    </row>
    <row r="91" spans="1:11" ht="12.75" x14ac:dyDescent="0.2">
      <c r="A91" s="92">
        <v>45632</v>
      </c>
      <c r="B91" s="93" t="s">
        <v>41</v>
      </c>
      <c r="C91" s="94">
        <v>0.93179999999999996</v>
      </c>
      <c r="D91" s="95" t="s">
        <v>301</v>
      </c>
      <c r="E91" s="96"/>
      <c r="F91" s="96"/>
      <c r="G91" s="97">
        <v>528</v>
      </c>
      <c r="H91" s="98">
        <f t="shared" si="0"/>
        <v>36.009600000000034</v>
      </c>
      <c r="I91" s="99">
        <f t="shared" si="1"/>
        <v>1980.5280000000018</v>
      </c>
      <c r="J91" s="100">
        <f t="shared" si="3"/>
        <v>26.400000000000034</v>
      </c>
      <c r="K91" s="101">
        <f t="shared" si="2"/>
        <v>-9.6096000000000004</v>
      </c>
    </row>
    <row r="92" spans="1:11" ht="12.75" x14ac:dyDescent="0.2">
      <c r="A92" s="92">
        <v>45635</v>
      </c>
      <c r="B92" s="93" t="s">
        <v>33</v>
      </c>
      <c r="C92" s="94">
        <v>0.94699999999999995</v>
      </c>
      <c r="D92" s="95" t="s">
        <v>282</v>
      </c>
      <c r="E92" s="96"/>
      <c r="F92" s="96"/>
      <c r="G92" s="97">
        <v>528</v>
      </c>
      <c r="H92" s="98">
        <f t="shared" si="0"/>
        <v>27.984000000000037</v>
      </c>
      <c r="I92" s="99">
        <f t="shared" si="1"/>
        <v>1539.1200000000022</v>
      </c>
      <c r="J92" s="100">
        <f t="shared" si="3"/>
        <v>26.400000000000034</v>
      </c>
      <c r="K92" s="101">
        <f t="shared" si="2"/>
        <v>-1.5840000000000032</v>
      </c>
    </row>
    <row r="93" spans="1:11" ht="12.75" x14ac:dyDescent="0.2">
      <c r="A93" s="92">
        <v>45636</v>
      </c>
      <c r="B93" s="93" t="s">
        <v>35</v>
      </c>
      <c r="C93" s="94">
        <v>0.9677</v>
      </c>
      <c r="D93" s="95" t="s">
        <v>301</v>
      </c>
      <c r="E93" s="96"/>
      <c r="F93" s="96"/>
      <c r="G93" s="97">
        <v>526</v>
      </c>
      <c r="H93" s="98">
        <f t="shared" si="0"/>
        <v>16.989800000000002</v>
      </c>
      <c r="I93" s="99">
        <f t="shared" si="1"/>
        <v>934.43900000000008</v>
      </c>
      <c r="J93" s="100">
        <f t="shared" si="3"/>
        <v>26.300000000000011</v>
      </c>
      <c r="K93" s="101">
        <f t="shared" si="2"/>
        <v>9.3102000000000089</v>
      </c>
    </row>
    <row r="94" spans="1:11" ht="12.75" x14ac:dyDescent="0.2">
      <c r="A94" s="92">
        <v>45637</v>
      </c>
      <c r="B94" s="93" t="s">
        <v>37</v>
      </c>
      <c r="C94" s="94">
        <v>0.94110000000000005</v>
      </c>
      <c r="D94" s="95" t="s">
        <v>282</v>
      </c>
      <c r="E94" s="96"/>
      <c r="F94" s="96"/>
      <c r="G94" s="97">
        <v>526</v>
      </c>
      <c r="H94" s="98">
        <f t="shared" si="0"/>
        <v>30.981399999999951</v>
      </c>
      <c r="I94" s="99">
        <f t="shared" si="1"/>
        <v>1703.9769999999974</v>
      </c>
      <c r="J94" s="100">
        <f t="shared" si="3"/>
        <v>26.300000000000011</v>
      </c>
      <c r="K94" s="101">
        <f t="shared" si="2"/>
        <v>-4.6813999999999396</v>
      </c>
    </row>
    <row r="95" spans="1:11" ht="12.75" x14ac:dyDescent="0.2">
      <c r="A95" s="92">
        <v>45638</v>
      </c>
      <c r="B95" s="93" t="s">
        <v>39</v>
      </c>
      <c r="C95" s="94">
        <v>0.9506</v>
      </c>
      <c r="D95" s="95" t="s">
        <v>282</v>
      </c>
      <c r="E95" s="96"/>
      <c r="F95" s="96"/>
      <c r="G95" s="97">
        <v>526</v>
      </c>
      <c r="H95" s="98">
        <f t="shared" si="0"/>
        <v>25.984399999999994</v>
      </c>
      <c r="I95" s="99">
        <f t="shared" si="1"/>
        <v>1429.1419999999996</v>
      </c>
      <c r="J95" s="100">
        <f t="shared" si="3"/>
        <v>26.300000000000011</v>
      </c>
      <c r="K95" s="101">
        <f t="shared" si="2"/>
        <v>0.31560000000001764</v>
      </c>
    </row>
    <row r="96" spans="1:11" ht="12.75" x14ac:dyDescent="0.2">
      <c r="A96" s="92">
        <v>45639</v>
      </c>
      <c r="B96" s="93" t="s">
        <v>41</v>
      </c>
      <c r="C96" s="94">
        <v>0.92779999999999996</v>
      </c>
      <c r="D96" s="95" t="s">
        <v>282</v>
      </c>
      <c r="E96" s="96"/>
      <c r="F96" s="96"/>
      <c r="G96" s="97">
        <v>526</v>
      </c>
      <c r="H96" s="98">
        <f t="shared" si="0"/>
        <v>37.977200000000039</v>
      </c>
      <c r="I96" s="99">
        <f t="shared" si="1"/>
        <v>2088.7460000000019</v>
      </c>
      <c r="J96" s="100">
        <f t="shared" si="3"/>
        <v>26.300000000000011</v>
      </c>
      <c r="K96" s="101">
        <f t="shared" si="2"/>
        <v>-11.677200000000028</v>
      </c>
    </row>
    <row r="97" spans="1:11" ht="12.75" x14ac:dyDescent="0.2">
      <c r="A97" s="92">
        <v>45642</v>
      </c>
      <c r="B97" s="93" t="s">
        <v>33</v>
      </c>
      <c r="C97" s="94">
        <v>0.95630000000000004</v>
      </c>
      <c r="D97" s="95" t="s">
        <v>282</v>
      </c>
      <c r="E97" s="96"/>
      <c r="F97" s="96"/>
      <c r="G97" s="97">
        <v>526</v>
      </c>
      <c r="H97" s="98">
        <f t="shared" si="0"/>
        <v>22.986199999999997</v>
      </c>
      <c r="I97" s="99">
        <f t="shared" si="1"/>
        <v>1264.2409999999998</v>
      </c>
      <c r="J97" s="100">
        <f t="shared" si="3"/>
        <v>26.300000000000011</v>
      </c>
      <c r="K97" s="101">
        <f t="shared" si="2"/>
        <v>3.3138000000000147</v>
      </c>
    </row>
    <row r="98" spans="1:11" ht="12.75" x14ac:dyDescent="0.2">
      <c r="A98" s="92">
        <v>45643</v>
      </c>
      <c r="B98" s="93" t="s">
        <v>35</v>
      </c>
      <c r="C98" s="94">
        <v>0.95250000000000001</v>
      </c>
      <c r="D98" s="95" t="s">
        <v>282</v>
      </c>
      <c r="E98" s="96"/>
      <c r="F98" s="96"/>
      <c r="G98" s="97">
        <v>526</v>
      </c>
      <c r="H98" s="98">
        <f t="shared" si="0"/>
        <v>24.985000000000014</v>
      </c>
      <c r="I98" s="99">
        <f t="shared" si="1"/>
        <v>1374.1750000000006</v>
      </c>
      <c r="J98" s="100">
        <f t="shared" si="3"/>
        <v>26.300000000000011</v>
      </c>
      <c r="K98" s="101">
        <f t="shared" si="2"/>
        <v>1.3149999999999977</v>
      </c>
    </row>
    <row r="99" spans="1:11" ht="12.75" x14ac:dyDescent="0.2">
      <c r="A99" s="92">
        <v>45644</v>
      </c>
      <c r="B99" s="93" t="s">
        <v>37</v>
      </c>
      <c r="C99" s="94">
        <v>0.97350000000000003</v>
      </c>
      <c r="D99" s="95" t="s">
        <v>282</v>
      </c>
      <c r="E99" s="96"/>
      <c r="F99" s="96"/>
      <c r="G99" s="97">
        <v>529</v>
      </c>
      <c r="H99" s="98">
        <f t="shared" si="0"/>
        <v>14.018500000000017</v>
      </c>
      <c r="I99" s="99">
        <f t="shared" si="1"/>
        <v>771.01750000000095</v>
      </c>
      <c r="J99" s="100">
        <f t="shared" si="3"/>
        <v>26.450000000000045</v>
      </c>
      <c r="K99" s="101">
        <f t="shared" si="2"/>
        <v>12.431500000000028</v>
      </c>
    </row>
    <row r="100" spans="1:11" ht="12.75" x14ac:dyDescent="0.2">
      <c r="A100" s="92">
        <v>45645</v>
      </c>
      <c r="B100" s="93" t="s">
        <v>39</v>
      </c>
      <c r="C100" s="94">
        <v>0.96220000000000006</v>
      </c>
      <c r="D100" s="95" t="s">
        <v>282</v>
      </c>
      <c r="E100" s="96"/>
      <c r="F100" s="96"/>
      <c r="G100" s="97">
        <v>529</v>
      </c>
      <c r="H100" s="98">
        <f t="shared" si="0"/>
        <v>19.996199999999988</v>
      </c>
      <c r="I100" s="99">
        <f t="shared" si="1"/>
        <v>1099.7909999999993</v>
      </c>
      <c r="J100" s="100">
        <f t="shared" si="3"/>
        <v>26.450000000000045</v>
      </c>
      <c r="K100" s="101">
        <f t="shared" si="2"/>
        <v>6.4538000000000579</v>
      </c>
    </row>
    <row r="101" spans="1:11" ht="12.75" x14ac:dyDescent="0.2">
      <c r="A101" s="92">
        <v>45646</v>
      </c>
      <c r="B101" s="93" t="s">
        <v>41</v>
      </c>
      <c r="C101" s="94">
        <v>0.92249999999999999</v>
      </c>
      <c r="D101" s="95" t="s">
        <v>282</v>
      </c>
      <c r="E101" s="96"/>
      <c r="F101" s="96"/>
      <c r="G101" s="97">
        <v>529</v>
      </c>
      <c r="H101" s="98">
        <f t="shared" si="0"/>
        <v>40.997500000000002</v>
      </c>
      <c r="I101" s="99">
        <f t="shared" si="1"/>
        <v>2254.8625000000002</v>
      </c>
      <c r="J101" s="100">
        <f t="shared" si="3"/>
        <v>26.450000000000045</v>
      </c>
      <c r="K101" s="101">
        <f t="shared" si="2"/>
        <v>-14.547499999999957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0"/>
        <v>0</v>
      </c>
      <c r="I102" s="99">
        <f t="shared" si="1"/>
        <v>0</v>
      </c>
      <c r="J102" s="100">
        <f t="shared" si="3"/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0"/>
        <v>0</v>
      </c>
      <c r="I103" s="99">
        <f t="shared" si="1"/>
        <v>0</v>
      </c>
      <c r="J103" s="100">
        <f t="shared" si="3"/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0"/>
        <v>0</v>
      </c>
      <c r="I104" s="99">
        <f t="shared" si="1"/>
        <v>0</v>
      </c>
      <c r="J104" s="100">
        <f t="shared" si="3"/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0"/>
        <v>0</v>
      </c>
      <c r="I105" s="99">
        <f t="shared" si="1"/>
        <v>0</v>
      </c>
      <c r="J105" s="100">
        <f t="shared" si="3"/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0"/>
        <v>0</v>
      </c>
      <c r="I106" s="99">
        <f t="shared" si="1"/>
        <v>0</v>
      </c>
      <c r="J106" s="100">
        <f t="shared" si="3"/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0"/>
        <v>0</v>
      </c>
      <c r="I107" s="99">
        <f t="shared" si="1"/>
        <v>0</v>
      </c>
      <c r="J107" s="100">
        <f t="shared" si="3"/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0"/>
        <v>0</v>
      </c>
      <c r="I108" s="99">
        <f t="shared" si="1"/>
        <v>0</v>
      </c>
      <c r="J108" s="100">
        <f t="shared" si="3"/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0"/>
        <v>0</v>
      </c>
      <c r="I109" s="99">
        <f t="shared" si="1"/>
        <v>0</v>
      </c>
      <c r="J109" s="100">
        <f t="shared" si="3"/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0"/>
        <v>0</v>
      </c>
      <c r="I110" s="99">
        <f t="shared" si="1"/>
        <v>0</v>
      </c>
      <c r="J110" s="100">
        <f t="shared" si="3"/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0"/>
        <v>0</v>
      </c>
      <c r="I111" s="99">
        <f t="shared" si="1"/>
        <v>0</v>
      </c>
      <c r="J111" s="100">
        <f t="shared" si="3"/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0"/>
        <v>0</v>
      </c>
      <c r="I112" s="99">
        <f t="shared" si="1"/>
        <v>0</v>
      </c>
      <c r="J112" s="100">
        <f t="shared" si="3"/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0"/>
        <v>0</v>
      </c>
      <c r="I113" s="99">
        <f t="shared" si="1"/>
        <v>0</v>
      </c>
      <c r="J113" s="100">
        <f t="shared" si="3"/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0.91890000000000005</v>
      </c>
      <c r="D114" s="95" t="s">
        <v>282</v>
      </c>
      <c r="E114" s="96"/>
      <c r="F114" s="96"/>
      <c r="G114" s="97">
        <v>530</v>
      </c>
      <c r="H114" s="98">
        <f t="shared" si="0"/>
        <v>42.982999999999947</v>
      </c>
      <c r="I114" s="99">
        <f t="shared" si="1"/>
        <v>2364.0649999999969</v>
      </c>
      <c r="J114" s="100">
        <f t="shared" si="3"/>
        <v>26.5</v>
      </c>
      <c r="K114" s="101">
        <f t="shared" si="2"/>
        <v>-16.482999999999947</v>
      </c>
    </row>
    <row r="115" spans="1:11" ht="12.75" x14ac:dyDescent="0.2">
      <c r="A115" s="92">
        <v>45666</v>
      </c>
      <c r="B115" s="93" t="s">
        <v>39</v>
      </c>
      <c r="C115" s="94">
        <v>0.92059999999999997</v>
      </c>
      <c r="D115" s="95" t="s">
        <v>282</v>
      </c>
      <c r="E115" s="96"/>
      <c r="F115" s="96"/>
      <c r="G115" s="97">
        <v>529</v>
      </c>
      <c r="H115" s="98">
        <f t="shared" si="0"/>
        <v>42.002600000000029</v>
      </c>
      <c r="I115" s="99">
        <f t="shared" si="1"/>
        <v>2310.1430000000018</v>
      </c>
      <c r="J115" s="100">
        <f t="shared" si="3"/>
        <v>26.450000000000045</v>
      </c>
      <c r="K115" s="101">
        <f t="shared" si="2"/>
        <v>-15.552599999999984</v>
      </c>
    </row>
    <row r="116" spans="1:11" ht="12.75" x14ac:dyDescent="0.2">
      <c r="A116" s="92">
        <v>45667</v>
      </c>
      <c r="B116" s="93" t="s">
        <v>41</v>
      </c>
      <c r="C116" s="94">
        <v>0.90739999999999998</v>
      </c>
      <c r="D116" s="95" t="s">
        <v>282</v>
      </c>
      <c r="E116" s="96"/>
      <c r="F116" s="96"/>
      <c r="G116" s="97">
        <v>529</v>
      </c>
      <c r="H116" s="98">
        <f t="shared" si="0"/>
        <v>48.985400000000027</v>
      </c>
      <c r="I116" s="99">
        <f t="shared" si="1"/>
        <v>2694.1970000000015</v>
      </c>
      <c r="J116" s="100">
        <f t="shared" si="3"/>
        <v>26.450000000000045</v>
      </c>
      <c r="K116" s="101">
        <f t="shared" si="2"/>
        <v>-22.535399999999981</v>
      </c>
    </row>
    <row r="117" spans="1:11" ht="12.75" x14ac:dyDescent="0.2">
      <c r="A117" s="92">
        <v>45670</v>
      </c>
      <c r="B117" s="93" t="s">
        <v>33</v>
      </c>
      <c r="C117" s="94">
        <v>0.95089999999999997</v>
      </c>
      <c r="D117" s="95" t="s">
        <v>282</v>
      </c>
      <c r="E117" s="96"/>
      <c r="F117" s="96"/>
      <c r="G117" s="97">
        <v>530</v>
      </c>
      <c r="H117" s="98">
        <f t="shared" si="0"/>
        <v>26.023000000000025</v>
      </c>
      <c r="I117" s="99">
        <f t="shared" si="1"/>
        <v>1431.2650000000012</v>
      </c>
      <c r="J117" s="100">
        <f t="shared" si="3"/>
        <v>26.5</v>
      </c>
      <c r="K117" s="101">
        <f t="shared" si="2"/>
        <v>0.47699999999997544</v>
      </c>
    </row>
    <row r="118" spans="1:11" ht="12.75" x14ac:dyDescent="0.2">
      <c r="A118" s="92">
        <v>45671</v>
      </c>
      <c r="B118" s="93" t="s">
        <v>35</v>
      </c>
      <c r="C118" s="94">
        <v>0.97550000000000003</v>
      </c>
      <c r="D118" s="95" t="s">
        <v>282</v>
      </c>
      <c r="E118" s="96"/>
      <c r="F118" s="96"/>
      <c r="G118" s="97">
        <v>530</v>
      </c>
      <c r="H118" s="98">
        <f t="shared" si="0"/>
        <v>12.985000000000014</v>
      </c>
      <c r="I118" s="99">
        <f t="shared" si="1"/>
        <v>714.17500000000075</v>
      </c>
      <c r="J118" s="100">
        <f t="shared" si="3"/>
        <v>26.5</v>
      </c>
      <c r="K118" s="101">
        <f t="shared" si="2"/>
        <v>13.514999999999986</v>
      </c>
    </row>
    <row r="119" spans="1:11" ht="12.75" x14ac:dyDescent="0.2">
      <c r="A119" s="92">
        <v>45672</v>
      </c>
      <c r="B119" s="93" t="s">
        <v>37</v>
      </c>
      <c r="C119" s="94">
        <v>0.96789999999999998</v>
      </c>
      <c r="D119" s="95" t="s">
        <v>282</v>
      </c>
      <c r="E119" s="96"/>
      <c r="F119" s="96"/>
      <c r="G119" s="97">
        <v>530</v>
      </c>
      <c r="H119" s="98">
        <f t="shared" si="0"/>
        <v>17.013000000000034</v>
      </c>
      <c r="I119" s="99">
        <f t="shared" si="1"/>
        <v>935.71500000000185</v>
      </c>
      <c r="J119" s="100">
        <f t="shared" si="3"/>
        <v>26.5</v>
      </c>
      <c r="K119" s="101">
        <f t="shared" si="2"/>
        <v>9.4869999999999663</v>
      </c>
    </row>
    <row r="120" spans="1:11" ht="12.75" x14ac:dyDescent="0.2">
      <c r="A120" s="92">
        <v>45673</v>
      </c>
      <c r="B120" s="93" t="s">
        <v>39</v>
      </c>
      <c r="C120" s="94">
        <v>0.96230000000000004</v>
      </c>
      <c r="D120" s="95" t="s">
        <v>282</v>
      </c>
      <c r="E120" s="96"/>
      <c r="F120" s="96"/>
      <c r="G120" s="97">
        <v>530</v>
      </c>
      <c r="H120" s="98">
        <f t="shared" si="0"/>
        <v>19.980999999999995</v>
      </c>
      <c r="I120" s="99">
        <f t="shared" si="1"/>
        <v>1098.9549999999997</v>
      </c>
      <c r="J120" s="100">
        <f t="shared" si="3"/>
        <v>26.5</v>
      </c>
      <c r="K120" s="101">
        <f t="shared" si="2"/>
        <v>6.5190000000000055</v>
      </c>
    </row>
    <row r="121" spans="1:11" ht="12.75" x14ac:dyDescent="0.2">
      <c r="A121" s="92">
        <v>45674</v>
      </c>
      <c r="B121" s="93" t="s">
        <v>41</v>
      </c>
      <c r="C121" s="94">
        <v>0.96789999999999998</v>
      </c>
      <c r="D121" s="95" t="s">
        <v>282</v>
      </c>
      <c r="E121" s="96"/>
      <c r="F121" s="96"/>
      <c r="G121" s="97">
        <v>530</v>
      </c>
      <c r="H121" s="98">
        <f t="shared" si="0"/>
        <v>17.013000000000034</v>
      </c>
      <c r="I121" s="99">
        <f t="shared" si="1"/>
        <v>935.71500000000185</v>
      </c>
      <c r="J121" s="100">
        <f t="shared" si="3"/>
        <v>26.5</v>
      </c>
      <c r="K121" s="101">
        <f t="shared" si="2"/>
        <v>9.4869999999999663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0"/>
        <v>0</v>
      </c>
      <c r="I122" s="99">
        <f t="shared" si="1"/>
        <v>0</v>
      </c>
      <c r="J122" s="100">
        <f t="shared" si="3"/>
        <v>0</v>
      </c>
      <c r="K122" s="101">
        <f t="shared" si="2"/>
        <v>0</v>
      </c>
    </row>
    <row r="123" spans="1:11" ht="25.5" x14ac:dyDescent="0.2">
      <c r="A123" s="92">
        <v>45678</v>
      </c>
      <c r="B123" s="93" t="s">
        <v>35</v>
      </c>
      <c r="C123" s="94"/>
      <c r="D123" s="95"/>
      <c r="E123" s="96"/>
      <c r="F123" s="96" t="s">
        <v>309</v>
      </c>
      <c r="H123" s="98">
        <f t="shared" si="0"/>
        <v>0</v>
      </c>
      <c r="I123" s="99">
        <f t="shared" si="1"/>
        <v>0</v>
      </c>
      <c r="J123" s="100">
        <f t="shared" si="3"/>
        <v>0</v>
      </c>
      <c r="K123" s="101">
        <f t="shared" si="2"/>
        <v>0</v>
      </c>
    </row>
    <row r="124" spans="1:11" ht="25.5" x14ac:dyDescent="0.2">
      <c r="A124" s="92">
        <v>45679</v>
      </c>
      <c r="B124" s="93" t="s">
        <v>37</v>
      </c>
      <c r="C124" s="94"/>
      <c r="D124" s="95"/>
      <c r="E124" s="96"/>
      <c r="F124" s="96" t="s">
        <v>309</v>
      </c>
      <c r="H124" s="98">
        <f t="shared" si="0"/>
        <v>0</v>
      </c>
      <c r="I124" s="99">
        <f t="shared" si="1"/>
        <v>0</v>
      </c>
      <c r="J124" s="100">
        <f t="shared" si="3"/>
        <v>0</v>
      </c>
      <c r="K124" s="101">
        <f t="shared" si="2"/>
        <v>0</v>
      </c>
    </row>
    <row r="125" spans="1:11" ht="12.75" x14ac:dyDescent="0.2">
      <c r="A125" s="92">
        <v>45680</v>
      </c>
      <c r="B125" s="93" t="s">
        <v>39</v>
      </c>
      <c r="C125" s="94">
        <v>0.83799999999999997</v>
      </c>
      <c r="D125" s="95" t="s">
        <v>278</v>
      </c>
      <c r="E125" s="96" t="s">
        <v>246</v>
      </c>
      <c r="F125" s="96"/>
      <c r="G125" s="97">
        <v>531</v>
      </c>
      <c r="H125" s="98">
        <f t="shared" si="0"/>
        <v>86.021999999999991</v>
      </c>
      <c r="I125" s="99">
        <f t="shared" si="1"/>
        <v>4731.2099999999991</v>
      </c>
      <c r="J125" s="100">
        <f t="shared" si="3"/>
        <v>26.550000000000011</v>
      </c>
      <c r="K125" s="101">
        <f t="shared" si="2"/>
        <v>-59.47199999999998</v>
      </c>
    </row>
    <row r="126" spans="1:11" ht="12.75" x14ac:dyDescent="0.2">
      <c r="A126" s="92">
        <v>45681</v>
      </c>
      <c r="B126" s="93" t="s">
        <v>41</v>
      </c>
      <c r="C126" s="94">
        <v>0.91710000000000003</v>
      </c>
      <c r="D126" s="95" t="s">
        <v>282</v>
      </c>
      <c r="E126" s="96"/>
      <c r="F126" s="96"/>
      <c r="G126" s="97">
        <v>531</v>
      </c>
      <c r="H126" s="98">
        <f t="shared" si="0"/>
        <v>44.019900000000007</v>
      </c>
      <c r="I126" s="99">
        <f t="shared" si="1"/>
        <v>2421.0945000000002</v>
      </c>
      <c r="J126" s="100">
        <f t="shared" si="3"/>
        <v>26.550000000000011</v>
      </c>
      <c r="K126" s="101">
        <f t="shared" si="2"/>
        <v>-17.469899999999996</v>
      </c>
    </row>
    <row r="127" spans="1:11" ht="12.75" x14ac:dyDescent="0.2">
      <c r="A127" s="92">
        <v>45684</v>
      </c>
      <c r="B127" s="93" t="s">
        <v>33</v>
      </c>
      <c r="C127" s="94">
        <v>0.95109999999999995</v>
      </c>
      <c r="D127" s="95" t="s">
        <v>282</v>
      </c>
      <c r="E127" s="96"/>
      <c r="F127" s="96"/>
      <c r="G127" s="97">
        <v>532</v>
      </c>
      <c r="H127" s="98">
        <f t="shared" si="0"/>
        <v>26.014800000000037</v>
      </c>
      <c r="I127" s="99">
        <f t="shared" si="1"/>
        <v>1430.8140000000021</v>
      </c>
      <c r="J127" s="100">
        <f t="shared" si="3"/>
        <v>26.600000000000023</v>
      </c>
      <c r="K127" s="101">
        <f t="shared" si="2"/>
        <v>0.58519999999998618</v>
      </c>
    </row>
    <row r="128" spans="1:11" ht="12.75" x14ac:dyDescent="0.2">
      <c r="A128" s="92">
        <v>45685</v>
      </c>
      <c r="B128" s="93" t="s">
        <v>35</v>
      </c>
      <c r="C128" s="94">
        <v>0.9718</v>
      </c>
      <c r="D128" s="95" t="s">
        <v>282</v>
      </c>
      <c r="E128" s="96"/>
      <c r="F128" s="96"/>
      <c r="G128" s="97">
        <v>532</v>
      </c>
      <c r="H128" s="98">
        <f t="shared" si="0"/>
        <v>15.002399999999966</v>
      </c>
      <c r="I128" s="99">
        <f t="shared" si="1"/>
        <v>825.13199999999813</v>
      </c>
      <c r="J128" s="100">
        <f t="shared" si="3"/>
        <v>26.600000000000023</v>
      </c>
      <c r="K128" s="101">
        <f t="shared" si="2"/>
        <v>11.597600000000057</v>
      </c>
    </row>
    <row r="129" spans="1:11" ht="12.75" x14ac:dyDescent="0.2">
      <c r="A129" s="92">
        <v>45686</v>
      </c>
      <c r="B129" s="93" t="s">
        <v>37</v>
      </c>
      <c r="C129" s="94">
        <v>0.97199999999999998</v>
      </c>
      <c r="D129" s="95" t="s">
        <v>282</v>
      </c>
      <c r="E129" s="96"/>
      <c r="F129" s="96"/>
      <c r="G129" s="97">
        <v>535</v>
      </c>
      <c r="H129" s="98">
        <f t="shared" si="0"/>
        <v>14.980000000000018</v>
      </c>
      <c r="I129" s="99">
        <f t="shared" si="1"/>
        <v>823.900000000001</v>
      </c>
      <c r="J129" s="100">
        <f t="shared" si="3"/>
        <v>26.75</v>
      </c>
      <c r="K129" s="101">
        <f t="shared" si="2"/>
        <v>11.769999999999982</v>
      </c>
    </row>
    <row r="130" spans="1:11" ht="12.75" x14ac:dyDescent="0.2">
      <c r="A130" s="92">
        <v>45687</v>
      </c>
      <c r="B130" s="93" t="s">
        <v>39</v>
      </c>
      <c r="C130" s="94">
        <v>0.93640000000000001</v>
      </c>
      <c r="D130" s="95" t="s">
        <v>282</v>
      </c>
      <c r="E130" s="96"/>
      <c r="F130" s="96"/>
      <c r="G130" s="97">
        <v>535</v>
      </c>
      <c r="H130" s="98">
        <f t="shared" si="0"/>
        <v>34.02600000000001</v>
      </c>
      <c r="I130" s="99">
        <f t="shared" si="1"/>
        <v>1871.4300000000005</v>
      </c>
      <c r="J130" s="100">
        <f t="shared" si="3"/>
        <v>26.75</v>
      </c>
      <c r="K130" s="101">
        <f t="shared" si="2"/>
        <v>-7.2760000000000105</v>
      </c>
    </row>
    <row r="131" spans="1:11" ht="12.75" x14ac:dyDescent="0.2">
      <c r="A131" s="92">
        <v>45688</v>
      </c>
      <c r="B131" s="93" t="s">
        <v>41</v>
      </c>
      <c r="C131" s="94">
        <v>0.92900000000000005</v>
      </c>
      <c r="D131" s="95" t="s">
        <v>282</v>
      </c>
      <c r="E131" s="96"/>
      <c r="F131" s="96"/>
      <c r="G131" s="97">
        <v>535</v>
      </c>
      <c r="H131" s="98">
        <f t="shared" si="0"/>
        <v>37.984999999999957</v>
      </c>
      <c r="I131" s="99">
        <f t="shared" si="1"/>
        <v>2089.1749999999975</v>
      </c>
      <c r="J131" s="100">
        <f t="shared" si="3"/>
        <v>26.75</v>
      </c>
      <c r="K131" s="101">
        <f t="shared" si="2"/>
        <v>-11.234999999999957</v>
      </c>
    </row>
    <row r="132" spans="1:11" ht="25.5" x14ac:dyDescent="0.2">
      <c r="A132" s="92">
        <v>45691</v>
      </c>
      <c r="B132" s="93" t="s">
        <v>33</v>
      </c>
      <c r="C132" s="94">
        <v>0.82799999999999996</v>
      </c>
      <c r="D132" s="95" t="s">
        <v>278</v>
      </c>
      <c r="E132" s="96" t="s">
        <v>233</v>
      </c>
      <c r="F132" s="96" t="s">
        <v>310</v>
      </c>
      <c r="G132" s="97">
        <v>535</v>
      </c>
      <c r="H132" s="98">
        <f t="shared" si="0"/>
        <v>92.020000000000039</v>
      </c>
      <c r="I132" s="99">
        <f t="shared" si="1"/>
        <v>5061.1000000000022</v>
      </c>
      <c r="J132" s="100">
        <f t="shared" si="3"/>
        <v>26.75</v>
      </c>
      <c r="K132" s="101">
        <f t="shared" si="2"/>
        <v>-65.270000000000039</v>
      </c>
    </row>
    <row r="133" spans="1:11" ht="12.75" x14ac:dyDescent="0.2">
      <c r="A133" s="92">
        <v>45692</v>
      </c>
      <c r="B133" s="93" t="s">
        <v>35</v>
      </c>
      <c r="C133" s="94">
        <v>0.96460000000000001</v>
      </c>
      <c r="D133" s="95" t="s">
        <v>282</v>
      </c>
      <c r="E133" s="96"/>
      <c r="F133" s="96"/>
      <c r="G133" s="97">
        <v>536</v>
      </c>
      <c r="H133" s="98">
        <f>G134-(C133*G134)</f>
        <v>18.974399999999946</v>
      </c>
      <c r="I133" s="99">
        <f t="shared" si="1"/>
        <v>1043.5919999999969</v>
      </c>
      <c r="J133" s="100">
        <f>G134-(G134*J$3)</f>
        <v>26.800000000000011</v>
      </c>
      <c r="K133" s="101">
        <f t="shared" si="2"/>
        <v>7.8256000000000654</v>
      </c>
    </row>
    <row r="134" spans="1:11" ht="12.75" x14ac:dyDescent="0.2">
      <c r="A134" s="92">
        <v>45693</v>
      </c>
      <c r="B134" s="93" t="s">
        <v>37</v>
      </c>
      <c r="C134" s="94">
        <v>0.96079999999999999</v>
      </c>
      <c r="D134" s="95" t="s">
        <v>282</v>
      </c>
      <c r="E134" s="96"/>
      <c r="F134" s="96"/>
      <c r="G134" s="97">
        <v>536</v>
      </c>
      <c r="H134" s="98" t="e">
        <f>#REF!-(C134*#REF!)</f>
        <v>#REF!</v>
      </c>
      <c r="I134" s="99" t="e">
        <f t="shared" si="1"/>
        <v>#REF!</v>
      </c>
      <c r="J134" s="100" t="e">
        <f>#REF!-(#REF!*J$3)</f>
        <v>#REF!</v>
      </c>
      <c r="K134" s="101" t="e">
        <f t="shared" si="2"/>
        <v>#REF!</v>
      </c>
    </row>
    <row r="135" spans="1:11" ht="12.75" x14ac:dyDescent="0.2">
      <c r="A135" s="92">
        <v>45694</v>
      </c>
      <c r="B135" s="93" t="s">
        <v>39</v>
      </c>
      <c r="C135" s="94">
        <v>0.96079999999999999</v>
      </c>
      <c r="D135" s="95" t="s">
        <v>282</v>
      </c>
      <c r="E135" s="96"/>
      <c r="F135" s="96"/>
      <c r="G135" s="97">
        <v>536</v>
      </c>
      <c r="H135" s="98">
        <f t="shared" ref="H135:H215" si="4">G135-(C135*G135)</f>
        <v>21.011200000000031</v>
      </c>
      <c r="I135" s="99">
        <f t="shared" si="1"/>
        <v>1155.6160000000018</v>
      </c>
      <c r="J135" s="100">
        <f t="shared" ref="J135:J215" si="5">G135-(G135*J$3)</f>
        <v>26.800000000000011</v>
      </c>
      <c r="K135" s="101">
        <f t="shared" si="2"/>
        <v>5.7887999999999806</v>
      </c>
    </row>
    <row r="136" spans="1:11" ht="12.75" x14ac:dyDescent="0.2">
      <c r="A136" s="92">
        <v>45695</v>
      </c>
      <c r="B136" s="93" t="s">
        <v>41</v>
      </c>
      <c r="C136" s="94">
        <v>0.94589999999999996</v>
      </c>
      <c r="D136" s="95" t="s">
        <v>282</v>
      </c>
      <c r="E136" s="96"/>
      <c r="F136" s="96"/>
      <c r="G136" s="97">
        <v>536</v>
      </c>
      <c r="H136" s="98">
        <f t="shared" si="4"/>
        <v>28.997600000000034</v>
      </c>
      <c r="I136" s="99">
        <f t="shared" si="1"/>
        <v>1594.8680000000018</v>
      </c>
      <c r="J136" s="100">
        <f t="shared" si="5"/>
        <v>26.800000000000011</v>
      </c>
      <c r="K136" s="101">
        <f t="shared" si="2"/>
        <v>-2.1976000000000226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4"/>
        <v>0</v>
      </c>
      <c r="I137" s="99">
        <f t="shared" si="1"/>
        <v>0</v>
      </c>
      <c r="J137" s="100">
        <f t="shared" si="5"/>
        <v>0</v>
      </c>
      <c r="K137" s="101">
        <f t="shared" si="2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4"/>
        <v>0</v>
      </c>
      <c r="I138" s="99">
        <f t="shared" si="1"/>
        <v>0</v>
      </c>
      <c r="J138" s="100">
        <f t="shared" si="5"/>
        <v>0</v>
      </c>
      <c r="K138" s="101">
        <f t="shared" si="2"/>
        <v>0</v>
      </c>
    </row>
    <row r="139" spans="1:11" ht="12.75" x14ac:dyDescent="0.2">
      <c r="A139" s="92">
        <v>45700</v>
      </c>
      <c r="B139" s="93" t="s">
        <v>37</v>
      </c>
      <c r="C139" s="94">
        <v>0.95709999999999995</v>
      </c>
      <c r="D139" s="95" t="s">
        <v>282</v>
      </c>
      <c r="E139" s="96"/>
      <c r="F139" s="96"/>
      <c r="G139" s="97">
        <v>536</v>
      </c>
      <c r="H139" s="98">
        <f t="shared" si="4"/>
        <v>22.994400000000041</v>
      </c>
      <c r="I139" s="99">
        <f t="shared" si="1"/>
        <v>1264.6920000000023</v>
      </c>
      <c r="J139" s="100">
        <f t="shared" si="5"/>
        <v>26.800000000000011</v>
      </c>
      <c r="K139" s="101">
        <f t="shared" si="2"/>
        <v>3.8055999999999699</v>
      </c>
    </row>
    <row r="140" spans="1:11" ht="12.75" x14ac:dyDescent="0.2">
      <c r="A140" s="92">
        <v>45701</v>
      </c>
      <c r="B140" s="93" t="s">
        <v>39</v>
      </c>
      <c r="C140" s="94">
        <v>0.95520000000000005</v>
      </c>
      <c r="D140" s="95" t="s">
        <v>282</v>
      </c>
      <c r="E140" s="96"/>
      <c r="F140" s="96"/>
      <c r="G140" s="97">
        <v>536</v>
      </c>
      <c r="H140" s="98">
        <f t="shared" si="4"/>
        <v>24.01279999999997</v>
      </c>
      <c r="I140" s="99">
        <f t="shared" si="1"/>
        <v>1320.7039999999984</v>
      </c>
      <c r="J140" s="100">
        <f t="shared" si="5"/>
        <v>26.800000000000011</v>
      </c>
      <c r="K140" s="101">
        <f t="shared" si="2"/>
        <v>2.7872000000000412</v>
      </c>
    </row>
    <row r="141" spans="1:11" ht="12.75" x14ac:dyDescent="0.2">
      <c r="A141" s="92">
        <v>45702</v>
      </c>
      <c r="B141" s="93" t="s">
        <v>41</v>
      </c>
      <c r="C141" s="94">
        <v>0.96079999999999999</v>
      </c>
      <c r="D141" s="95" t="s">
        <v>282</v>
      </c>
      <c r="E141" s="96"/>
      <c r="F141" s="96"/>
      <c r="G141" s="97">
        <v>536</v>
      </c>
      <c r="H141" s="98">
        <f t="shared" si="4"/>
        <v>21.011200000000031</v>
      </c>
      <c r="I141" s="99">
        <f t="shared" si="1"/>
        <v>1155.6160000000018</v>
      </c>
      <c r="J141" s="100">
        <f t="shared" si="5"/>
        <v>26.800000000000011</v>
      </c>
      <c r="K141" s="101">
        <f t="shared" si="2"/>
        <v>5.7887999999999806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4"/>
        <v>0</v>
      </c>
      <c r="I142" s="99">
        <f t="shared" si="1"/>
        <v>0</v>
      </c>
      <c r="J142" s="100">
        <f t="shared" si="5"/>
        <v>0</v>
      </c>
      <c r="K142" s="101">
        <f t="shared" si="2"/>
        <v>0</v>
      </c>
    </row>
    <row r="143" spans="1:11" ht="12.75" x14ac:dyDescent="0.2">
      <c r="A143" s="92">
        <v>45706</v>
      </c>
      <c r="B143" s="93" t="s">
        <v>35</v>
      </c>
      <c r="C143" s="94">
        <v>0.96079999999999999</v>
      </c>
      <c r="D143" s="95" t="s">
        <v>282</v>
      </c>
      <c r="E143" s="96"/>
      <c r="F143" s="96"/>
      <c r="G143" s="97">
        <v>536</v>
      </c>
      <c r="H143" s="98">
        <f t="shared" si="4"/>
        <v>21.011200000000031</v>
      </c>
      <c r="I143" s="99">
        <f t="shared" si="1"/>
        <v>1155.6160000000018</v>
      </c>
      <c r="J143" s="100">
        <f t="shared" si="5"/>
        <v>26.800000000000011</v>
      </c>
      <c r="K143" s="101">
        <f t="shared" si="2"/>
        <v>5.7887999999999806</v>
      </c>
    </row>
    <row r="144" spans="1:11" ht="12.75" x14ac:dyDescent="0.2">
      <c r="A144" s="92">
        <v>45707</v>
      </c>
      <c r="B144" s="93" t="s">
        <v>37</v>
      </c>
      <c r="C144" s="94">
        <v>0.94779999999999998</v>
      </c>
      <c r="D144" s="95" t="s">
        <v>282</v>
      </c>
      <c r="E144" s="96"/>
      <c r="F144" s="96"/>
      <c r="G144" s="97">
        <v>536</v>
      </c>
      <c r="H144" s="98">
        <f t="shared" si="4"/>
        <v>27.979199999999992</v>
      </c>
      <c r="I144" s="99">
        <f t="shared" si="1"/>
        <v>1538.8559999999995</v>
      </c>
      <c r="J144" s="100">
        <f t="shared" si="5"/>
        <v>26.800000000000011</v>
      </c>
      <c r="K144" s="101">
        <f t="shared" si="2"/>
        <v>-1.1791999999999803</v>
      </c>
    </row>
    <row r="145" spans="1:11" ht="12.75" x14ac:dyDescent="0.2">
      <c r="A145" s="92">
        <v>45708</v>
      </c>
      <c r="B145" s="93" t="s">
        <v>39</v>
      </c>
      <c r="C145" s="94">
        <v>0.88619999999999999</v>
      </c>
      <c r="D145" s="95" t="s">
        <v>278</v>
      </c>
      <c r="E145" s="96" t="s">
        <v>246</v>
      </c>
      <c r="F145" s="96"/>
      <c r="G145" s="97">
        <v>536</v>
      </c>
      <c r="H145" s="98">
        <f t="shared" si="4"/>
        <v>60.996800000000007</v>
      </c>
      <c r="I145" s="99">
        <f t="shared" si="1"/>
        <v>3354.8240000000005</v>
      </c>
      <c r="J145" s="100">
        <f t="shared" si="5"/>
        <v>26.800000000000011</v>
      </c>
      <c r="K145" s="101">
        <f t="shared" si="2"/>
        <v>-34.196799999999996</v>
      </c>
    </row>
    <row r="146" spans="1:11" ht="12.75" x14ac:dyDescent="0.2">
      <c r="A146" s="92">
        <v>45709</v>
      </c>
      <c r="B146" s="93" t="s">
        <v>41</v>
      </c>
      <c r="C146" s="94">
        <v>0.93100000000000005</v>
      </c>
      <c r="D146" s="95" t="s">
        <v>282</v>
      </c>
      <c r="E146" s="96"/>
      <c r="F146" s="96"/>
      <c r="G146" s="97">
        <v>536</v>
      </c>
      <c r="H146" s="98">
        <f t="shared" si="4"/>
        <v>36.98399999999998</v>
      </c>
      <c r="I146" s="99">
        <f t="shared" si="1"/>
        <v>2034.119999999999</v>
      </c>
      <c r="J146" s="100">
        <f t="shared" si="5"/>
        <v>26.800000000000011</v>
      </c>
      <c r="K146" s="101">
        <f t="shared" si="2"/>
        <v>-10.183999999999969</v>
      </c>
    </row>
    <row r="147" spans="1:11" ht="12.75" x14ac:dyDescent="0.2">
      <c r="A147" s="92">
        <v>45712</v>
      </c>
      <c r="B147" s="93" t="s">
        <v>33</v>
      </c>
      <c r="C147" s="94">
        <v>0.93459999999999999</v>
      </c>
      <c r="D147" s="95" t="s">
        <v>282</v>
      </c>
      <c r="E147" s="96"/>
      <c r="F147" s="96"/>
      <c r="G147" s="97">
        <v>535</v>
      </c>
      <c r="H147" s="98">
        <f t="shared" si="4"/>
        <v>34.989000000000033</v>
      </c>
      <c r="I147" s="99">
        <f t="shared" si="1"/>
        <v>1924.3950000000018</v>
      </c>
      <c r="J147" s="100">
        <f t="shared" si="5"/>
        <v>26.75</v>
      </c>
      <c r="K147" s="101">
        <f t="shared" si="2"/>
        <v>-8.2390000000000327</v>
      </c>
    </row>
    <row r="148" spans="1:11" ht="12.75" x14ac:dyDescent="0.2">
      <c r="A148" s="92">
        <v>45713</v>
      </c>
      <c r="B148" s="93" t="s">
        <v>35</v>
      </c>
      <c r="C148" s="94">
        <v>0.93679999999999997</v>
      </c>
      <c r="D148" s="95" t="s">
        <v>282</v>
      </c>
      <c r="E148" s="96"/>
      <c r="F148" s="96"/>
      <c r="G148" s="97">
        <v>538</v>
      </c>
      <c r="H148" s="98">
        <f t="shared" si="4"/>
        <v>34.001599999999996</v>
      </c>
      <c r="I148" s="99">
        <f t="shared" si="1"/>
        <v>1870.0879999999997</v>
      </c>
      <c r="J148" s="100">
        <f t="shared" si="5"/>
        <v>26.900000000000034</v>
      </c>
      <c r="K148" s="101">
        <f t="shared" si="2"/>
        <v>-7.1015999999999622</v>
      </c>
    </row>
    <row r="149" spans="1:11" ht="12.75" x14ac:dyDescent="0.2">
      <c r="A149" s="92">
        <v>45714</v>
      </c>
      <c r="B149" s="93" t="s">
        <v>37</v>
      </c>
      <c r="C149" s="94">
        <v>0.95889999999999997</v>
      </c>
      <c r="D149" s="95" t="s">
        <v>282</v>
      </c>
      <c r="E149" s="96"/>
      <c r="F149" s="96"/>
      <c r="G149" s="97">
        <v>535</v>
      </c>
      <c r="H149" s="98">
        <f t="shared" si="4"/>
        <v>21.988500000000045</v>
      </c>
      <c r="I149" s="99">
        <f t="shared" si="1"/>
        <v>1209.3675000000026</v>
      </c>
      <c r="J149" s="100">
        <f t="shared" si="5"/>
        <v>26.75</v>
      </c>
      <c r="K149" s="101">
        <f t="shared" si="2"/>
        <v>4.7614999999999554</v>
      </c>
    </row>
    <row r="150" spans="1:11" ht="12.75" x14ac:dyDescent="0.2">
      <c r="A150" s="92">
        <v>45715</v>
      </c>
      <c r="B150" s="93" t="s">
        <v>39</v>
      </c>
      <c r="C150" s="94">
        <v>0.95889999999999997</v>
      </c>
      <c r="D150" s="95" t="s">
        <v>282</v>
      </c>
      <c r="E150" s="96"/>
      <c r="F150" s="96"/>
      <c r="G150" s="97">
        <v>535</v>
      </c>
      <c r="H150" s="98">
        <f t="shared" si="4"/>
        <v>21.988500000000045</v>
      </c>
      <c r="I150" s="99">
        <f t="shared" si="1"/>
        <v>1209.3675000000026</v>
      </c>
      <c r="J150" s="100">
        <f t="shared" si="5"/>
        <v>26.75</v>
      </c>
      <c r="K150" s="101">
        <f t="shared" si="2"/>
        <v>4.7614999999999554</v>
      </c>
    </row>
    <row r="151" spans="1:11" ht="12.75" x14ac:dyDescent="0.2">
      <c r="A151" s="92">
        <v>45716</v>
      </c>
      <c r="B151" s="93" t="s">
        <v>41</v>
      </c>
      <c r="C151" s="94">
        <v>0.95140000000000002</v>
      </c>
      <c r="D151" s="95" t="s">
        <v>282</v>
      </c>
      <c r="E151" s="96"/>
      <c r="F151" s="96"/>
      <c r="G151" s="97">
        <v>535</v>
      </c>
      <c r="H151" s="98">
        <f t="shared" si="4"/>
        <v>26.000999999999976</v>
      </c>
      <c r="I151" s="99">
        <f t="shared" si="1"/>
        <v>1430.0549999999987</v>
      </c>
      <c r="J151" s="100">
        <f t="shared" si="5"/>
        <v>26.75</v>
      </c>
      <c r="K151" s="101">
        <f t="shared" si="2"/>
        <v>0.74900000000002365</v>
      </c>
    </row>
    <row r="152" spans="1:11" ht="12.75" x14ac:dyDescent="0.2">
      <c r="A152" s="92">
        <v>45719</v>
      </c>
      <c r="B152" s="93" t="s">
        <v>33</v>
      </c>
      <c r="C152" s="94">
        <v>0.93659999999999999</v>
      </c>
      <c r="D152" s="95" t="s">
        <v>301</v>
      </c>
      <c r="E152" s="96"/>
      <c r="F152" s="96"/>
      <c r="G152" s="97">
        <v>536</v>
      </c>
      <c r="H152" s="98">
        <f t="shared" si="4"/>
        <v>33.982399999999984</v>
      </c>
      <c r="I152" s="99">
        <f t="shared" si="1"/>
        <v>1869.0319999999992</v>
      </c>
      <c r="J152" s="100">
        <f t="shared" si="5"/>
        <v>26.800000000000011</v>
      </c>
      <c r="K152" s="101">
        <f t="shared" si="2"/>
        <v>-7.1823999999999728</v>
      </c>
    </row>
    <row r="153" spans="1:11" ht="12.75" x14ac:dyDescent="0.2">
      <c r="A153" s="92">
        <v>45720</v>
      </c>
      <c r="B153" s="93" t="s">
        <v>35</v>
      </c>
      <c r="C153" s="94">
        <v>0.91790000000000005</v>
      </c>
      <c r="D153" s="95" t="s">
        <v>282</v>
      </c>
      <c r="E153" s="96"/>
      <c r="F153" s="96"/>
      <c r="G153" s="97">
        <v>536</v>
      </c>
      <c r="H153" s="98">
        <f t="shared" si="4"/>
        <v>44.005599999999959</v>
      </c>
      <c r="I153" s="99">
        <f t="shared" si="1"/>
        <v>2420.3079999999977</v>
      </c>
      <c r="J153" s="100">
        <f t="shared" si="5"/>
        <v>26.800000000000011</v>
      </c>
      <c r="K153" s="101">
        <f t="shared" si="2"/>
        <v>-17.205599999999947</v>
      </c>
    </row>
    <row r="154" spans="1:11" ht="12.75" x14ac:dyDescent="0.2">
      <c r="A154" s="92">
        <v>45721</v>
      </c>
      <c r="B154" s="93" t="s">
        <v>37</v>
      </c>
      <c r="C154" s="94">
        <v>0.9627</v>
      </c>
      <c r="D154" s="95" t="s">
        <v>282</v>
      </c>
      <c r="E154" s="96"/>
      <c r="F154" s="96"/>
      <c r="G154" s="97">
        <v>536</v>
      </c>
      <c r="H154" s="98">
        <f t="shared" si="4"/>
        <v>19.992799999999988</v>
      </c>
      <c r="I154" s="99">
        <f t="shared" si="1"/>
        <v>1099.6039999999994</v>
      </c>
      <c r="J154" s="100">
        <f t="shared" si="5"/>
        <v>26.800000000000011</v>
      </c>
      <c r="K154" s="101">
        <f t="shared" si="2"/>
        <v>6.807200000000023</v>
      </c>
    </row>
    <row r="155" spans="1:11" ht="12.75" x14ac:dyDescent="0.2">
      <c r="A155" s="92">
        <v>45722</v>
      </c>
      <c r="B155" s="93" t="s">
        <v>39</v>
      </c>
      <c r="C155" s="94">
        <v>0.97589999999999999</v>
      </c>
      <c r="D155" s="95" t="s">
        <v>282</v>
      </c>
      <c r="E155" s="96"/>
      <c r="F155" s="96"/>
      <c r="G155" s="97">
        <v>539</v>
      </c>
      <c r="H155" s="98">
        <f t="shared" si="4"/>
        <v>12.989900000000034</v>
      </c>
      <c r="I155" s="99">
        <f t="shared" si="1"/>
        <v>714.44450000000188</v>
      </c>
      <c r="J155" s="100">
        <f t="shared" si="5"/>
        <v>26.950000000000045</v>
      </c>
      <c r="K155" s="101">
        <f t="shared" si="2"/>
        <v>13.960100000000011</v>
      </c>
    </row>
    <row r="156" spans="1:11" ht="12.75" x14ac:dyDescent="0.2">
      <c r="A156" s="92">
        <v>45723</v>
      </c>
      <c r="B156" s="93" t="s">
        <v>41</v>
      </c>
      <c r="C156" s="94">
        <v>0.9425</v>
      </c>
      <c r="D156" s="95" t="s">
        <v>282</v>
      </c>
      <c r="E156" s="96"/>
      <c r="F156" s="96"/>
      <c r="G156" s="97">
        <v>539</v>
      </c>
      <c r="H156" s="98">
        <f t="shared" si="4"/>
        <v>30.992500000000007</v>
      </c>
      <c r="I156" s="99">
        <f t="shared" si="1"/>
        <v>1704.5875000000003</v>
      </c>
      <c r="J156" s="100">
        <f t="shared" si="5"/>
        <v>26.950000000000045</v>
      </c>
      <c r="K156" s="101">
        <f t="shared" si="2"/>
        <v>-4.0424999999999613</v>
      </c>
    </row>
    <row r="157" spans="1:11" ht="12.75" x14ac:dyDescent="0.2">
      <c r="A157" s="123">
        <v>45726</v>
      </c>
      <c r="B157" s="124" t="s">
        <v>33</v>
      </c>
      <c r="C157" s="94">
        <v>0.91469999999999996</v>
      </c>
      <c r="D157" s="95" t="s">
        <v>282</v>
      </c>
      <c r="E157" s="96"/>
      <c r="F157" s="96"/>
      <c r="G157" s="97">
        <v>539</v>
      </c>
      <c r="H157" s="98">
        <f t="shared" si="4"/>
        <v>45.976700000000051</v>
      </c>
      <c r="I157" s="99">
        <f t="shared" si="1"/>
        <v>2528.7185000000027</v>
      </c>
      <c r="J157" s="100">
        <f t="shared" si="5"/>
        <v>26.950000000000045</v>
      </c>
      <c r="K157" s="101">
        <f t="shared" si="2"/>
        <v>-19.026700000000005</v>
      </c>
    </row>
    <row r="158" spans="1:11" ht="12.75" x14ac:dyDescent="0.2">
      <c r="A158" s="123">
        <v>45727</v>
      </c>
      <c r="B158" s="124" t="s">
        <v>35</v>
      </c>
      <c r="C158" s="94">
        <v>0.94620000000000004</v>
      </c>
      <c r="D158" s="95" t="s">
        <v>282</v>
      </c>
      <c r="E158" s="96"/>
      <c r="F158" s="96"/>
      <c r="G158" s="97">
        <v>539</v>
      </c>
      <c r="H158" s="98">
        <f t="shared" si="4"/>
        <v>28.998199999999997</v>
      </c>
      <c r="I158" s="99">
        <f t="shared" si="1"/>
        <v>1594.9009999999998</v>
      </c>
      <c r="J158" s="100">
        <f t="shared" si="5"/>
        <v>26.950000000000045</v>
      </c>
      <c r="K158" s="101">
        <f t="shared" si="2"/>
        <v>-2.0481999999999516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4"/>
        <v>0</v>
      </c>
      <c r="I159" s="99">
        <f t="shared" si="1"/>
        <v>0</v>
      </c>
      <c r="J159" s="100">
        <f t="shared" si="5"/>
        <v>0</v>
      </c>
      <c r="K159" s="101">
        <f t="shared" si="2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4"/>
        <v>0</v>
      </c>
      <c r="I160" s="99">
        <f t="shared" si="1"/>
        <v>0</v>
      </c>
      <c r="J160" s="100">
        <f t="shared" si="5"/>
        <v>0</v>
      </c>
      <c r="K160" s="101">
        <f t="shared" si="2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4"/>
        <v>0</v>
      </c>
      <c r="I161" s="99">
        <f t="shared" si="1"/>
        <v>0</v>
      </c>
      <c r="J161" s="100">
        <f t="shared" si="5"/>
        <v>0</v>
      </c>
      <c r="K161" s="101">
        <f t="shared" si="2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4"/>
        <v>0</v>
      </c>
      <c r="I162" s="99">
        <f t="shared" si="1"/>
        <v>0</v>
      </c>
      <c r="J162" s="100">
        <f t="shared" si="5"/>
        <v>0</v>
      </c>
      <c r="K162" s="101">
        <f t="shared" si="2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4"/>
        <v>0</v>
      </c>
      <c r="I163" s="99">
        <f t="shared" si="1"/>
        <v>0</v>
      </c>
      <c r="J163" s="100">
        <f t="shared" si="5"/>
        <v>0</v>
      </c>
      <c r="K163" s="101">
        <f t="shared" si="2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4"/>
        <v>0</v>
      </c>
      <c r="I164" s="99">
        <f t="shared" si="1"/>
        <v>0</v>
      </c>
      <c r="J164" s="100">
        <f t="shared" si="5"/>
        <v>0</v>
      </c>
      <c r="K164" s="101">
        <f t="shared" si="2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4"/>
        <v>0</v>
      </c>
      <c r="I165" s="99">
        <f t="shared" si="1"/>
        <v>0</v>
      </c>
      <c r="J165" s="100">
        <f t="shared" si="5"/>
        <v>0</v>
      </c>
      <c r="K165" s="101">
        <f t="shared" si="2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4"/>
        <v>0</v>
      </c>
      <c r="I166" s="99">
        <f t="shared" si="1"/>
        <v>0</v>
      </c>
      <c r="J166" s="100">
        <f t="shared" si="5"/>
        <v>0</v>
      </c>
      <c r="K166" s="101">
        <f t="shared" si="2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4"/>
        <v>0</v>
      </c>
      <c r="I167" s="99">
        <f t="shared" si="1"/>
        <v>0</v>
      </c>
      <c r="J167" s="100">
        <f t="shared" si="5"/>
        <v>0</v>
      </c>
      <c r="K167" s="101">
        <f t="shared" si="2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4"/>
        <v>0</v>
      </c>
      <c r="I168" s="99">
        <f t="shared" si="1"/>
        <v>0</v>
      </c>
      <c r="J168" s="100">
        <f t="shared" si="5"/>
        <v>0</v>
      </c>
      <c r="K168" s="101">
        <f t="shared" si="2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4"/>
        <v>0</v>
      </c>
      <c r="I169" s="99">
        <f t="shared" si="1"/>
        <v>0</v>
      </c>
      <c r="J169" s="100">
        <f t="shared" si="5"/>
        <v>0</v>
      </c>
      <c r="K169" s="101">
        <f t="shared" si="2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4"/>
        <v>0</v>
      </c>
      <c r="I170" s="99">
        <f t="shared" si="1"/>
        <v>0</v>
      </c>
      <c r="J170" s="100">
        <f t="shared" si="5"/>
        <v>0</v>
      </c>
      <c r="K170" s="101">
        <f t="shared" si="2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4"/>
        <v>0</v>
      </c>
      <c r="I171" s="99">
        <f t="shared" si="1"/>
        <v>0</v>
      </c>
      <c r="J171" s="100">
        <f t="shared" si="5"/>
        <v>0</v>
      </c>
      <c r="K171" s="101">
        <f t="shared" si="2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4"/>
        <v>0</v>
      </c>
      <c r="I172" s="99">
        <f t="shared" si="1"/>
        <v>0</v>
      </c>
      <c r="J172" s="100">
        <f t="shared" si="5"/>
        <v>0</v>
      </c>
      <c r="K172" s="101">
        <f t="shared" si="2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4"/>
        <v>0</v>
      </c>
      <c r="I173" s="99">
        <f t="shared" si="1"/>
        <v>0</v>
      </c>
      <c r="J173" s="100">
        <f t="shared" si="5"/>
        <v>0</v>
      </c>
      <c r="K173" s="101">
        <f t="shared" si="2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4"/>
        <v>0</v>
      </c>
      <c r="I174" s="99">
        <f t="shared" si="1"/>
        <v>0</v>
      </c>
      <c r="J174" s="100">
        <f t="shared" si="5"/>
        <v>0</v>
      </c>
      <c r="K174" s="101">
        <f t="shared" si="2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4"/>
        <v>0</v>
      </c>
      <c r="I175" s="99">
        <f t="shared" si="1"/>
        <v>0</v>
      </c>
      <c r="J175" s="100">
        <f t="shared" si="5"/>
        <v>0</v>
      </c>
      <c r="K175" s="101">
        <f t="shared" si="2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4"/>
        <v>0</v>
      </c>
      <c r="I176" s="99">
        <f t="shared" si="1"/>
        <v>0</v>
      </c>
      <c r="J176" s="100">
        <f t="shared" si="5"/>
        <v>0</v>
      </c>
      <c r="K176" s="101">
        <f t="shared" si="2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4"/>
        <v>0</v>
      </c>
      <c r="I177" s="99">
        <f t="shared" si="1"/>
        <v>0</v>
      </c>
      <c r="J177" s="100">
        <f t="shared" si="5"/>
        <v>0</v>
      </c>
      <c r="K177" s="101">
        <f t="shared" si="2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4"/>
        <v>0</v>
      </c>
      <c r="I178" s="99">
        <f t="shared" si="1"/>
        <v>0</v>
      </c>
      <c r="J178" s="100">
        <f t="shared" si="5"/>
        <v>0</v>
      </c>
      <c r="K178" s="101">
        <f t="shared" si="2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4"/>
        <v>0</v>
      </c>
      <c r="I179" s="99">
        <f t="shared" si="1"/>
        <v>0</v>
      </c>
      <c r="J179" s="100">
        <f t="shared" si="5"/>
        <v>0</v>
      </c>
      <c r="K179" s="101">
        <f t="shared" si="2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4"/>
        <v>0</v>
      </c>
      <c r="I180" s="99">
        <f t="shared" si="1"/>
        <v>0</v>
      </c>
      <c r="J180" s="100">
        <f t="shared" si="5"/>
        <v>0</v>
      </c>
      <c r="K180" s="101">
        <f t="shared" si="2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4"/>
        <v>0</v>
      </c>
      <c r="I181" s="99">
        <f t="shared" si="1"/>
        <v>0</v>
      </c>
      <c r="J181" s="100">
        <f t="shared" si="5"/>
        <v>0</v>
      </c>
      <c r="K181" s="101">
        <f t="shared" si="2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4"/>
        <v>0</v>
      </c>
      <c r="I182" s="99">
        <f t="shared" si="1"/>
        <v>0</v>
      </c>
      <c r="J182" s="100">
        <f t="shared" si="5"/>
        <v>0</v>
      </c>
      <c r="K182" s="101">
        <f t="shared" si="2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4"/>
        <v>0</v>
      </c>
      <c r="I183" s="99">
        <f t="shared" si="1"/>
        <v>0</v>
      </c>
      <c r="J183" s="100">
        <f t="shared" si="5"/>
        <v>0</v>
      </c>
      <c r="K183" s="101">
        <f t="shared" si="2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4"/>
        <v>0</v>
      </c>
      <c r="I184" s="99">
        <f t="shared" si="1"/>
        <v>0</v>
      </c>
      <c r="J184" s="100">
        <f t="shared" si="5"/>
        <v>0</v>
      </c>
      <c r="K184" s="101">
        <f t="shared" si="2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4"/>
        <v>0</v>
      </c>
      <c r="I185" s="99">
        <f t="shared" si="1"/>
        <v>0</v>
      </c>
      <c r="J185" s="100">
        <f t="shared" si="5"/>
        <v>0</v>
      </c>
      <c r="K185" s="101">
        <f t="shared" si="2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4"/>
        <v>0</v>
      </c>
      <c r="I186" s="99">
        <f t="shared" si="1"/>
        <v>0</v>
      </c>
      <c r="J186" s="100">
        <f t="shared" si="5"/>
        <v>0</v>
      </c>
      <c r="K186" s="101">
        <f t="shared" si="2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4"/>
        <v>0</v>
      </c>
      <c r="I187" s="99">
        <f t="shared" si="1"/>
        <v>0</v>
      </c>
      <c r="J187" s="100">
        <f t="shared" si="5"/>
        <v>0</v>
      </c>
      <c r="K187" s="101">
        <f t="shared" si="2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4"/>
        <v>0</v>
      </c>
      <c r="I188" s="99">
        <f t="shared" si="1"/>
        <v>0</v>
      </c>
      <c r="J188" s="100">
        <f t="shared" si="5"/>
        <v>0</v>
      </c>
      <c r="K188" s="101">
        <f t="shared" si="2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4"/>
        <v>0</v>
      </c>
      <c r="I189" s="99">
        <f t="shared" si="1"/>
        <v>0</v>
      </c>
      <c r="J189" s="100">
        <f t="shared" si="5"/>
        <v>0</v>
      </c>
      <c r="K189" s="101">
        <f t="shared" si="2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4"/>
        <v>0</v>
      </c>
      <c r="I190" s="99">
        <f t="shared" si="1"/>
        <v>0</v>
      </c>
      <c r="J190" s="100">
        <f t="shared" si="5"/>
        <v>0</v>
      </c>
      <c r="K190" s="101">
        <f t="shared" si="2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4"/>
        <v>0</v>
      </c>
      <c r="I191" s="99">
        <f t="shared" si="1"/>
        <v>0</v>
      </c>
      <c r="J191" s="100">
        <f t="shared" si="5"/>
        <v>0</v>
      </c>
      <c r="K191" s="101">
        <f t="shared" si="2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4"/>
        <v>0</v>
      </c>
      <c r="I192" s="99">
        <f t="shared" si="1"/>
        <v>0</v>
      </c>
      <c r="J192" s="100">
        <f t="shared" si="5"/>
        <v>0</v>
      </c>
      <c r="K192" s="101">
        <f t="shared" si="2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4"/>
        <v>0</v>
      </c>
      <c r="I193" s="99">
        <f t="shared" si="1"/>
        <v>0</v>
      </c>
      <c r="J193" s="100">
        <f t="shared" si="5"/>
        <v>0</v>
      </c>
      <c r="K193" s="101">
        <f t="shared" si="2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4"/>
        <v>0</v>
      </c>
      <c r="I194" s="99">
        <f t="shared" si="1"/>
        <v>0</v>
      </c>
      <c r="J194" s="100">
        <f t="shared" si="5"/>
        <v>0</v>
      </c>
      <c r="K194" s="101">
        <f t="shared" si="2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4"/>
        <v>0</v>
      </c>
      <c r="I195" s="99">
        <f t="shared" si="1"/>
        <v>0</v>
      </c>
      <c r="J195" s="100">
        <f t="shared" si="5"/>
        <v>0</v>
      </c>
      <c r="K195" s="101">
        <f t="shared" si="2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4"/>
        <v>0</v>
      </c>
      <c r="I196" s="99">
        <f t="shared" si="1"/>
        <v>0</v>
      </c>
      <c r="J196" s="100">
        <f t="shared" si="5"/>
        <v>0</v>
      </c>
      <c r="K196" s="101">
        <f t="shared" si="2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4"/>
        <v>0</v>
      </c>
      <c r="I197" s="99">
        <f t="shared" si="1"/>
        <v>0</v>
      </c>
      <c r="J197" s="100">
        <f t="shared" si="5"/>
        <v>0</v>
      </c>
      <c r="K197" s="101">
        <f t="shared" si="2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4"/>
        <v>0</v>
      </c>
      <c r="I198" s="99">
        <f t="shared" si="1"/>
        <v>0</v>
      </c>
      <c r="J198" s="100">
        <f t="shared" si="5"/>
        <v>0</v>
      </c>
      <c r="K198" s="101">
        <f t="shared" si="2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4"/>
        <v>0</v>
      </c>
      <c r="I199" s="99">
        <f t="shared" si="1"/>
        <v>0</v>
      </c>
      <c r="J199" s="100">
        <f t="shared" si="5"/>
        <v>0</v>
      </c>
      <c r="K199" s="101">
        <f t="shared" si="2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4"/>
        <v>0</v>
      </c>
      <c r="I200" s="99">
        <f t="shared" si="1"/>
        <v>0</v>
      </c>
      <c r="J200" s="100">
        <f t="shared" si="5"/>
        <v>0</v>
      </c>
      <c r="K200" s="101">
        <f t="shared" si="2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4"/>
        <v>0</v>
      </c>
      <c r="I201" s="99">
        <f t="shared" si="1"/>
        <v>0</v>
      </c>
      <c r="J201" s="100">
        <f t="shared" si="5"/>
        <v>0</v>
      </c>
      <c r="K201" s="101">
        <f t="shared" si="2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4"/>
        <v>0</v>
      </c>
      <c r="I202" s="99">
        <f t="shared" si="1"/>
        <v>0</v>
      </c>
      <c r="J202" s="100">
        <f t="shared" si="5"/>
        <v>0</v>
      </c>
      <c r="K202" s="101">
        <f t="shared" si="2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4"/>
        <v>0</v>
      </c>
      <c r="I203" s="99">
        <f t="shared" si="1"/>
        <v>0</v>
      </c>
      <c r="J203" s="100">
        <f t="shared" si="5"/>
        <v>0</v>
      </c>
      <c r="K203" s="101">
        <f t="shared" si="2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4"/>
        <v>0</v>
      </c>
      <c r="I204" s="99">
        <f t="shared" si="1"/>
        <v>0</v>
      </c>
      <c r="J204" s="100">
        <f t="shared" si="5"/>
        <v>0</v>
      </c>
      <c r="K204" s="101">
        <f t="shared" si="2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4"/>
        <v>0</v>
      </c>
      <c r="I205" s="99">
        <f t="shared" si="1"/>
        <v>0</v>
      </c>
      <c r="J205" s="100">
        <f t="shared" si="5"/>
        <v>0</v>
      </c>
      <c r="K205" s="101">
        <f t="shared" si="2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4"/>
        <v>0</v>
      </c>
      <c r="I206" s="99">
        <f t="shared" si="1"/>
        <v>0</v>
      </c>
      <c r="J206" s="100">
        <f t="shared" si="5"/>
        <v>0</v>
      </c>
      <c r="K206" s="101">
        <f t="shared" si="2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4"/>
        <v>0</v>
      </c>
      <c r="I207" s="99">
        <f t="shared" si="1"/>
        <v>0</v>
      </c>
      <c r="J207" s="100">
        <f t="shared" si="5"/>
        <v>0</v>
      </c>
      <c r="K207" s="101">
        <f t="shared" si="2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4"/>
        <v>0</v>
      </c>
      <c r="I208" s="99">
        <f t="shared" si="1"/>
        <v>0</v>
      </c>
      <c r="J208" s="100">
        <f t="shared" si="5"/>
        <v>0</v>
      </c>
      <c r="K208" s="101">
        <f t="shared" si="2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4"/>
        <v>0</v>
      </c>
      <c r="I209" s="99">
        <f t="shared" si="1"/>
        <v>0</v>
      </c>
      <c r="J209" s="100">
        <f t="shared" si="5"/>
        <v>0</v>
      </c>
      <c r="K209" s="101">
        <f t="shared" si="2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4"/>
        <v>0</v>
      </c>
      <c r="I210" s="99">
        <f t="shared" si="1"/>
        <v>0</v>
      </c>
      <c r="J210" s="100">
        <f t="shared" si="5"/>
        <v>0</v>
      </c>
      <c r="K210" s="101">
        <f t="shared" si="2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4"/>
        <v>0</v>
      </c>
      <c r="I211" s="99">
        <f t="shared" si="1"/>
        <v>0</v>
      </c>
      <c r="J211" s="100">
        <f t="shared" si="5"/>
        <v>0</v>
      </c>
      <c r="K211" s="101">
        <f t="shared" si="2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4"/>
        <v>0</v>
      </c>
      <c r="I212" s="99">
        <f t="shared" si="1"/>
        <v>0</v>
      </c>
      <c r="J212" s="100">
        <f t="shared" si="5"/>
        <v>0</v>
      </c>
      <c r="K212" s="101">
        <f t="shared" si="2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4"/>
        <v>0</v>
      </c>
      <c r="I213" s="99">
        <f t="shared" si="1"/>
        <v>0</v>
      </c>
      <c r="J213" s="100">
        <f t="shared" si="5"/>
        <v>0</v>
      </c>
      <c r="K213" s="101">
        <f t="shared" si="2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4"/>
        <v>0</v>
      </c>
      <c r="I214" s="99">
        <f t="shared" si="1"/>
        <v>0</v>
      </c>
      <c r="J214" s="100">
        <f t="shared" si="5"/>
        <v>0</v>
      </c>
      <c r="K214" s="101">
        <f t="shared" si="2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4"/>
        <v>0</v>
      </c>
      <c r="I215" s="99">
        <f t="shared" si="1"/>
        <v>0</v>
      </c>
      <c r="J215" s="100">
        <f t="shared" si="5"/>
        <v>0</v>
      </c>
      <c r="K215" s="101">
        <f t="shared" si="2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7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36" priority="4" operator="lessThan">
      <formula>"92%"</formula>
    </cfRule>
  </conditionalFormatting>
  <conditionalFormatting sqref="C7:C215">
    <cfRule type="cellIs" dxfId="35" priority="1" operator="lessThan">
      <formula>"90%"</formula>
    </cfRule>
    <cfRule type="cellIs" dxfId="34" priority="2" operator="lessThan">
      <formula>"94%"</formula>
    </cfRule>
  </conditionalFormatting>
  <conditionalFormatting sqref="K1:K853">
    <cfRule type="cellIs" dxfId="33" priority="3" operator="lessThan">
      <formula>0</formula>
    </cfRule>
  </conditionalFormatting>
  <dataValidations count="1">
    <dataValidation type="list" allowBlank="1" sqref="E7:E215" xr:uid="{00000000-0002-0000-07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73763"/>
    <outlinePr summaryBelow="0" summaryRight="0"/>
    <pageSetUpPr fitToPage="1"/>
  </sheetPr>
  <dimension ref="A1:K853"/>
  <sheetViews>
    <sheetView workbookViewId="0"/>
  </sheetViews>
  <sheetFormatPr defaultColWidth="12.5703125" defaultRowHeight="15.75" customHeight="1" x14ac:dyDescent="0.2"/>
  <cols>
    <col min="1" max="1" width="9.42578125" customWidth="1"/>
    <col min="2" max="2" width="17.85546875" customWidth="1"/>
    <col min="3" max="3" width="11.5703125" customWidth="1"/>
    <col min="4" max="4" width="14.42578125" customWidth="1"/>
    <col min="5" max="5" width="16.42578125" customWidth="1"/>
    <col min="6" max="6" width="45.85546875" customWidth="1"/>
    <col min="7" max="7" width="12.42578125" customWidth="1"/>
    <col min="8" max="10" width="16.28515625" customWidth="1"/>
    <col min="11" max="11" width="17.42578125" customWidth="1"/>
  </cols>
  <sheetData>
    <row r="1" spans="1:11" ht="12.75" x14ac:dyDescent="0.2">
      <c r="A1" s="137"/>
      <c r="B1" s="137"/>
      <c r="C1" s="137"/>
      <c r="D1" s="137"/>
      <c r="E1" s="137"/>
      <c r="F1" s="137"/>
      <c r="G1" s="137"/>
      <c r="H1" s="138"/>
      <c r="I1" s="138"/>
      <c r="J1" s="139"/>
      <c r="K1" s="134">
        <f>SUM(K7:K215)</f>
        <v>40.897600000007515</v>
      </c>
    </row>
    <row r="2" spans="1:11" x14ac:dyDescent="0.25">
      <c r="A2" s="242" t="s">
        <v>311</v>
      </c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312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318273.85150000005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89" t="s">
        <v>222</v>
      </c>
      <c r="I6" s="90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226</v>
      </c>
      <c r="E7" s="96"/>
      <c r="F7" s="96" t="s">
        <v>313</v>
      </c>
      <c r="G7" s="97">
        <v>1213</v>
      </c>
      <c r="H7" s="98">
        <f t="shared" ref="H7:H215" si="0">G7-(C7*G7)</f>
        <v>0</v>
      </c>
      <c r="I7" s="99">
        <f t="shared" ref="I7:I215" si="1">H7*$H$5</f>
        <v>0</v>
      </c>
      <c r="J7" s="100">
        <v>0</v>
      </c>
      <c r="K7" s="101">
        <f t="shared" ref="K7:K215" si="2">J7-H7</f>
        <v>0</v>
      </c>
    </row>
    <row r="8" spans="1:11" ht="12.75" x14ac:dyDescent="0.2">
      <c r="A8" s="92">
        <v>45517</v>
      </c>
      <c r="B8" s="93" t="s">
        <v>35</v>
      </c>
      <c r="C8" s="94">
        <v>0.98509999999999998</v>
      </c>
      <c r="D8" s="95" t="s">
        <v>226</v>
      </c>
      <c r="E8" s="96"/>
      <c r="F8" s="96" t="s">
        <v>314</v>
      </c>
      <c r="G8" s="97">
        <v>1271</v>
      </c>
      <c r="H8" s="98">
        <f t="shared" si="0"/>
        <v>18.937900000000127</v>
      </c>
      <c r="I8" s="99">
        <f t="shared" si="1"/>
        <v>1041.584500000007</v>
      </c>
      <c r="J8" s="100">
        <f t="shared" ref="J8:J215" si="3">G8-(G8*J$3)</f>
        <v>63.549999999999955</v>
      </c>
      <c r="K8" s="101">
        <f t="shared" si="2"/>
        <v>44.612099999999828</v>
      </c>
    </row>
    <row r="9" spans="1:11" ht="12.75" x14ac:dyDescent="0.2">
      <c r="A9" s="92">
        <v>45518</v>
      </c>
      <c r="B9" s="93" t="s">
        <v>37</v>
      </c>
      <c r="C9" s="94">
        <v>0.98299999999999998</v>
      </c>
      <c r="D9" s="95" t="s">
        <v>226</v>
      </c>
      <c r="E9" s="96"/>
      <c r="F9" s="96"/>
      <c r="G9" s="97">
        <v>1293</v>
      </c>
      <c r="H9" s="98">
        <f t="shared" si="0"/>
        <v>21.980999999999995</v>
      </c>
      <c r="I9" s="99">
        <f t="shared" si="1"/>
        <v>1208.9549999999997</v>
      </c>
      <c r="J9" s="100">
        <f t="shared" si="3"/>
        <v>64.650000000000091</v>
      </c>
      <c r="K9" s="101">
        <f t="shared" si="2"/>
        <v>42.669000000000096</v>
      </c>
    </row>
    <row r="10" spans="1:11" ht="12.75" x14ac:dyDescent="0.2">
      <c r="A10" s="92">
        <v>45519</v>
      </c>
      <c r="B10" s="93" t="s">
        <v>39</v>
      </c>
      <c r="C10" s="94">
        <v>0.97689999999999999</v>
      </c>
      <c r="D10" s="95" t="s">
        <v>226</v>
      </c>
      <c r="E10" s="96"/>
      <c r="F10" s="96" t="s">
        <v>315</v>
      </c>
      <c r="G10" s="97">
        <v>1301</v>
      </c>
      <c r="H10" s="98">
        <f t="shared" si="0"/>
        <v>30.053100000000086</v>
      </c>
      <c r="I10" s="99">
        <f t="shared" si="1"/>
        <v>1652.9205000000047</v>
      </c>
      <c r="J10" s="100">
        <f t="shared" si="3"/>
        <v>65.049999999999955</v>
      </c>
      <c r="K10" s="101">
        <f t="shared" si="2"/>
        <v>34.996899999999869</v>
      </c>
    </row>
    <row r="11" spans="1:11" ht="12.75" x14ac:dyDescent="0.2">
      <c r="A11" s="92">
        <v>45520</v>
      </c>
      <c r="B11" s="93" t="s">
        <v>41</v>
      </c>
      <c r="C11" s="94">
        <v>0.95650000000000002</v>
      </c>
      <c r="D11" s="95" t="s">
        <v>226</v>
      </c>
      <c r="E11" s="96"/>
      <c r="F11" s="96" t="s">
        <v>316</v>
      </c>
      <c r="G11" s="97">
        <v>1310</v>
      </c>
      <c r="H11" s="98">
        <f t="shared" si="0"/>
        <v>56.9849999999999</v>
      </c>
      <c r="I11" s="99">
        <f t="shared" si="1"/>
        <v>3134.1749999999947</v>
      </c>
      <c r="J11" s="100">
        <f t="shared" si="3"/>
        <v>65.5</v>
      </c>
      <c r="K11" s="101">
        <f t="shared" si="2"/>
        <v>8.5150000000001</v>
      </c>
    </row>
    <row r="12" spans="1:11" ht="12.75" x14ac:dyDescent="0.2">
      <c r="A12" s="92">
        <v>45523</v>
      </c>
      <c r="B12" s="93" t="s">
        <v>33</v>
      </c>
      <c r="C12" s="94">
        <v>0.96970000000000001</v>
      </c>
      <c r="D12" s="95" t="s">
        <v>226</v>
      </c>
      <c r="E12" s="96"/>
      <c r="F12" s="96"/>
      <c r="G12" s="97">
        <v>1322</v>
      </c>
      <c r="H12" s="98">
        <f t="shared" si="0"/>
        <v>40.056599999999889</v>
      </c>
      <c r="I12" s="99">
        <f t="shared" si="1"/>
        <v>2203.1129999999939</v>
      </c>
      <c r="J12" s="100">
        <f t="shared" si="3"/>
        <v>66.100000000000136</v>
      </c>
      <c r="K12" s="101">
        <f t="shared" si="2"/>
        <v>26.043400000000247</v>
      </c>
    </row>
    <row r="13" spans="1:11" ht="12.75" x14ac:dyDescent="0.2">
      <c r="A13" s="92">
        <v>45524</v>
      </c>
      <c r="B13" s="93" t="s">
        <v>35</v>
      </c>
      <c r="C13" s="94">
        <v>0.96760000000000002</v>
      </c>
      <c r="D13" s="95" t="s">
        <v>226</v>
      </c>
      <c r="E13" s="96"/>
      <c r="F13" s="96"/>
      <c r="G13" s="97">
        <v>1327</v>
      </c>
      <c r="H13" s="98">
        <f t="shared" si="0"/>
        <v>42.994799999999941</v>
      </c>
      <c r="I13" s="99">
        <f t="shared" si="1"/>
        <v>2364.7139999999968</v>
      </c>
      <c r="J13" s="100">
        <f t="shared" si="3"/>
        <v>66.350000000000136</v>
      </c>
      <c r="K13" s="101">
        <f t="shared" si="2"/>
        <v>23.355200000000195</v>
      </c>
    </row>
    <row r="14" spans="1:11" ht="12.75" x14ac:dyDescent="0.2">
      <c r="A14" s="92">
        <v>45525</v>
      </c>
      <c r="B14" s="93" t="s">
        <v>37</v>
      </c>
      <c r="C14" s="94">
        <v>0.94820000000000004</v>
      </c>
      <c r="D14" s="95" t="s">
        <v>226</v>
      </c>
      <c r="E14" s="96"/>
      <c r="F14" s="96"/>
      <c r="G14" s="97">
        <v>1332</v>
      </c>
      <c r="H14" s="98">
        <f t="shared" si="0"/>
        <v>68.99759999999992</v>
      </c>
      <c r="I14" s="99">
        <f t="shared" si="1"/>
        <v>3794.8679999999958</v>
      </c>
      <c r="J14" s="100">
        <f t="shared" si="3"/>
        <v>66.600000000000136</v>
      </c>
      <c r="K14" s="101">
        <f t="shared" si="2"/>
        <v>-2.3975999999997839</v>
      </c>
    </row>
    <row r="15" spans="1:11" ht="12.75" x14ac:dyDescent="0.2">
      <c r="A15" s="92">
        <v>45526</v>
      </c>
      <c r="B15" s="93" t="s">
        <v>39</v>
      </c>
      <c r="C15" s="94">
        <v>0.96399999999999997</v>
      </c>
      <c r="D15" s="95" t="s">
        <v>226</v>
      </c>
      <c r="E15" s="96" t="s">
        <v>228</v>
      </c>
      <c r="F15" s="96"/>
      <c r="G15" s="97">
        <v>1335</v>
      </c>
      <c r="H15" s="98">
        <f t="shared" si="0"/>
        <v>48.059999999999945</v>
      </c>
      <c r="I15" s="99">
        <f t="shared" si="1"/>
        <v>2643.299999999997</v>
      </c>
      <c r="J15" s="100">
        <f t="shared" si="3"/>
        <v>66.75</v>
      </c>
      <c r="K15" s="101">
        <f t="shared" si="2"/>
        <v>18.690000000000055</v>
      </c>
    </row>
    <row r="16" spans="1:11" ht="12.75" x14ac:dyDescent="0.2">
      <c r="A16" s="92">
        <v>45527</v>
      </c>
      <c r="B16" s="93" t="s">
        <v>41</v>
      </c>
      <c r="C16" s="94">
        <v>0.94540000000000002</v>
      </c>
      <c r="D16" s="95" t="s">
        <v>226</v>
      </c>
      <c r="E16" s="96" t="s">
        <v>228</v>
      </c>
      <c r="F16" s="96" t="s">
        <v>317</v>
      </c>
      <c r="G16" s="97">
        <v>1338</v>
      </c>
      <c r="H16" s="98">
        <f t="shared" si="0"/>
        <v>73.054799999999886</v>
      </c>
      <c r="I16" s="99">
        <f t="shared" si="1"/>
        <v>4018.0139999999938</v>
      </c>
      <c r="J16" s="100">
        <f t="shared" si="3"/>
        <v>66.900000000000091</v>
      </c>
      <c r="K16" s="101">
        <f t="shared" si="2"/>
        <v>-6.1547999999997955</v>
      </c>
    </row>
    <row r="17" spans="1:11" ht="12.75" x14ac:dyDescent="0.2">
      <c r="A17" s="92">
        <v>45530</v>
      </c>
      <c r="B17" s="93" t="s">
        <v>33</v>
      </c>
      <c r="C17" s="94">
        <v>0.94869999999999999</v>
      </c>
      <c r="D17" s="95" t="s">
        <v>226</v>
      </c>
      <c r="E17" s="96" t="s">
        <v>246</v>
      </c>
      <c r="F17" s="96" t="s">
        <v>318</v>
      </c>
      <c r="G17" s="97">
        <v>1345</v>
      </c>
      <c r="H17" s="98">
        <f t="shared" si="0"/>
        <v>68.998499999999922</v>
      </c>
      <c r="I17" s="99">
        <f t="shared" si="1"/>
        <v>3794.9174999999959</v>
      </c>
      <c r="J17" s="100">
        <f t="shared" si="3"/>
        <v>67.25</v>
      </c>
      <c r="K17" s="101">
        <f t="shared" si="2"/>
        <v>-1.7484999999999218</v>
      </c>
    </row>
    <row r="18" spans="1:11" ht="12.75" x14ac:dyDescent="0.2">
      <c r="A18" s="92">
        <v>45531</v>
      </c>
      <c r="B18" s="93" t="s">
        <v>35</v>
      </c>
      <c r="C18" s="94">
        <v>0.96289999999999998</v>
      </c>
      <c r="D18" s="95" t="s">
        <v>226</v>
      </c>
      <c r="E18" s="96"/>
      <c r="F18" s="96"/>
      <c r="G18" s="97">
        <v>1348</v>
      </c>
      <c r="H18" s="98">
        <f t="shared" si="0"/>
        <v>50.010800000000017</v>
      </c>
      <c r="I18" s="99">
        <f t="shared" si="1"/>
        <v>2750.594000000001</v>
      </c>
      <c r="J18" s="100">
        <f t="shared" si="3"/>
        <v>67.400000000000091</v>
      </c>
      <c r="K18" s="101">
        <f t="shared" si="2"/>
        <v>17.389200000000073</v>
      </c>
    </row>
    <row r="19" spans="1:11" ht="12.75" x14ac:dyDescent="0.2">
      <c r="A19" s="92">
        <v>45532</v>
      </c>
      <c r="B19" s="93" t="s">
        <v>37</v>
      </c>
      <c r="C19" s="94">
        <v>0.96440000000000003</v>
      </c>
      <c r="D19" s="95" t="s">
        <v>226</v>
      </c>
      <c r="E19" s="96"/>
      <c r="F19" s="102" t="s">
        <v>319</v>
      </c>
      <c r="G19" s="97">
        <v>1348</v>
      </c>
      <c r="H19" s="98">
        <f t="shared" si="0"/>
        <v>47.988799999999856</v>
      </c>
      <c r="I19" s="99">
        <f t="shared" si="1"/>
        <v>2639.3839999999918</v>
      </c>
      <c r="J19" s="100">
        <f t="shared" si="3"/>
        <v>67.400000000000091</v>
      </c>
      <c r="K19" s="101">
        <f t="shared" si="2"/>
        <v>19.411200000000235</v>
      </c>
    </row>
    <row r="20" spans="1:11" ht="12.75" x14ac:dyDescent="0.2">
      <c r="A20" s="92">
        <v>45533</v>
      </c>
      <c r="B20" s="93" t="s">
        <v>39</v>
      </c>
      <c r="C20" s="94">
        <v>0.95699999999999996</v>
      </c>
      <c r="D20" s="95" t="s">
        <v>226</v>
      </c>
      <c r="E20" s="96"/>
      <c r="F20" s="96" t="s">
        <v>320</v>
      </c>
      <c r="G20" s="97">
        <v>1348</v>
      </c>
      <c r="H20" s="98">
        <f t="shared" si="0"/>
        <v>57.963999999999942</v>
      </c>
      <c r="I20" s="99">
        <f t="shared" si="1"/>
        <v>3188.0199999999968</v>
      </c>
      <c r="J20" s="100">
        <f t="shared" si="3"/>
        <v>67.400000000000091</v>
      </c>
      <c r="K20" s="101">
        <f t="shared" si="2"/>
        <v>9.4360000000001492</v>
      </c>
    </row>
    <row r="21" spans="1:11" ht="12.75" x14ac:dyDescent="0.2">
      <c r="A21" s="92">
        <v>45534</v>
      </c>
      <c r="B21" s="93" t="s">
        <v>41</v>
      </c>
      <c r="C21" s="94">
        <v>0.9466</v>
      </c>
      <c r="D21" s="95"/>
      <c r="E21" s="96"/>
      <c r="F21" s="96" t="s">
        <v>321</v>
      </c>
      <c r="G21" s="97">
        <v>1348</v>
      </c>
      <c r="H21" s="98">
        <f t="shared" si="0"/>
        <v>71.983199999999897</v>
      </c>
      <c r="I21" s="99">
        <f t="shared" si="1"/>
        <v>3959.0759999999946</v>
      </c>
      <c r="J21" s="100">
        <f t="shared" si="3"/>
        <v>67.400000000000091</v>
      </c>
      <c r="K21" s="101">
        <f t="shared" si="2"/>
        <v>-4.5831999999998061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0.95279999999999998</v>
      </c>
      <c r="D23" s="95"/>
      <c r="E23" s="96"/>
      <c r="F23" s="96"/>
      <c r="G23" s="97">
        <v>1357</v>
      </c>
      <c r="H23" s="98">
        <f t="shared" si="0"/>
        <v>64.050400000000081</v>
      </c>
      <c r="I23" s="99">
        <f t="shared" si="1"/>
        <v>3522.7720000000045</v>
      </c>
      <c r="J23" s="100">
        <f t="shared" si="3"/>
        <v>67.850000000000136</v>
      </c>
      <c r="K23" s="101">
        <f t="shared" si="2"/>
        <v>3.7996000000000549</v>
      </c>
    </row>
    <row r="24" spans="1:11" ht="12.75" x14ac:dyDescent="0.2">
      <c r="A24" s="92">
        <v>45539</v>
      </c>
      <c r="B24" s="93" t="s">
        <v>37</v>
      </c>
      <c r="C24" s="94">
        <v>0.96460000000000001</v>
      </c>
      <c r="D24" s="95"/>
      <c r="E24" s="96"/>
      <c r="F24" s="96"/>
      <c r="G24" s="97">
        <v>1357</v>
      </c>
      <c r="H24" s="98">
        <f t="shared" si="0"/>
        <v>48.037800000000061</v>
      </c>
      <c r="I24" s="99">
        <f t="shared" si="1"/>
        <v>2642.0790000000034</v>
      </c>
      <c r="J24" s="100">
        <f t="shared" si="3"/>
        <v>67.850000000000136</v>
      </c>
      <c r="K24" s="101">
        <f t="shared" si="2"/>
        <v>19.812200000000075</v>
      </c>
    </row>
    <row r="25" spans="1:11" ht="12.75" x14ac:dyDescent="0.2">
      <c r="A25" s="92">
        <v>45540</v>
      </c>
      <c r="B25" s="93" t="s">
        <v>39</v>
      </c>
      <c r="C25" s="94">
        <v>0.96030000000000004</v>
      </c>
      <c r="D25" s="95"/>
      <c r="E25" s="96"/>
      <c r="F25" s="96" t="s">
        <v>322</v>
      </c>
      <c r="G25" s="97">
        <v>1359</v>
      </c>
      <c r="H25" s="98">
        <f t="shared" si="0"/>
        <v>53.952299999999923</v>
      </c>
      <c r="I25" s="99">
        <f t="shared" si="1"/>
        <v>2967.3764999999958</v>
      </c>
      <c r="J25" s="100">
        <f t="shared" si="3"/>
        <v>67.950000000000045</v>
      </c>
      <c r="K25" s="101">
        <f t="shared" si="2"/>
        <v>13.997700000000123</v>
      </c>
    </row>
    <row r="26" spans="1:11" ht="12.75" x14ac:dyDescent="0.2">
      <c r="A26" s="92">
        <v>45541</v>
      </c>
      <c r="B26" s="93" t="s">
        <v>41</v>
      </c>
      <c r="C26" s="94">
        <v>0.94789999999999996</v>
      </c>
      <c r="D26" s="95"/>
      <c r="E26" s="96"/>
      <c r="F26" s="96" t="s">
        <v>323</v>
      </c>
      <c r="G26" s="97">
        <v>1362</v>
      </c>
      <c r="H26" s="98">
        <f t="shared" si="0"/>
        <v>70.960199999999986</v>
      </c>
      <c r="I26" s="99">
        <f t="shared" si="1"/>
        <v>3902.8109999999992</v>
      </c>
      <c r="J26" s="100">
        <f t="shared" si="3"/>
        <v>68.100000000000136</v>
      </c>
      <c r="K26" s="101">
        <f t="shared" si="2"/>
        <v>-2.8601999999998498</v>
      </c>
    </row>
    <row r="27" spans="1:11" ht="12.75" x14ac:dyDescent="0.2">
      <c r="A27" s="92">
        <v>45544</v>
      </c>
      <c r="B27" s="93" t="s">
        <v>33</v>
      </c>
      <c r="C27" s="94">
        <v>0.96550000000000002</v>
      </c>
      <c r="D27" s="95"/>
      <c r="E27" s="96"/>
      <c r="F27" s="96"/>
      <c r="G27" s="97">
        <v>1361</v>
      </c>
      <c r="H27" s="98">
        <f t="shared" si="0"/>
        <v>46.954500000000053</v>
      </c>
      <c r="I27" s="99">
        <f t="shared" si="1"/>
        <v>2582.4975000000031</v>
      </c>
      <c r="J27" s="100">
        <f t="shared" si="3"/>
        <v>68.049999999999955</v>
      </c>
      <c r="K27" s="101">
        <f t="shared" si="2"/>
        <v>21.095499999999902</v>
      </c>
    </row>
    <row r="28" spans="1:11" ht="12.75" x14ac:dyDescent="0.2">
      <c r="A28" s="92">
        <v>45545</v>
      </c>
      <c r="B28" s="93" t="s">
        <v>35</v>
      </c>
      <c r="C28" s="94">
        <v>0.96619999999999995</v>
      </c>
      <c r="D28" s="95"/>
      <c r="E28" s="96"/>
      <c r="F28" s="96"/>
      <c r="G28" s="97">
        <v>1361</v>
      </c>
      <c r="H28" s="98">
        <f t="shared" si="0"/>
        <v>46.001800000000003</v>
      </c>
      <c r="I28" s="99">
        <f t="shared" si="1"/>
        <v>2530.0990000000002</v>
      </c>
      <c r="J28" s="100">
        <f t="shared" si="3"/>
        <v>68.049999999999955</v>
      </c>
      <c r="K28" s="101">
        <f t="shared" si="2"/>
        <v>22.048199999999952</v>
      </c>
    </row>
    <row r="29" spans="1:11" ht="12.75" x14ac:dyDescent="0.2">
      <c r="A29" s="92">
        <v>45546</v>
      </c>
      <c r="B29" s="93" t="s">
        <v>37</v>
      </c>
      <c r="C29" s="94">
        <v>0.95740000000000003</v>
      </c>
      <c r="D29" s="95"/>
      <c r="E29" s="96"/>
      <c r="F29" s="96" t="s">
        <v>324</v>
      </c>
      <c r="G29" s="97">
        <v>1362</v>
      </c>
      <c r="H29" s="98">
        <f t="shared" si="0"/>
        <v>58.021199999999908</v>
      </c>
      <c r="I29" s="99">
        <f t="shared" si="1"/>
        <v>3191.1659999999947</v>
      </c>
      <c r="J29" s="100">
        <f t="shared" si="3"/>
        <v>68.100000000000136</v>
      </c>
      <c r="K29" s="101">
        <f t="shared" si="2"/>
        <v>10.078800000000228</v>
      </c>
    </row>
    <row r="30" spans="1:11" ht="12.75" x14ac:dyDescent="0.2">
      <c r="A30" s="92">
        <v>45547</v>
      </c>
      <c r="B30" s="93" t="s">
        <v>39</v>
      </c>
      <c r="C30" s="94">
        <v>0.96330000000000005</v>
      </c>
      <c r="D30" s="95"/>
      <c r="E30" s="96"/>
      <c r="F30" s="96"/>
      <c r="G30" s="97">
        <v>1363</v>
      </c>
      <c r="H30" s="98">
        <f t="shared" si="0"/>
        <v>50.022099999999909</v>
      </c>
      <c r="I30" s="99">
        <f t="shared" si="1"/>
        <v>2751.2154999999948</v>
      </c>
      <c r="J30" s="100">
        <f t="shared" si="3"/>
        <v>68.150000000000091</v>
      </c>
      <c r="K30" s="101">
        <f t="shared" si="2"/>
        <v>18.127900000000182</v>
      </c>
    </row>
    <row r="31" spans="1:11" ht="12.75" x14ac:dyDescent="0.2">
      <c r="A31" s="92">
        <v>45548</v>
      </c>
      <c r="B31" s="93" t="s">
        <v>41</v>
      </c>
      <c r="C31" s="94">
        <v>0.9405</v>
      </c>
      <c r="D31" s="95"/>
      <c r="E31" s="96"/>
      <c r="F31" s="96" t="s">
        <v>325</v>
      </c>
      <c r="G31" s="97">
        <v>1362</v>
      </c>
      <c r="H31" s="98">
        <f t="shared" si="0"/>
        <v>81.038999999999987</v>
      </c>
      <c r="I31" s="99">
        <f t="shared" si="1"/>
        <v>4457.1449999999995</v>
      </c>
      <c r="J31" s="100">
        <f t="shared" si="3"/>
        <v>68.100000000000136</v>
      </c>
      <c r="K31" s="101">
        <f t="shared" si="2"/>
        <v>-12.938999999999851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0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0.95960000000000001</v>
      </c>
      <c r="D33" s="95"/>
      <c r="E33" s="96"/>
      <c r="F33" s="96"/>
      <c r="G33" s="97">
        <v>1362</v>
      </c>
      <c r="H33" s="98">
        <f t="shared" si="0"/>
        <v>55.024799999999914</v>
      </c>
      <c r="I33" s="99">
        <f t="shared" si="1"/>
        <v>3026.363999999995</v>
      </c>
      <c r="J33" s="100">
        <f t="shared" si="3"/>
        <v>68.100000000000136</v>
      </c>
      <c r="K33" s="101">
        <f t="shared" si="2"/>
        <v>13.075200000000223</v>
      </c>
    </row>
    <row r="34" spans="1:11" ht="12.75" x14ac:dyDescent="0.2">
      <c r="A34" s="92">
        <v>45553</v>
      </c>
      <c r="B34" s="93" t="s">
        <v>37</v>
      </c>
      <c r="C34" s="94">
        <v>0.9647</v>
      </c>
      <c r="D34" s="95"/>
      <c r="E34" s="96"/>
      <c r="F34" s="96"/>
      <c r="G34" s="97">
        <v>1361</v>
      </c>
      <c r="H34" s="98">
        <f t="shared" si="0"/>
        <v>48.043300000000045</v>
      </c>
      <c r="I34" s="99">
        <f t="shared" si="1"/>
        <v>2642.3815000000022</v>
      </c>
      <c r="J34" s="100">
        <f t="shared" si="3"/>
        <v>68.049999999999955</v>
      </c>
      <c r="K34" s="101">
        <f t="shared" si="2"/>
        <v>20.00669999999991</v>
      </c>
    </row>
    <row r="35" spans="1:11" ht="12.75" x14ac:dyDescent="0.2">
      <c r="A35" s="92">
        <v>45554</v>
      </c>
      <c r="B35" s="93" t="s">
        <v>39</v>
      </c>
      <c r="C35" s="94">
        <v>0.97209999999999996</v>
      </c>
      <c r="D35" s="95"/>
      <c r="E35" s="96"/>
      <c r="F35" s="96" t="s">
        <v>326</v>
      </c>
      <c r="G35" s="97">
        <v>1361</v>
      </c>
      <c r="H35" s="98">
        <f t="shared" si="0"/>
        <v>37.971900000000005</v>
      </c>
      <c r="I35" s="99">
        <f t="shared" si="1"/>
        <v>2088.4545000000003</v>
      </c>
      <c r="J35" s="100">
        <f t="shared" si="3"/>
        <v>68.049999999999955</v>
      </c>
      <c r="K35" s="101">
        <f t="shared" si="2"/>
        <v>30.078099999999949</v>
      </c>
    </row>
    <row r="36" spans="1:11" ht="12.75" x14ac:dyDescent="0.2">
      <c r="A36" s="140">
        <v>45555</v>
      </c>
      <c r="B36" s="141" t="s">
        <v>41</v>
      </c>
      <c r="C36" s="142">
        <v>0.95499999999999996</v>
      </c>
      <c r="D36" s="143" t="s">
        <v>327</v>
      </c>
      <c r="E36" s="144"/>
      <c r="F36" s="144" t="s">
        <v>328</v>
      </c>
      <c r="G36" s="145">
        <v>1357</v>
      </c>
      <c r="H36" s="98">
        <f t="shared" si="0"/>
        <v>61.065000000000055</v>
      </c>
      <c r="I36" s="99">
        <f t="shared" si="1"/>
        <v>3358.575000000003</v>
      </c>
      <c r="J36" s="100">
        <f t="shared" si="3"/>
        <v>67.850000000000136</v>
      </c>
      <c r="K36" s="101">
        <f t="shared" si="2"/>
        <v>6.7850000000000819</v>
      </c>
    </row>
    <row r="37" spans="1:11" ht="12.75" x14ac:dyDescent="0.2">
      <c r="A37" s="92">
        <v>45558</v>
      </c>
      <c r="B37" s="93" t="s">
        <v>33</v>
      </c>
      <c r="C37" s="94">
        <v>0.95069999999999999</v>
      </c>
      <c r="D37" s="95"/>
      <c r="E37" s="96"/>
      <c r="F37" s="96"/>
      <c r="G37" s="97">
        <v>1359</v>
      </c>
      <c r="H37" s="98">
        <f t="shared" si="0"/>
        <v>66.998700000000099</v>
      </c>
      <c r="I37" s="99">
        <f t="shared" si="1"/>
        <v>3684.9285000000054</v>
      </c>
      <c r="J37" s="100">
        <f t="shared" si="3"/>
        <v>67.950000000000045</v>
      </c>
      <c r="K37" s="101">
        <f t="shared" si="2"/>
        <v>0.95129999999994652</v>
      </c>
    </row>
    <row r="38" spans="1:11" ht="25.5" x14ac:dyDescent="0.2">
      <c r="A38" s="92">
        <v>45559</v>
      </c>
      <c r="B38" s="93" t="s">
        <v>35</v>
      </c>
      <c r="C38" s="94">
        <v>0.96760000000000002</v>
      </c>
      <c r="D38" s="95"/>
      <c r="E38" s="96"/>
      <c r="F38" s="96" t="s">
        <v>329</v>
      </c>
      <c r="G38" s="97">
        <v>1359</v>
      </c>
      <c r="H38" s="98">
        <f t="shared" si="0"/>
        <v>44.031600000000026</v>
      </c>
      <c r="I38" s="99">
        <f t="shared" si="1"/>
        <v>2421.7380000000012</v>
      </c>
      <c r="J38" s="100">
        <f t="shared" si="3"/>
        <v>67.950000000000045</v>
      </c>
      <c r="K38" s="101">
        <f t="shared" si="2"/>
        <v>23.91840000000002</v>
      </c>
    </row>
    <row r="39" spans="1:11" ht="12.75" x14ac:dyDescent="0.2">
      <c r="A39" s="92">
        <v>45560</v>
      </c>
      <c r="B39" s="93" t="s">
        <v>37</v>
      </c>
      <c r="C39" s="94">
        <v>0.96389999999999998</v>
      </c>
      <c r="D39" s="95"/>
      <c r="E39" s="96"/>
      <c r="F39" s="96" t="s">
        <v>330</v>
      </c>
      <c r="G39" s="97">
        <v>1359</v>
      </c>
      <c r="H39" s="98">
        <f t="shared" si="0"/>
        <v>49.059899999999971</v>
      </c>
      <c r="I39" s="99">
        <f t="shared" si="1"/>
        <v>2698.2944999999982</v>
      </c>
      <c r="J39" s="100">
        <f t="shared" si="3"/>
        <v>67.950000000000045</v>
      </c>
      <c r="K39" s="101">
        <f t="shared" si="2"/>
        <v>18.890100000000075</v>
      </c>
    </row>
    <row r="40" spans="1:11" ht="12.75" x14ac:dyDescent="0.2">
      <c r="A40" s="92">
        <v>45561</v>
      </c>
      <c r="B40" s="93" t="s">
        <v>39</v>
      </c>
      <c r="C40" s="94">
        <v>0.96250000000000002</v>
      </c>
      <c r="D40" s="95"/>
      <c r="E40" s="96"/>
      <c r="F40" s="96" t="s">
        <v>331</v>
      </c>
      <c r="G40" s="97">
        <v>1360</v>
      </c>
      <c r="H40" s="98">
        <f t="shared" si="0"/>
        <v>51</v>
      </c>
      <c r="I40" s="99">
        <f t="shared" si="1"/>
        <v>2805</v>
      </c>
      <c r="J40" s="100">
        <f t="shared" si="3"/>
        <v>68</v>
      </c>
      <c r="K40" s="101">
        <f t="shared" si="2"/>
        <v>17</v>
      </c>
    </row>
    <row r="41" spans="1:11" ht="12.75" x14ac:dyDescent="0.2">
      <c r="A41" s="92">
        <v>45562</v>
      </c>
      <c r="B41" s="93" t="s">
        <v>41</v>
      </c>
      <c r="C41" s="94">
        <v>0.94779999999999998</v>
      </c>
      <c r="D41" s="95"/>
      <c r="E41" s="96"/>
      <c r="F41" s="96"/>
      <c r="G41" s="97">
        <v>1359</v>
      </c>
      <c r="H41" s="98">
        <f t="shared" si="0"/>
        <v>70.939800000000105</v>
      </c>
      <c r="I41" s="99">
        <f t="shared" si="1"/>
        <v>3901.6890000000058</v>
      </c>
      <c r="J41" s="100">
        <f t="shared" si="3"/>
        <v>67.950000000000045</v>
      </c>
      <c r="K41" s="101">
        <f t="shared" si="2"/>
        <v>-2.9898000000000593</v>
      </c>
    </row>
    <row r="42" spans="1:11" ht="12.75" x14ac:dyDescent="0.2">
      <c r="A42" s="92">
        <v>45565</v>
      </c>
      <c r="B42" s="93" t="s">
        <v>33</v>
      </c>
      <c r="C42" s="94">
        <v>0.95299999999999996</v>
      </c>
      <c r="D42" s="95"/>
      <c r="E42" s="96"/>
      <c r="F42" s="96"/>
      <c r="G42" s="97">
        <v>1361</v>
      </c>
      <c r="H42" s="98">
        <f t="shared" si="0"/>
        <v>63.967000000000098</v>
      </c>
      <c r="I42" s="99">
        <f t="shared" si="1"/>
        <v>3518.1850000000054</v>
      </c>
      <c r="J42" s="100">
        <f t="shared" si="3"/>
        <v>68.049999999999955</v>
      </c>
      <c r="K42" s="101">
        <f t="shared" si="2"/>
        <v>4.0829999999998563</v>
      </c>
    </row>
    <row r="43" spans="1:11" ht="12.75" x14ac:dyDescent="0.2">
      <c r="A43" s="92">
        <v>45566</v>
      </c>
      <c r="B43" s="93" t="s">
        <v>35</v>
      </c>
      <c r="C43" s="94">
        <v>0.96399999999999997</v>
      </c>
      <c r="D43" s="95"/>
      <c r="E43" s="96"/>
      <c r="F43" s="96" t="s">
        <v>332</v>
      </c>
      <c r="G43" s="97">
        <v>1361</v>
      </c>
      <c r="H43" s="98">
        <f t="shared" si="0"/>
        <v>48.996000000000095</v>
      </c>
      <c r="I43" s="99">
        <f t="shared" si="1"/>
        <v>2694.7800000000052</v>
      </c>
      <c r="J43" s="100">
        <f t="shared" si="3"/>
        <v>68.049999999999955</v>
      </c>
      <c r="K43" s="101">
        <f t="shared" si="2"/>
        <v>19.05399999999986</v>
      </c>
    </row>
    <row r="44" spans="1:11" ht="12.75" x14ac:dyDescent="0.2">
      <c r="A44" s="92">
        <v>45567</v>
      </c>
      <c r="B44" s="93" t="s">
        <v>37</v>
      </c>
      <c r="C44" s="94">
        <v>0.96850000000000003</v>
      </c>
      <c r="D44" s="95"/>
      <c r="E44" s="96"/>
      <c r="F44" s="96" t="s">
        <v>333</v>
      </c>
      <c r="G44" s="97">
        <v>1363</v>
      </c>
      <c r="H44" s="98">
        <f t="shared" si="0"/>
        <v>42.934500000000071</v>
      </c>
      <c r="I44" s="99">
        <f t="shared" si="1"/>
        <v>2361.3975000000037</v>
      </c>
      <c r="J44" s="100">
        <f t="shared" si="3"/>
        <v>68.150000000000091</v>
      </c>
      <c r="K44" s="101">
        <f t="shared" si="2"/>
        <v>25.21550000000002</v>
      </c>
    </row>
    <row r="45" spans="1:11" ht="12.75" x14ac:dyDescent="0.2">
      <c r="A45" s="92">
        <v>45568</v>
      </c>
      <c r="B45" s="93" t="s">
        <v>39</v>
      </c>
      <c r="C45" s="94">
        <v>0.96399999999999997</v>
      </c>
      <c r="D45" s="95"/>
      <c r="E45" s="96"/>
      <c r="F45" s="96"/>
      <c r="G45" s="97">
        <v>1363</v>
      </c>
      <c r="H45" s="98">
        <f t="shared" si="0"/>
        <v>49.067999999999984</v>
      </c>
      <c r="I45" s="99">
        <f t="shared" si="1"/>
        <v>2698.7399999999989</v>
      </c>
      <c r="J45" s="100">
        <f t="shared" si="3"/>
        <v>68.150000000000091</v>
      </c>
      <c r="K45" s="101">
        <f t="shared" si="2"/>
        <v>19.082000000000107</v>
      </c>
    </row>
    <row r="46" spans="1:11" ht="12.75" x14ac:dyDescent="0.2">
      <c r="A46" s="92">
        <v>45569</v>
      </c>
      <c r="B46" s="93" t="s">
        <v>41</v>
      </c>
      <c r="C46" s="94">
        <v>0.94059999999999999</v>
      </c>
      <c r="D46" s="95"/>
      <c r="E46" s="96"/>
      <c r="F46" s="146" t="s">
        <v>334</v>
      </c>
      <c r="G46" s="97">
        <v>1363</v>
      </c>
      <c r="H46" s="98">
        <f t="shared" si="0"/>
        <v>80.962199999999939</v>
      </c>
      <c r="I46" s="99">
        <f t="shared" si="1"/>
        <v>4452.9209999999966</v>
      </c>
      <c r="J46" s="100">
        <f t="shared" si="3"/>
        <v>68.150000000000091</v>
      </c>
      <c r="K46" s="101">
        <f t="shared" si="2"/>
        <v>-12.812199999999848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0"/>
        <v>0</v>
      </c>
      <c r="I47" s="99">
        <f t="shared" si="1"/>
        <v>0</v>
      </c>
      <c r="J47" s="100">
        <f t="shared" si="3"/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0"/>
        <v>0</v>
      </c>
      <c r="I48" s="99">
        <f t="shared" si="1"/>
        <v>0</v>
      </c>
      <c r="J48" s="100">
        <f t="shared" si="3"/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0"/>
        <v>0</v>
      </c>
      <c r="I49" s="99">
        <f t="shared" si="1"/>
        <v>0</v>
      </c>
      <c r="J49" s="100">
        <f t="shared" si="3"/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0"/>
        <v>0</v>
      </c>
      <c r="I50" s="99">
        <f t="shared" si="1"/>
        <v>0</v>
      </c>
      <c r="J50" s="100">
        <f t="shared" si="3"/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0"/>
        <v>0</v>
      </c>
      <c r="I51" s="99">
        <f t="shared" si="1"/>
        <v>0</v>
      </c>
      <c r="J51" s="100">
        <f t="shared" si="3"/>
        <v>0</v>
      </c>
      <c r="K51" s="101">
        <f t="shared" si="2"/>
        <v>0</v>
      </c>
    </row>
    <row r="52" spans="1:11" ht="12.75" x14ac:dyDescent="0.2">
      <c r="A52" s="92">
        <v>45579</v>
      </c>
      <c r="B52" s="93" t="s">
        <v>33</v>
      </c>
      <c r="C52" s="94">
        <v>0.94199999999999995</v>
      </c>
      <c r="D52" s="95"/>
      <c r="E52" s="96"/>
      <c r="F52" s="96" t="s">
        <v>335</v>
      </c>
      <c r="G52" s="97">
        <v>1363</v>
      </c>
      <c r="H52" s="98">
        <f t="shared" si="0"/>
        <v>79.054000000000087</v>
      </c>
      <c r="I52" s="99">
        <f t="shared" si="1"/>
        <v>4347.9700000000048</v>
      </c>
      <c r="J52" s="100">
        <f t="shared" si="3"/>
        <v>68.150000000000091</v>
      </c>
      <c r="K52" s="101">
        <f t="shared" si="2"/>
        <v>-10.903999999999996</v>
      </c>
    </row>
    <row r="53" spans="1:11" ht="12.75" x14ac:dyDescent="0.2">
      <c r="A53" s="92">
        <v>45580</v>
      </c>
      <c r="B53" s="93" t="s">
        <v>35</v>
      </c>
      <c r="C53" s="94">
        <v>0.96109999999999995</v>
      </c>
      <c r="D53" s="95"/>
      <c r="E53" s="96"/>
      <c r="F53" s="96" t="s">
        <v>336</v>
      </c>
      <c r="G53" s="97">
        <v>1363</v>
      </c>
      <c r="H53" s="98">
        <f t="shared" si="0"/>
        <v>53.020700000000033</v>
      </c>
      <c r="I53" s="99">
        <f t="shared" si="1"/>
        <v>2916.1385000000018</v>
      </c>
      <c r="J53" s="100">
        <f t="shared" si="3"/>
        <v>68.150000000000091</v>
      </c>
      <c r="K53" s="101">
        <f t="shared" si="2"/>
        <v>15.129300000000057</v>
      </c>
    </row>
    <row r="54" spans="1:11" ht="12.75" x14ac:dyDescent="0.2">
      <c r="A54" s="92">
        <v>45581</v>
      </c>
      <c r="B54" s="93" t="s">
        <v>37</v>
      </c>
      <c r="C54" s="94">
        <v>0.96850000000000003</v>
      </c>
      <c r="D54" s="95"/>
      <c r="E54" s="96"/>
      <c r="F54" s="96" t="s">
        <v>337</v>
      </c>
      <c r="G54" s="97">
        <v>1364</v>
      </c>
      <c r="H54" s="98">
        <f t="shared" si="0"/>
        <v>42.965999999999894</v>
      </c>
      <c r="I54" s="99">
        <f t="shared" si="1"/>
        <v>2363.1299999999942</v>
      </c>
      <c r="J54" s="100">
        <f t="shared" si="3"/>
        <v>68.200000000000045</v>
      </c>
      <c r="K54" s="101">
        <f t="shared" si="2"/>
        <v>25.234000000000151</v>
      </c>
    </row>
    <row r="55" spans="1:11" ht="12.75" x14ac:dyDescent="0.2">
      <c r="A55" s="92">
        <v>45582</v>
      </c>
      <c r="B55" s="93" t="s">
        <v>39</v>
      </c>
      <c r="C55" s="94">
        <v>0.96850000000000003</v>
      </c>
      <c r="D55" s="95"/>
      <c r="E55" s="96"/>
      <c r="F55" s="96"/>
      <c r="G55" s="97">
        <v>1364</v>
      </c>
      <c r="H55" s="98">
        <f t="shared" si="0"/>
        <v>42.965999999999894</v>
      </c>
      <c r="I55" s="99">
        <f t="shared" si="1"/>
        <v>2363.1299999999942</v>
      </c>
      <c r="J55" s="100">
        <f t="shared" si="3"/>
        <v>68.200000000000045</v>
      </c>
      <c r="K55" s="101">
        <f t="shared" si="2"/>
        <v>25.234000000000151</v>
      </c>
    </row>
    <row r="56" spans="1:11" ht="25.5" x14ac:dyDescent="0.2">
      <c r="A56" s="92">
        <v>45583</v>
      </c>
      <c r="B56" s="93" t="s">
        <v>41</v>
      </c>
      <c r="C56" s="94">
        <v>0.95669999999999999</v>
      </c>
      <c r="D56" s="95"/>
      <c r="E56" s="96"/>
      <c r="F56" s="96" t="s">
        <v>338</v>
      </c>
      <c r="G56" s="97">
        <v>1362</v>
      </c>
      <c r="H56" s="98">
        <f t="shared" si="0"/>
        <v>58.974600000000009</v>
      </c>
      <c r="I56" s="99">
        <f t="shared" si="1"/>
        <v>3243.6030000000005</v>
      </c>
      <c r="J56" s="100">
        <f t="shared" si="3"/>
        <v>68.100000000000136</v>
      </c>
      <c r="K56" s="101">
        <f t="shared" si="2"/>
        <v>9.125400000000127</v>
      </c>
    </row>
    <row r="57" spans="1:11" ht="12.75" x14ac:dyDescent="0.2">
      <c r="A57" s="92">
        <v>45586</v>
      </c>
      <c r="B57" s="93" t="s">
        <v>33</v>
      </c>
      <c r="C57" s="94">
        <v>0.96389999999999998</v>
      </c>
      <c r="D57" s="95"/>
      <c r="E57" s="96"/>
      <c r="F57" s="96"/>
      <c r="G57" s="97">
        <v>1358</v>
      </c>
      <c r="H57" s="98">
        <f t="shared" si="0"/>
        <v>49.023799999999937</v>
      </c>
      <c r="I57" s="99">
        <f t="shared" si="1"/>
        <v>2696.3089999999966</v>
      </c>
      <c r="J57" s="100">
        <f t="shared" si="3"/>
        <v>67.900000000000091</v>
      </c>
      <c r="K57" s="101">
        <f t="shared" si="2"/>
        <v>18.876200000000154</v>
      </c>
    </row>
    <row r="58" spans="1:11" ht="12.75" x14ac:dyDescent="0.2">
      <c r="A58" s="92">
        <v>45587</v>
      </c>
      <c r="B58" s="93" t="s">
        <v>35</v>
      </c>
      <c r="C58" s="147">
        <v>0.9536</v>
      </c>
      <c r="D58" s="95"/>
      <c r="E58" s="96"/>
      <c r="F58" s="96" t="s">
        <v>339</v>
      </c>
      <c r="G58" s="97">
        <v>1359</v>
      </c>
      <c r="H58" s="98">
        <f t="shared" si="0"/>
        <v>63.057600000000093</v>
      </c>
      <c r="I58" s="99">
        <f t="shared" si="1"/>
        <v>3468.1680000000051</v>
      </c>
      <c r="J58" s="100">
        <f t="shared" si="3"/>
        <v>67.950000000000045</v>
      </c>
      <c r="K58" s="101">
        <f t="shared" si="2"/>
        <v>4.8923999999999523</v>
      </c>
    </row>
    <row r="59" spans="1:11" ht="12.75" x14ac:dyDescent="0.2">
      <c r="A59" s="92">
        <v>45588</v>
      </c>
      <c r="B59" s="93" t="s">
        <v>37</v>
      </c>
      <c r="C59" s="94">
        <v>0.96179999999999999</v>
      </c>
      <c r="D59" s="95"/>
      <c r="E59" s="96"/>
      <c r="F59" s="96"/>
      <c r="G59" s="97">
        <v>1360</v>
      </c>
      <c r="H59" s="98">
        <f t="shared" si="0"/>
        <v>51.951999999999998</v>
      </c>
      <c r="I59" s="99">
        <f t="shared" si="1"/>
        <v>2857.3599999999997</v>
      </c>
      <c r="J59" s="100">
        <f t="shared" si="3"/>
        <v>68</v>
      </c>
      <c r="K59" s="101">
        <f t="shared" si="2"/>
        <v>16.048000000000002</v>
      </c>
    </row>
    <row r="60" spans="1:11" ht="12.75" x14ac:dyDescent="0.2">
      <c r="A60" s="92">
        <v>45589</v>
      </c>
      <c r="B60" s="93" t="s">
        <v>39</v>
      </c>
      <c r="C60" s="147">
        <v>0.96099999999999997</v>
      </c>
      <c r="D60" s="95"/>
      <c r="E60" s="96"/>
      <c r="F60" s="96"/>
      <c r="G60" s="97">
        <v>1359</v>
      </c>
      <c r="H60" s="98">
        <f t="shared" si="0"/>
        <v>53.000999999999976</v>
      </c>
      <c r="I60" s="99">
        <f t="shared" si="1"/>
        <v>2915.0549999999985</v>
      </c>
      <c r="J60" s="100">
        <f t="shared" si="3"/>
        <v>67.950000000000045</v>
      </c>
      <c r="K60" s="101">
        <f t="shared" si="2"/>
        <v>14.949000000000069</v>
      </c>
    </row>
    <row r="61" spans="1:11" ht="12.75" x14ac:dyDescent="0.2">
      <c r="A61" s="92">
        <v>45590</v>
      </c>
      <c r="B61" s="93" t="s">
        <v>41</v>
      </c>
      <c r="C61" s="94">
        <v>0.93820000000000003</v>
      </c>
      <c r="D61" s="95"/>
      <c r="E61" s="96" t="s">
        <v>233</v>
      </c>
      <c r="F61" s="96"/>
      <c r="G61" s="97">
        <v>1359</v>
      </c>
      <c r="H61" s="98">
        <f t="shared" si="0"/>
        <v>83.986200000000053</v>
      </c>
      <c r="I61" s="99">
        <f t="shared" si="1"/>
        <v>4619.2410000000027</v>
      </c>
      <c r="J61" s="100">
        <f t="shared" si="3"/>
        <v>67.950000000000045</v>
      </c>
      <c r="K61" s="101">
        <f t="shared" si="2"/>
        <v>-16.036200000000008</v>
      </c>
    </row>
    <row r="62" spans="1:11" ht="12.75" x14ac:dyDescent="0.2">
      <c r="A62" s="92">
        <v>45593</v>
      </c>
      <c r="B62" s="93" t="s">
        <v>33</v>
      </c>
      <c r="C62" s="94">
        <v>0.95</v>
      </c>
      <c r="D62" s="95"/>
      <c r="E62" s="96"/>
      <c r="F62" s="96" t="s">
        <v>340</v>
      </c>
      <c r="G62" s="97">
        <v>1361</v>
      </c>
      <c r="H62" s="98">
        <f t="shared" si="0"/>
        <v>68.049999999999955</v>
      </c>
      <c r="I62" s="99">
        <f t="shared" si="1"/>
        <v>3742.7499999999973</v>
      </c>
      <c r="J62" s="100">
        <f t="shared" si="3"/>
        <v>68.049999999999955</v>
      </c>
      <c r="K62" s="101">
        <f t="shared" si="2"/>
        <v>0</v>
      </c>
    </row>
    <row r="63" spans="1:11" ht="25.5" x14ac:dyDescent="0.2">
      <c r="A63" s="92">
        <v>45594</v>
      </c>
      <c r="B63" s="93" t="s">
        <v>35</v>
      </c>
      <c r="C63" s="94">
        <v>0.96689999999999998</v>
      </c>
      <c r="D63" s="95"/>
      <c r="E63" s="96"/>
      <c r="F63" s="96" t="s">
        <v>341</v>
      </c>
      <c r="G63" s="97">
        <v>1360</v>
      </c>
      <c r="H63" s="98">
        <f t="shared" si="0"/>
        <v>45.016000000000076</v>
      </c>
      <c r="I63" s="99">
        <f t="shared" si="1"/>
        <v>2475.8800000000042</v>
      </c>
      <c r="J63" s="100">
        <f t="shared" si="3"/>
        <v>68</v>
      </c>
      <c r="K63" s="101">
        <f t="shared" si="2"/>
        <v>22.983999999999924</v>
      </c>
    </row>
    <row r="64" spans="1:11" ht="12.75" x14ac:dyDescent="0.2">
      <c r="A64" s="92">
        <v>45595</v>
      </c>
      <c r="B64" s="93" t="s">
        <v>37</v>
      </c>
      <c r="C64" s="94">
        <v>0.96909999999999996</v>
      </c>
      <c r="D64" s="95"/>
      <c r="E64" s="96"/>
      <c r="F64" s="96" t="s">
        <v>342</v>
      </c>
      <c r="G64" s="97">
        <v>1358</v>
      </c>
      <c r="H64" s="98">
        <f t="shared" si="0"/>
        <v>41.962199999999939</v>
      </c>
      <c r="I64" s="99">
        <f t="shared" si="1"/>
        <v>2307.9209999999966</v>
      </c>
      <c r="J64" s="100">
        <f t="shared" si="3"/>
        <v>67.900000000000091</v>
      </c>
      <c r="K64" s="101">
        <f t="shared" si="2"/>
        <v>25.937800000000152</v>
      </c>
    </row>
    <row r="65" spans="1:11" ht="25.5" x14ac:dyDescent="0.2">
      <c r="A65" s="92">
        <v>45596</v>
      </c>
      <c r="B65" s="93" t="s">
        <v>39</v>
      </c>
      <c r="C65" s="94">
        <v>0.95660000000000001</v>
      </c>
      <c r="D65" s="95"/>
      <c r="E65" s="96"/>
      <c r="F65" s="96" t="s">
        <v>343</v>
      </c>
      <c r="G65" s="97">
        <v>1358</v>
      </c>
      <c r="H65" s="98">
        <f t="shared" si="0"/>
        <v>58.937200000000075</v>
      </c>
      <c r="I65" s="99">
        <f t="shared" si="1"/>
        <v>3241.5460000000039</v>
      </c>
      <c r="J65" s="100">
        <f t="shared" si="3"/>
        <v>67.900000000000091</v>
      </c>
      <c r="K65" s="101">
        <f t="shared" si="2"/>
        <v>8.9628000000000156</v>
      </c>
    </row>
    <row r="66" spans="1:11" ht="12.75" x14ac:dyDescent="0.2">
      <c r="A66" s="92">
        <v>45597</v>
      </c>
      <c r="B66" s="93" t="s">
        <v>41</v>
      </c>
      <c r="C66" s="94">
        <v>0.9204</v>
      </c>
      <c r="D66" s="95"/>
      <c r="E66" s="96" t="s">
        <v>233</v>
      </c>
      <c r="F66" s="96" t="s">
        <v>344</v>
      </c>
      <c r="G66" s="97">
        <v>1356</v>
      </c>
      <c r="H66" s="98">
        <f t="shared" si="0"/>
        <v>107.93759999999997</v>
      </c>
      <c r="I66" s="99">
        <f t="shared" si="1"/>
        <v>5936.5679999999984</v>
      </c>
      <c r="J66" s="100">
        <f t="shared" si="3"/>
        <v>67.799999999999955</v>
      </c>
      <c r="K66" s="101">
        <f t="shared" si="2"/>
        <v>-40.13760000000002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0"/>
        <v>0</v>
      </c>
      <c r="I67" s="99">
        <f t="shared" si="1"/>
        <v>0</v>
      </c>
      <c r="J67" s="100">
        <f t="shared" si="3"/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0"/>
        <v>0</v>
      </c>
      <c r="I68" s="99">
        <f t="shared" si="1"/>
        <v>0</v>
      </c>
      <c r="J68" s="100">
        <f t="shared" si="3"/>
        <v>0</v>
      </c>
      <c r="K68" s="101">
        <f t="shared" si="2"/>
        <v>0</v>
      </c>
    </row>
    <row r="69" spans="1:11" ht="25.5" x14ac:dyDescent="0.2">
      <c r="A69" s="92">
        <v>45602</v>
      </c>
      <c r="B69" s="93" t="s">
        <v>37</v>
      </c>
      <c r="C69" s="94">
        <v>0.96760000000000002</v>
      </c>
      <c r="D69" s="95"/>
      <c r="E69" s="96"/>
      <c r="F69" s="96" t="s">
        <v>345</v>
      </c>
      <c r="G69" s="97">
        <v>1312</v>
      </c>
      <c r="H69" s="98">
        <f t="shared" si="0"/>
        <v>42.508800000000065</v>
      </c>
      <c r="I69" s="99">
        <f t="shared" si="1"/>
        <v>2337.9840000000036</v>
      </c>
      <c r="J69" s="100">
        <f t="shared" si="3"/>
        <v>65.600000000000136</v>
      </c>
      <c r="K69" s="101">
        <f t="shared" si="2"/>
        <v>23.091200000000072</v>
      </c>
    </row>
    <row r="70" spans="1:11" ht="12.75" x14ac:dyDescent="0.2">
      <c r="A70" s="92">
        <v>45603</v>
      </c>
      <c r="B70" s="93" t="s">
        <v>39</v>
      </c>
      <c r="C70" s="94">
        <v>0.96460000000000001</v>
      </c>
      <c r="D70" s="102"/>
      <c r="E70" s="96"/>
      <c r="F70" s="96" t="s">
        <v>346</v>
      </c>
      <c r="G70" s="97">
        <v>1355</v>
      </c>
      <c r="H70" s="98">
        <f t="shared" si="0"/>
        <v>47.966999999999871</v>
      </c>
      <c r="I70" s="99">
        <f t="shared" si="1"/>
        <v>2638.1849999999931</v>
      </c>
      <c r="J70" s="100">
        <f t="shared" si="3"/>
        <v>67.75</v>
      </c>
      <c r="K70" s="101">
        <f t="shared" si="2"/>
        <v>19.783000000000129</v>
      </c>
    </row>
    <row r="71" spans="1:11" ht="12.75" x14ac:dyDescent="0.2">
      <c r="A71" s="140">
        <v>45604</v>
      </c>
      <c r="B71" s="141" t="s">
        <v>41</v>
      </c>
      <c r="C71" s="142">
        <v>0.95350000000000001</v>
      </c>
      <c r="D71" s="143" t="s">
        <v>347</v>
      </c>
      <c r="E71" s="144"/>
      <c r="F71" s="144"/>
      <c r="G71" s="145">
        <v>1354</v>
      </c>
      <c r="H71" s="98">
        <f t="shared" si="0"/>
        <v>62.961000000000013</v>
      </c>
      <c r="I71" s="99">
        <f t="shared" si="1"/>
        <v>3462.8550000000005</v>
      </c>
      <c r="J71" s="100">
        <f t="shared" si="3"/>
        <v>67.700000000000045</v>
      </c>
      <c r="K71" s="101">
        <f t="shared" si="2"/>
        <v>4.7390000000000327</v>
      </c>
    </row>
    <row r="72" spans="1:11" ht="12.75" x14ac:dyDescent="0.2">
      <c r="A72" s="92">
        <v>45607</v>
      </c>
      <c r="B72" s="93" t="s">
        <v>33</v>
      </c>
      <c r="C72" s="94">
        <v>0.9506</v>
      </c>
      <c r="D72" s="146"/>
      <c r="E72" s="96"/>
      <c r="F72" s="96"/>
      <c r="G72" s="97">
        <v>1356</v>
      </c>
      <c r="H72" s="98">
        <f t="shared" si="0"/>
        <v>66.986400000000003</v>
      </c>
      <c r="I72" s="99">
        <f t="shared" si="1"/>
        <v>3684.2520000000004</v>
      </c>
      <c r="J72" s="100">
        <f t="shared" si="3"/>
        <v>67.799999999999955</v>
      </c>
      <c r="K72" s="101">
        <f t="shared" si="2"/>
        <v>0.81359999999995125</v>
      </c>
    </row>
    <row r="73" spans="1:11" ht="12.75" x14ac:dyDescent="0.2">
      <c r="A73" s="92">
        <v>45608</v>
      </c>
      <c r="B73" s="93" t="s">
        <v>35</v>
      </c>
      <c r="C73" s="94">
        <v>0.96830000000000005</v>
      </c>
      <c r="D73" s="95"/>
      <c r="E73" s="96"/>
      <c r="F73" s="96" t="s">
        <v>348</v>
      </c>
      <c r="G73" s="97">
        <v>1357</v>
      </c>
      <c r="H73" s="98">
        <f t="shared" si="0"/>
        <v>43.01689999999985</v>
      </c>
      <c r="I73" s="99">
        <f t="shared" si="1"/>
        <v>2365.929499999992</v>
      </c>
      <c r="J73" s="100">
        <f t="shared" si="3"/>
        <v>67.850000000000136</v>
      </c>
      <c r="K73" s="101">
        <f t="shared" si="2"/>
        <v>24.833100000000286</v>
      </c>
    </row>
    <row r="74" spans="1:11" ht="12.75" x14ac:dyDescent="0.2">
      <c r="A74" s="92">
        <v>45609</v>
      </c>
      <c r="B74" s="93" t="s">
        <v>37</v>
      </c>
      <c r="C74" s="94">
        <v>0.94469999999999998</v>
      </c>
      <c r="D74" s="95"/>
      <c r="E74" s="96"/>
      <c r="F74" s="96"/>
      <c r="G74" s="97">
        <v>1357</v>
      </c>
      <c r="H74" s="98">
        <f t="shared" si="0"/>
        <v>75.042100000000119</v>
      </c>
      <c r="I74" s="99">
        <f t="shared" si="1"/>
        <v>4127.3155000000061</v>
      </c>
      <c r="J74" s="100">
        <f t="shared" si="3"/>
        <v>67.850000000000136</v>
      </c>
      <c r="K74" s="101">
        <f t="shared" si="2"/>
        <v>-7.1920999999999822</v>
      </c>
    </row>
    <row r="75" spans="1:11" ht="12.75" x14ac:dyDescent="0.2">
      <c r="A75" s="92">
        <v>45610</v>
      </c>
      <c r="B75" s="93" t="s">
        <v>39</v>
      </c>
      <c r="C75" s="94">
        <v>0.94920000000000004</v>
      </c>
      <c r="D75" s="95"/>
      <c r="E75" s="96"/>
      <c r="F75" s="96"/>
      <c r="G75" s="97">
        <v>1357</v>
      </c>
      <c r="H75" s="98">
        <f t="shared" si="0"/>
        <v>68.935600000000022</v>
      </c>
      <c r="I75" s="99">
        <f t="shared" si="1"/>
        <v>3791.4580000000014</v>
      </c>
      <c r="J75" s="100">
        <f t="shared" si="3"/>
        <v>67.850000000000136</v>
      </c>
      <c r="K75" s="101">
        <f t="shared" si="2"/>
        <v>-1.0855999999998858</v>
      </c>
    </row>
    <row r="76" spans="1:11" ht="12.75" x14ac:dyDescent="0.2">
      <c r="A76" s="92">
        <v>45611</v>
      </c>
      <c r="B76" s="93" t="s">
        <v>41</v>
      </c>
      <c r="C76" s="94">
        <v>0.94620000000000004</v>
      </c>
      <c r="D76" s="95"/>
      <c r="E76" s="96"/>
      <c r="F76" s="96"/>
      <c r="G76" s="97">
        <v>1357</v>
      </c>
      <c r="H76" s="98">
        <f t="shared" si="0"/>
        <v>73.006599999999935</v>
      </c>
      <c r="I76" s="99">
        <f t="shared" si="1"/>
        <v>4015.3629999999966</v>
      </c>
      <c r="J76" s="100">
        <f t="shared" si="3"/>
        <v>67.850000000000136</v>
      </c>
      <c r="K76" s="101">
        <f t="shared" si="2"/>
        <v>-5.1565999999997985</v>
      </c>
    </row>
    <row r="77" spans="1:11" ht="12.75" x14ac:dyDescent="0.2">
      <c r="A77" s="92">
        <v>45614</v>
      </c>
      <c r="B77" s="93" t="s">
        <v>33</v>
      </c>
      <c r="C77" s="94">
        <v>0.94479999999999997</v>
      </c>
      <c r="D77" s="95"/>
      <c r="E77" s="96"/>
      <c r="F77" s="96" t="s">
        <v>349</v>
      </c>
      <c r="G77" s="97">
        <v>1358</v>
      </c>
      <c r="H77" s="98">
        <f t="shared" si="0"/>
        <v>74.961600000000089</v>
      </c>
      <c r="I77" s="99">
        <f t="shared" si="1"/>
        <v>4122.8880000000045</v>
      </c>
      <c r="J77" s="100">
        <f t="shared" si="3"/>
        <v>67.900000000000091</v>
      </c>
      <c r="K77" s="101">
        <f t="shared" si="2"/>
        <v>-7.0615999999999985</v>
      </c>
    </row>
    <row r="78" spans="1:11" ht="12.75" x14ac:dyDescent="0.2">
      <c r="A78" s="92">
        <v>45615</v>
      </c>
      <c r="B78" s="93" t="s">
        <v>35</v>
      </c>
      <c r="C78" s="94">
        <v>0.9587</v>
      </c>
      <c r="D78" s="95"/>
      <c r="E78" s="96"/>
      <c r="F78" s="96" t="s">
        <v>350</v>
      </c>
      <c r="G78" s="97">
        <v>1356</v>
      </c>
      <c r="H78" s="98">
        <f t="shared" si="0"/>
        <v>56.002799999999979</v>
      </c>
      <c r="I78" s="99">
        <f t="shared" si="1"/>
        <v>3080.1539999999986</v>
      </c>
      <c r="J78" s="100">
        <f t="shared" si="3"/>
        <v>67.799999999999955</v>
      </c>
      <c r="K78" s="101">
        <f t="shared" si="2"/>
        <v>11.797199999999975</v>
      </c>
    </row>
    <row r="79" spans="1:11" ht="12.75" x14ac:dyDescent="0.2">
      <c r="A79" s="92">
        <v>45616</v>
      </c>
      <c r="B79" s="93" t="s">
        <v>37</v>
      </c>
      <c r="C79" s="94">
        <v>0.95209999999999995</v>
      </c>
      <c r="D79" s="95"/>
      <c r="E79" s="96"/>
      <c r="F79" s="96"/>
      <c r="G79" s="97">
        <v>1356</v>
      </c>
      <c r="H79" s="98">
        <f t="shared" si="0"/>
        <v>64.952400000000125</v>
      </c>
      <c r="I79" s="99">
        <f t="shared" si="1"/>
        <v>3572.3820000000069</v>
      </c>
      <c r="J79" s="100">
        <f t="shared" si="3"/>
        <v>67.799999999999955</v>
      </c>
      <c r="K79" s="101">
        <f t="shared" si="2"/>
        <v>2.8475999999998294</v>
      </c>
    </row>
    <row r="80" spans="1:11" ht="12.75" x14ac:dyDescent="0.2">
      <c r="A80" s="92">
        <v>45617</v>
      </c>
      <c r="B80" s="93" t="s">
        <v>39</v>
      </c>
      <c r="C80" s="94">
        <v>0.95499999999999996</v>
      </c>
      <c r="D80" s="95"/>
      <c r="E80" s="96"/>
      <c r="F80" s="96"/>
      <c r="G80" s="97">
        <v>1357</v>
      </c>
      <c r="H80" s="98">
        <f t="shared" si="0"/>
        <v>61.065000000000055</v>
      </c>
      <c r="I80" s="99">
        <f t="shared" si="1"/>
        <v>3358.575000000003</v>
      </c>
      <c r="J80" s="100">
        <f t="shared" si="3"/>
        <v>67.850000000000136</v>
      </c>
      <c r="K80" s="101">
        <f t="shared" si="2"/>
        <v>6.7850000000000819</v>
      </c>
    </row>
    <row r="81" spans="1:11" ht="12.75" x14ac:dyDescent="0.2">
      <c r="A81" s="92">
        <v>45618</v>
      </c>
      <c r="B81" s="93" t="s">
        <v>41</v>
      </c>
      <c r="C81" s="94">
        <v>0.92849999999999999</v>
      </c>
      <c r="D81" s="95"/>
      <c r="E81" s="96" t="s">
        <v>233</v>
      </c>
      <c r="F81" s="96" t="s">
        <v>351</v>
      </c>
      <c r="G81" s="97">
        <v>1357</v>
      </c>
      <c r="H81" s="98">
        <f t="shared" si="0"/>
        <v>97.025499999999965</v>
      </c>
      <c r="I81" s="99">
        <f t="shared" si="1"/>
        <v>5336.4024999999983</v>
      </c>
      <c r="J81" s="100">
        <f t="shared" si="3"/>
        <v>67.850000000000136</v>
      </c>
      <c r="K81" s="101">
        <f t="shared" si="2"/>
        <v>-29.175499999999829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0"/>
        <v>0</v>
      </c>
      <c r="I82" s="99">
        <f t="shared" si="1"/>
        <v>0</v>
      </c>
      <c r="J82" s="100">
        <f t="shared" si="3"/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0"/>
        <v>0</v>
      </c>
      <c r="I83" s="99">
        <f t="shared" si="1"/>
        <v>0</v>
      </c>
      <c r="J83" s="100">
        <f t="shared" si="3"/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0"/>
        <v>0</v>
      </c>
      <c r="I84" s="99">
        <f t="shared" si="1"/>
        <v>0</v>
      </c>
      <c r="J84" s="100">
        <f t="shared" si="3"/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0"/>
        <v>0</v>
      </c>
      <c r="I85" s="99">
        <f t="shared" si="1"/>
        <v>0</v>
      </c>
      <c r="J85" s="100">
        <f t="shared" si="3"/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0"/>
        <v>0</v>
      </c>
      <c r="I86" s="99">
        <f t="shared" si="1"/>
        <v>0</v>
      </c>
      <c r="J86" s="100">
        <f t="shared" si="3"/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0.95199999999999996</v>
      </c>
      <c r="D87" s="95"/>
      <c r="E87" s="96"/>
      <c r="F87" s="96" t="s">
        <v>335</v>
      </c>
      <c r="G87" s="97">
        <v>1355</v>
      </c>
      <c r="H87" s="98">
        <f t="shared" si="0"/>
        <v>65.039999999999964</v>
      </c>
      <c r="I87" s="99">
        <f t="shared" si="1"/>
        <v>3577.199999999998</v>
      </c>
      <c r="J87" s="100">
        <f t="shared" si="3"/>
        <v>67.75</v>
      </c>
      <c r="K87" s="101">
        <f t="shared" si="2"/>
        <v>2.7100000000000364</v>
      </c>
    </row>
    <row r="88" spans="1:11" ht="12.75" x14ac:dyDescent="0.2">
      <c r="A88" s="92">
        <v>45629</v>
      </c>
      <c r="B88" s="93" t="s">
        <v>35</v>
      </c>
      <c r="C88" s="94">
        <v>0.95799999999999996</v>
      </c>
      <c r="D88" s="95"/>
      <c r="E88" s="96"/>
      <c r="F88" s="96" t="s">
        <v>348</v>
      </c>
      <c r="G88" s="97">
        <v>1356</v>
      </c>
      <c r="H88" s="98">
        <f t="shared" si="0"/>
        <v>56.951999999999998</v>
      </c>
      <c r="I88" s="99">
        <f t="shared" si="1"/>
        <v>3132.3599999999997</v>
      </c>
      <c r="J88" s="100">
        <f t="shared" si="3"/>
        <v>67.799999999999955</v>
      </c>
      <c r="K88" s="101">
        <f t="shared" si="2"/>
        <v>10.847999999999956</v>
      </c>
    </row>
    <row r="89" spans="1:11" ht="12.75" x14ac:dyDescent="0.2">
      <c r="A89" s="92">
        <v>45630</v>
      </c>
      <c r="B89" s="93" t="s">
        <v>37</v>
      </c>
      <c r="C89" s="94">
        <v>0.95350000000000001</v>
      </c>
      <c r="D89" s="95"/>
      <c r="E89" s="96"/>
      <c r="F89" s="96" t="s">
        <v>352</v>
      </c>
      <c r="G89" s="97">
        <v>1356</v>
      </c>
      <c r="H89" s="98">
        <f t="shared" si="0"/>
        <v>63.054000000000087</v>
      </c>
      <c r="I89" s="99">
        <f t="shared" si="1"/>
        <v>3467.9700000000048</v>
      </c>
      <c r="J89" s="100">
        <f t="shared" si="3"/>
        <v>67.799999999999955</v>
      </c>
      <c r="K89" s="101">
        <f t="shared" si="2"/>
        <v>4.7459999999998672</v>
      </c>
    </row>
    <row r="90" spans="1:11" ht="12.75" x14ac:dyDescent="0.2">
      <c r="A90" s="92">
        <v>45631</v>
      </c>
      <c r="B90" s="93" t="s">
        <v>39</v>
      </c>
      <c r="C90" s="94">
        <v>0.95279999999999998</v>
      </c>
      <c r="D90" s="95"/>
      <c r="E90" s="96"/>
      <c r="F90" s="96"/>
      <c r="G90" s="97">
        <v>1357</v>
      </c>
      <c r="H90" s="98">
        <f t="shared" si="0"/>
        <v>64.050400000000081</v>
      </c>
      <c r="I90" s="99">
        <f t="shared" si="1"/>
        <v>3522.7720000000045</v>
      </c>
      <c r="J90" s="100">
        <f t="shared" si="3"/>
        <v>67.850000000000136</v>
      </c>
      <c r="K90" s="101">
        <f t="shared" si="2"/>
        <v>3.7996000000000549</v>
      </c>
    </row>
    <row r="91" spans="1:11" ht="25.5" x14ac:dyDescent="0.2">
      <c r="A91" s="92">
        <v>45632</v>
      </c>
      <c r="B91" s="93" t="s">
        <v>41</v>
      </c>
      <c r="C91" s="94">
        <v>0.94840000000000002</v>
      </c>
      <c r="D91" s="148"/>
      <c r="E91" s="96"/>
      <c r="F91" s="96" t="s">
        <v>353</v>
      </c>
      <c r="G91" s="97">
        <v>1357</v>
      </c>
      <c r="H91" s="98">
        <f t="shared" si="0"/>
        <v>70.021199999999908</v>
      </c>
      <c r="I91" s="99">
        <f t="shared" si="1"/>
        <v>3851.1659999999947</v>
      </c>
      <c r="J91" s="100">
        <f t="shared" si="3"/>
        <v>67.850000000000136</v>
      </c>
      <c r="K91" s="101">
        <f t="shared" si="2"/>
        <v>-2.1711999999997715</v>
      </c>
    </row>
    <row r="92" spans="1:11" ht="12.75" x14ac:dyDescent="0.2">
      <c r="A92" s="92">
        <v>45635</v>
      </c>
      <c r="B92" s="93" t="s">
        <v>33</v>
      </c>
      <c r="C92" s="94">
        <v>0.94540000000000002</v>
      </c>
      <c r="D92" s="95"/>
      <c r="E92" s="96"/>
      <c r="F92" s="96" t="s">
        <v>354</v>
      </c>
      <c r="G92" s="97">
        <v>1356</v>
      </c>
      <c r="H92" s="98">
        <f t="shared" si="0"/>
        <v>74.037599999999884</v>
      </c>
      <c r="I92" s="99">
        <f t="shared" si="1"/>
        <v>4072.0679999999938</v>
      </c>
      <c r="J92" s="100">
        <f t="shared" si="3"/>
        <v>67.799999999999955</v>
      </c>
      <c r="K92" s="101">
        <f t="shared" si="2"/>
        <v>-6.2375999999999294</v>
      </c>
    </row>
    <row r="93" spans="1:11" ht="12.75" x14ac:dyDescent="0.2">
      <c r="A93" s="92">
        <v>45636</v>
      </c>
      <c r="B93" s="93" t="s">
        <v>35</v>
      </c>
      <c r="C93" s="94">
        <v>0.94620000000000004</v>
      </c>
      <c r="D93" s="95"/>
      <c r="E93" s="96"/>
      <c r="F93" s="96" t="s">
        <v>355</v>
      </c>
      <c r="G93" s="97">
        <v>1357</v>
      </c>
      <c r="H93" s="98">
        <f t="shared" si="0"/>
        <v>73.006599999999935</v>
      </c>
      <c r="I93" s="99">
        <f t="shared" si="1"/>
        <v>4015.3629999999966</v>
      </c>
      <c r="J93" s="100">
        <f t="shared" si="3"/>
        <v>67.850000000000136</v>
      </c>
      <c r="K93" s="101">
        <f t="shared" si="2"/>
        <v>-5.1565999999997985</v>
      </c>
    </row>
    <row r="94" spans="1:11" ht="12.75" x14ac:dyDescent="0.2">
      <c r="A94" s="92">
        <v>45637</v>
      </c>
      <c r="B94" s="93" t="s">
        <v>37</v>
      </c>
      <c r="C94" s="94">
        <v>0.94399999999999995</v>
      </c>
      <c r="D94" s="95"/>
      <c r="E94" s="96"/>
      <c r="F94" s="96" t="s">
        <v>356</v>
      </c>
      <c r="G94" s="97">
        <v>1357</v>
      </c>
      <c r="H94" s="98">
        <f t="shared" si="0"/>
        <v>75.991999999999962</v>
      </c>
      <c r="I94" s="99">
        <f t="shared" si="1"/>
        <v>4179.5599999999977</v>
      </c>
      <c r="J94" s="100">
        <f t="shared" si="3"/>
        <v>67.850000000000136</v>
      </c>
      <c r="K94" s="101">
        <f t="shared" si="2"/>
        <v>-8.1419999999998254</v>
      </c>
    </row>
    <row r="95" spans="1:11" ht="12.75" x14ac:dyDescent="0.2">
      <c r="A95" s="92">
        <v>45638</v>
      </c>
      <c r="B95" s="93" t="s">
        <v>39</v>
      </c>
      <c r="C95" s="94">
        <v>0.94540000000000002</v>
      </c>
      <c r="D95" s="95"/>
      <c r="E95" s="96"/>
      <c r="F95" s="96" t="s">
        <v>357</v>
      </c>
      <c r="G95" s="97">
        <v>1356</v>
      </c>
      <c r="H95" s="98">
        <f t="shared" si="0"/>
        <v>74.037599999999884</v>
      </c>
      <c r="I95" s="99">
        <f t="shared" si="1"/>
        <v>4072.0679999999938</v>
      </c>
      <c r="J95" s="100">
        <f t="shared" si="3"/>
        <v>67.799999999999955</v>
      </c>
      <c r="K95" s="101">
        <f t="shared" si="2"/>
        <v>-6.2375999999999294</v>
      </c>
    </row>
    <row r="96" spans="1:11" ht="12.75" x14ac:dyDescent="0.2">
      <c r="A96" s="92">
        <v>45639</v>
      </c>
      <c r="B96" s="93" t="s">
        <v>41</v>
      </c>
      <c r="C96" s="94">
        <v>0.9425</v>
      </c>
      <c r="D96" s="148"/>
      <c r="E96" s="96"/>
      <c r="F96" s="96" t="s">
        <v>358</v>
      </c>
      <c r="G96" s="97">
        <v>1356</v>
      </c>
      <c r="H96" s="98">
        <f t="shared" si="0"/>
        <v>77.970000000000027</v>
      </c>
      <c r="I96" s="99">
        <f t="shared" si="1"/>
        <v>4288.3500000000013</v>
      </c>
      <c r="J96" s="100">
        <f t="shared" si="3"/>
        <v>67.799999999999955</v>
      </c>
      <c r="K96" s="101">
        <f t="shared" si="2"/>
        <v>-10.170000000000073</v>
      </c>
    </row>
    <row r="97" spans="1:11" ht="12.75" x14ac:dyDescent="0.2">
      <c r="A97" s="92">
        <v>45642</v>
      </c>
      <c r="B97" s="93" t="s">
        <v>33</v>
      </c>
      <c r="C97" s="94">
        <v>0.9476</v>
      </c>
      <c r="D97" s="95"/>
      <c r="E97" s="96"/>
      <c r="F97" s="96"/>
      <c r="G97" s="97">
        <v>1356</v>
      </c>
      <c r="H97" s="98">
        <f t="shared" si="0"/>
        <v>71.054399999999987</v>
      </c>
      <c r="I97" s="99">
        <f t="shared" si="1"/>
        <v>3907.9919999999993</v>
      </c>
      <c r="J97" s="100">
        <f t="shared" si="3"/>
        <v>67.799999999999955</v>
      </c>
      <c r="K97" s="101">
        <f t="shared" si="2"/>
        <v>-3.2544000000000324</v>
      </c>
    </row>
    <row r="98" spans="1:11" ht="12.75" x14ac:dyDescent="0.2">
      <c r="A98" s="92">
        <v>45643</v>
      </c>
      <c r="B98" s="93" t="s">
        <v>35</v>
      </c>
      <c r="C98" s="94">
        <v>0.95950000000000002</v>
      </c>
      <c r="D98" s="148"/>
      <c r="E98" s="96"/>
      <c r="F98" s="96"/>
      <c r="G98" s="97">
        <v>1359</v>
      </c>
      <c r="H98" s="98">
        <f t="shared" si="0"/>
        <v>55.039499999999862</v>
      </c>
      <c r="I98" s="99">
        <f t="shared" si="1"/>
        <v>3027.1724999999924</v>
      </c>
      <c r="J98" s="100">
        <f t="shared" si="3"/>
        <v>67.950000000000045</v>
      </c>
      <c r="K98" s="101">
        <f t="shared" si="2"/>
        <v>12.910500000000184</v>
      </c>
    </row>
    <row r="99" spans="1:11" ht="12.75" x14ac:dyDescent="0.2">
      <c r="A99" s="92">
        <v>45644</v>
      </c>
      <c r="B99" s="93" t="s">
        <v>37</v>
      </c>
      <c r="C99" s="94">
        <v>0.9536</v>
      </c>
      <c r="D99" s="95"/>
      <c r="E99" s="96"/>
      <c r="F99" s="96"/>
      <c r="G99" s="97">
        <v>1358</v>
      </c>
      <c r="H99" s="98">
        <f t="shared" si="0"/>
        <v>63.011199999999917</v>
      </c>
      <c r="I99" s="99">
        <f t="shared" si="1"/>
        <v>3465.6159999999954</v>
      </c>
      <c r="J99" s="100">
        <f t="shared" si="3"/>
        <v>67.900000000000091</v>
      </c>
      <c r="K99" s="101">
        <f t="shared" si="2"/>
        <v>4.8888000000001739</v>
      </c>
    </row>
    <row r="100" spans="1:11" ht="12.75" x14ac:dyDescent="0.2">
      <c r="A100" s="92">
        <v>45645</v>
      </c>
      <c r="B100" s="93" t="s">
        <v>39</v>
      </c>
      <c r="C100" s="94">
        <v>0.94179999999999997</v>
      </c>
      <c r="D100" s="95"/>
      <c r="E100" s="96"/>
      <c r="F100" s="96" t="s">
        <v>359</v>
      </c>
      <c r="G100" s="97">
        <v>1358</v>
      </c>
      <c r="H100" s="98">
        <f t="shared" si="0"/>
        <v>79.035599999999931</v>
      </c>
      <c r="I100" s="99">
        <f t="shared" si="1"/>
        <v>4346.957999999996</v>
      </c>
      <c r="J100" s="100">
        <f t="shared" si="3"/>
        <v>67.900000000000091</v>
      </c>
      <c r="K100" s="101">
        <f t="shared" si="2"/>
        <v>-11.13559999999984</v>
      </c>
    </row>
    <row r="101" spans="1:11" ht="25.5" x14ac:dyDescent="0.2">
      <c r="A101" s="92">
        <v>45646</v>
      </c>
      <c r="B101" s="93" t="s">
        <v>41</v>
      </c>
      <c r="C101" s="94">
        <v>0.90129999999999999</v>
      </c>
      <c r="D101" s="95"/>
      <c r="E101" s="96" t="s">
        <v>233</v>
      </c>
      <c r="F101" s="96" t="s">
        <v>360</v>
      </c>
      <c r="G101" s="97">
        <v>1358</v>
      </c>
      <c r="H101" s="98">
        <f t="shared" si="0"/>
        <v>134.03459999999995</v>
      </c>
      <c r="I101" s="99">
        <f t="shared" si="1"/>
        <v>7371.9029999999975</v>
      </c>
      <c r="J101" s="100">
        <f t="shared" si="3"/>
        <v>67.900000000000091</v>
      </c>
      <c r="K101" s="101">
        <f t="shared" si="2"/>
        <v>-66.134599999999864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0"/>
        <v>0</v>
      </c>
      <c r="I102" s="99">
        <f t="shared" si="1"/>
        <v>0</v>
      </c>
      <c r="J102" s="100">
        <f t="shared" si="3"/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0"/>
        <v>0</v>
      </c>
      <c r="I103" s="99">
        <f t="shared" si="1"/>
        <v>0</v>
      </c>
      <c r="J103" s="100">
        <f t="shared" si="3"/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0"/>
        <v>0</v>
      </c>
      <c r="I104" s="99">
        <f t="shared" si="1"/>
        <v>0</v>
      </c>
      <c r="J104" s="100">
        <f t="shared" si="3"/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0"/>
        <v>0</v>
      </c>
      <c r="I105" s="99">
        <f t="shared" si="1"/>
        <v>0</v>
      </c>
      <c r="J105" s="100">
        <f t="shared" si="3"/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0"/>
        <v>0</v>
      </c>
      <c r="I106" s="99">
        <f t="shared" si="1"/>
        <v>0</v>
      </c>
      <c r="J106" s="100">
        <f t="shared" si="3"/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0"/>
        <v>0</v>
      </c>
      <c r="I107" s="99">
        <f t="shared" si="1"/>
        <v>0</v>
      </c>
      <c r="J107" s="100">
        <f t="shared" si="3"/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0"/>
        <v>0</v>
      </c>
      <c r="I108" s="99">
        <f t="shared" si="1"/>
        <v>0</v>
      </c>
      <c r="J108" s="100">
        <f t="shared" si="3"/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0"/>
        <v>0</v>
      </c>
      <c r="I109" s="99">
        <f t="shared" si="1"/>
        <v>0</v>
      </c>
      <c r="J109" s="100">
        <f t="shared" si="3"/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0"/>
        <v>0</v>
      </c>
      <c r="I110" s="99">
        <f t="shared" si="1"/>
        <v>0</v>
      </c>
      <c r="J110" s="100">
        <f t="shared" si="3"/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0"/>
        <v>0</v>
      </c>
      <c r="I111" s="99">
        <f t="shared" si="1"/>
        <v>0</v>
      </c>
      <c r="J111" s="100">
        <f t="shared" si="3"/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0"/>
        <v>0</v>
      </c>
      <c r="I112" s="99">
        <f t="shared" si="1"/>
        <v>0</v>
      </c>
      <c r="J112" s="100">
        <f t="shared" si="3"/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0"/>
        <v>0</v>
      </c>
      <c r="I113" s="99">
        <f t="shared" si="1"/>
        <v>0</v>
      </c>
      <c r="J113" s="100">
        <f t="shared" si="3"/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0.94689999999999996</v>
      </c>
      <c r="D114" s="95"/>
      <c r="E114" s="96"/>
      <c r="F114" s="96" t="s">
        <v>361</v>
      </c>
      <c r="G114" s="97">
        <v>1355</v>
      </c>
      <c r="H114" s="98">
        <f t="shared" si="0"/>
        <v>71.950500000000147</v>
      </c>
      <c r="I114" s="99">
        <f t="shared" si="1"/>
        <v>3957.2775000000083</v>
      </c>
      <c r="J114" s="100">
        <f t="shared" si="3"/>
        <v>67.75</v>
      </c>
      <c r="K114" s="101">
        <f t="shared" si="2"/>
        <v>-4.2005000000001473</v>
      </c>
    </row>
    <row r="115" spans="1:11" ht="12.75" x14ac:dyDescent="0.2">
      <c r="A115" s="92">
        <v>45666</v>
      </c>
      <c r="B115" s="93" t="s">
        <v>39</v>
      </c>
      <c r="C115" s="94">
        <v>0.93510000000000004</v>
      </c>
      <c r="D115" s="95"/>
      <c r="E115" s="96" t="s">
        <v>246</v>
      </c>
      <c r="F115" s="96" t="s">
        <v>362</v>
      </c>
      <c r="G115" s="97">
        <v>1357</v>
      </c>
      <c r="H115" s="98">
        <f t="shared" si="0"/>
        <v>88.069299999999885</v>
      </c>
      <c r="I115" s="99">
        <f t="shared" si="1"/>
        <v>4843.8114999999934</v>
      </c>
      <c r="J115" s="100">
        <f t="shared" si="3"/>
        <v>67.850000000000136</v>
      </c>
      <c r="K115" s="101">
        <f t="shared" si="2"/>
        <v>-20.219299999999748</v>
      </c>
    </row>
    <row r="116" spans="1:11" ht="25.5" x14ac:dyDescent="0.2">
      <c r="A116" s="140">
        <v>45667</v>
      </c>
      <c r="B116" s="141" t="s">
        <v>41</v>
      </c>
      <c r="C116" s="142">
        <v>0.93279999999999996</v>
      </c>
      <c r="D116" s="143" t="s">
        <v>363</v>
      </c>
      <c r="E116" s="144" t="s">
        <v>246</v>
      </c>
      <c r="F116" s="144" t="s">
        <v>364</v>
      </c>
      <c r="G116" s="145">
        <v>1354</v>
      </c>
      <c r="H116" s="98">
        <f t="shared" si="0"/>
        <v>90.988800000000083</v>
      </c>
      <c r="I116" s="99">
        <f t="shared" si="1"/>
        <v>5004.3840000000046</v>
      </c>
      <c r="J116" s="100">
        <f t="shared" si="3"/>
        <v>67.700000000000045</v>
      </c>
      <c r="K116" s="101">
        <f t="shared" si="2"/>
        <v>-23.288800000000037</v>
      </c>
    </row>
    <row r="117" spans="1:11" ht="12.75" x14ac:dyDescent="0.2">
      <c r="A117" s="92">
        <v>45670</v>
      </c>
      <c r="B117" s="93" t="s">
        <v>33</v>
      </c>
      <c r="C117" s="94">
        <v>0.94920000000000004</v>
      </c>
      <c r="D117" s="95"/>
      <c r="E117" s="96"/>
      <c r="F117" s="96"/>
      <c r="G117" s="97">
        <v>1357</v>
      </c>
      <c r="H117" s="98">
        <f t="shared" si="0"/>
        <v>68.935600000000022</v>
      </c>
      <c r="I117" s="99">
        <f t="shared" si="1"/>
        <v>3791.4580000000014</v>
      </c>
      <c r="J117" s="100">
        <f t="shared" si="3"/>
        <v>67.850000000000136</v>
      </c>
      <c r="K117" s="101">
        <f t="shared" si="2"/>
        <v>-1.0855999999998858</v>
      </c>
    </row>
    <row r="118" spans="1:11" ht="12.75" x14ac:dyDescent="0.2">
      <c r="A118" s="92">
        <v>45671</v>
      </c>
      <c r="B118" s="93" t="s">
        <v>35</v>
      </c>
      <c r="C118" s="94">
        <v>0.95140000000000002</v>
      </c>
      <c r="D118" s="95"/>
      <c r="E118" s="96"/>
      <c r="F118" s="96" t="s">
        <v>365</v>
      </c>
      <c r="G118" s="97">
        <v>1358</v>
      </c>
      <c r="H118" s="98">
        <f t="shared" si="0"/>
        <v>65.998800000000074</v>
      </c>
      <c r="I118" s="99">
        <f t="shared" si="1"/>
        <v>3629.9340000000038</v>
      </c>
      <c r="J118" s="100">
        <f t="shared" si="3"/>
        <v>67.900000000000091</v>
      </c>
      <c r="K118" s="101">
        <f t="shared" si="2"/>
        <v>1.9012000000000171</v>
      </c>
    </row>
    <row r="119" spans="1:11" ht="12.75" x14ac:dyDescent="0.2">
      <c r="A119" s="92">
        <v>45672</v>
      </c>
      <c r="B119" s="93" t="s">
        <v>37</v>
      </c>
      <c r="C119" s="149">
        <v>0.95879999999999999</v>
      </c>
      <c r="D119" s="95"/>
      <c r="E119" s="96"/>
      <c r="F119" s="96"/>
      <c r="G119" s="97">
        <v>1360</v>
      </c>
      <c r="H119" s="98">
        <f t="shared" si="0"/>
        <v>56.031999999999925</v>
      </c>
      <c r="I119" s="99">
        <f t="shared" si="1"/>
        <v>3081.7599999999957</v>
      </c>
      <c r="J119" s="100">
        <f t="shared" si="3"/>
        <v>68</v>
      </c>
      <c r="K119" s="101">
        <f t="shared" si="2"/>
        <v>11.968000000000075</v>
      </c>
    </row>
    <row r="120" spans="1:11" ht="12.75" x14ac:dyDescent="0.2">
      <c r="A120" s="92">
        <v>45673</v>
      </c>
      <c r="B120" s="93" t="s">
        <v>39</v>
      </c>
      <c r="C120" s="94">
        <v>0.95660000000000001</v>
      </c>
      <c r="D120" s="95"/>
      <c r="E120" s="96"/>
      <c r="F120" s="96" t="s">
        <v>366</v>
      </c>
      <c r="G120" s="97">
        <v>1358</v>
      </c>
      <c r="H120" s="98">
        <f t="shared" si="0"/>
        <v>58.937200000000075</v>
      </c>
      <c r="I120" s="99">
        <f t="shared" si="1"/>
        <v>3241.5460000000039</v>
      </c>
      <c r="J120" s="100">
        <f t="shared" si="3"/>
        <v>67.900000000000091</v>
      </c>
      <c r="K120" s="101">
        <f t="shared" si="2"/>
        <v>8.9628000000000156</v>
      </c>
    </row>
    <row r="121" spans="1:11" ht="12.75" x14ac:dyDescent="0.2">
      <c r="A121" s="92">
        <v>45674</v>
      </c>
      <c r="B121" s="93" t="s">
        <v>41</v>
      </c>
      <c r="C121" s="94">
        <v>0.94699999999999995</v>
      </c>
      <c r="D121" s="95"/>
      <c r="E121" s="96"/>
      <c r="F121" s="96" t="s">
        <v>367</v>
      </c>
      <c r="G121" s="97">
        <v>1358</v>
      </c>
      <c r="H121" s="98">
        <f t="shared" si="0"/>
        <v>71.97400000000016</v>
      </c>
      <c r="I121" s="99">
        <f t="shared" si="1"/>
        <v>3958.5700000000088</v>
      </c>
      <c r="J121" s="100">
        <f t="shared" si="3"/>
        <v>67.900000000000091</v>
      </c>
      <c r="K121" s="101">
        <f t="shared" si="2"/>
        <v>-4.0740000000000691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0"/>
        <v>0</v>
      </c>
      <c r="I122" s="99">
        <f t="shared" si="1"/>
        <v>0</v>
      </c>
      <c r="J122" s="100">
        <f t="shared" si="3"/>
        <v>0</v>
      </c>
      <c r="K122" s="101">
        <f t="shared" si="2"/>
        <v>0</v>
      </c>
    </row>
    <row r="123" spans="1:11" ht="12.75" x14ac:dyDescent="0.2">
      <c r="A123" s="92">
        <v>45678</v>
      </c>
      <c r="B123" s="93" t="s">
        <v>35</v>
      </c>
      <c r="C123" s="94"/>
      <c r="D123" s="95"/>
      <c r="E123" s="96" t="s">
        <v>246</v>
      </c>
      <c r="F123" s="96" t="s">
        <v>368</v>
      </c>
      <c r="H123" s="98">
        <f t="shared" si="0"/>
        <v>0</v>
      </c>
      <c r="I123" s="99">
        <f t="shared" si="1"/>
        <v>0</v>
      </c>
      <c r="J123" s="100">
        <f t="shared" si="3"/>
        <v>0</v>
      </c>
      <c r="K123" s="101">
        <f t="shared" si="2"/>
        <v>0</v>
      </c>
    </row>
    <row r="124" spans="1:11" ht="12.75" x14ac:dyDescent="0.2">
      <c r="A124" s="92">
        <v>45679</v>
      </c>
      <c r="B124" s="93" t="s">
        <v>37</v>
      </c>
      <c r="C124" s="94"/>
      <c r="D124" s="95"/>
      <c r="E124" s="96" t="s">
        <v>246</v>
      </c>
      <c r="F124" s="96" t="s">
        <v>369</v>
      </c>
      <c r="H124" s="98">
        <f t="shared" si="0"/>
        <v>0</v>
      </c>
      <c r="I124" s="99">
        <f t="shared" si="1"/>
        <v>0</v>
      </c>
      <c r="J124" s="100">
        <f t="shared" si="3"/>
        <v>0</v>
      </c>
      <c r="K124" s="101">
        <f t="shared" si="2"/>
        <v>0</v>
      </c>
    </row>
    <row r="125" spans="1:11" ht="12.75" x14ac:dyDescent="0.2">
      <c r="A125" s="92">
        <v>45680</v>
      </c>
      <c r="B125" s="93" t="s">
        <v>39</v>
      </c>
      <c r="C125" s="94">
        <v>0.86819999999999997</v>
      </c>
      <c r="D125" s="95"/>
      <c r="E125" s="96" t="s">
        <v>246</v>
      </c>
      <c r="F125" s="96" t="s">
        <v>370</v>
      </c>
      <c r="G125" s="97">
        <v>1358</v>
      </c>
      <c r="H125" s="98">
        <f t="shared" si="0"/>
        <v>178.98440000000005</v>
      </c>
      <c r="I125" s="99">
        <f t="shared" si="1"/>
        <v>9844.1420000000035</v>
      </c>
      <c r="J125" s="100">
        <f t="shared" si="3"/>
        <v>67.900000000000091</v>
      </c>
      <c r="K125" s="101">
        <f t="shared" si="2"/>
        <v>-111.08439999999996</v>
      </c>
    </row>
    <row r="126" spans="1:11" ht="25.5" x14ac:dyDescent="0.2">
      <c r="A126" s="92">
        <v>45681</v>
      </c>
      <c r="B126" s="93" t="s">
        <v>41</v>
      </c>
      <c r="C126" s="94">
        <v>0.93669999999999998</v>
      </c>
      <c r="D126" s="95"/>
      <c r="E126" s="96"/>
      <c r="F126" s="96" t="s">
        <v>371</v>
      </c>
      <c r="G126" s="97">
        <v>1359</v>
      </c>
      <c r="H126" s="98">
        <f t="shared" si="0"/>
        <v>86.024699999999939</v>
      </c>
      <c r="I126" s="99">
        <f t="shared" si="1"/>
        <v>4731.3584999999966</v>
      </c>
      <c r="J126" s="100">
        <f t="shared" si="3"/>
        <v>67.950000000000045</v>
      </c>
      <c r="K126" s="101">
        <f t="shared" si="2"/>
        <v>-18.074699999999893</v>
      </c>
    </row>
    <row r="127" spans="1:11" ht="12.75" x14ac:dyDescent="0.2">
      <c r="A127" s="92">
        <v>45684</v>
      </c>
      <c r="B127" s="93" t="s">
        <v>33</v>
      </c>
      <c r="C127" s="94">
        <v>0.95</v>
      </c>
      <c r="D127" s="95"/>
      <c r="E127" s="96"/>
      <c r="F127" s="96"/>
      <c r="G127" s="97">
        <v>1360</v>
      </c>
      <c r="H127" s="98">
        <f t="shared" si="0"/>
        <v>68</v>
      </c>
      <c r="I127" s="99">
        <f t="shared" si="1"/>
        <v>3740</v>
      </c>
      <c r="J127" s="100">
        <f t="shared" si="3"/>
        <v>68</v>
      </c>
      <c r="K127" s="101">
        <f t="shared" si="2"/>
        <v>0</v>
      </c>
    </row>
    <row r="128" spans="1:11" ht="12.75" x14ac:dyDescent="0.2">
      <c r="A128" s="92">
        <v>45685</v>
      </c>
      <c r="B128" s="93" t="s">
        <v>35</v>
      </c>
      <c r="C128" s="94">
        <v>0.95369999999999999</v>
      </c>
      <c r="D128" s="95"/>
      <c r="E128" s="96"/>
      <c r="F128" s="96"/>
      <c r="G128" s="97">
        <v>1362</v>
      </c>
      <c r="H128" s="98">
        <f t="shared" si="0"/>
        <v>63.060600000000022</v>
      </c>
      <c r="I128" s="99">
        <f t="shared" si="1"/>
        <v>3468.3330000000014</v>
      </c>
      <c r="J128" s="100">
        <f t="shared" si="3"/>
        <v>68.100000000000136</v>
      </c>
      <c r="K128" s="101">
        <f t="shared" si="2"/>
        <v>5.0394000000001142</v>
      </c>
    </row>
    <row r="129" spans="1:11" ht="12.75" x14ac:dyDescent="0.2">
      <c r="A129" s="92">
        <v>45686</v>
      </c>
      <c r="B129" s="93" t="s">
        <v>37</v>
      </c>
      <c r="C129" s="94">
        <v>0.94420000000000004</v>
      </c>
      <c r="D129" s="95"/>
      <c r="E129" s="96"/>
      <c r="F129" s="96"/>
      <c r="G129" s="97">
        <v>1361</v>
      </c>
      <c r="H129" s="98">
        <f t="shared" si="0"/>
        <v>75.94380000000001</v>
      </c>
      <c r="I129" s="99">
        <f t="shared" si="1"/>
        <v>4176.9090000000006</v>
      </c>
      <c r="J129" s="100">
        <f t="shared" si="3"/>
        <v>68.049999999999955</v>
      </c>
      <c r="K129" s="101">
        <f t="shared" si="2"/>
        <v>-7.8938000000000557</v>
      </c>
    </row>
    <row r="130" spans="1:11" ht="12.75" x14ac:dyDescent="0.2">
      <c r="A130" s="92">
        <v>45687</v>
      </c>
      <c r="B130" s="93" t="s">
        <v>39</v>
      </c>
      <c r="C130" s="147">
        <v>0.94630000000000003</v>
      </c>
      <c r="D130" s="95"/>
      <c r="E130" s="96" t="s">
        <v>246</v>
      </c>
      <c r="F130" s="96" t="s">
        <v>372</v>
      </c>
      <c r="G130" s="97">
        <v>1360</v>
      </c>
      <c r="H130" s="98">
        <f t="shared" si="0"/>
        <v>73.031999999999925</v>
      </c>
      <c r="I130" s="99">
        <f t="shared" si="1"/>
        <v>4016.7599999999957</v>
      </c>
      <c r="J130" s="100">
        <f t="shared" si="3"/>
        <v>68</v>
      </c>
      <c r="K130" s="101">
        <f t="shared" si="2"/>
        <v>-5.0319999999999254</v>
      </c>
    </row>
    <row r="131" spans="1:11" ht="12.75" x14ac:dyDescent="0.2">
      <c r="A131" s="92">
        <v>45688</v>
      </c>
      <c r="B131" s="93" t="s">
        <v>41</v>
      </c>
      <c r="C131" s="147">
        <v>0.94340000000000002</v>
      </c>
      <c r="D131" s="95"/>
      <c r="E131" s="96"/>
      <c r="F131" s="96"/>
      <c r="G131" s="97">
        <v>1360</v>
      </c>
      <c r="H131" s="98">
        <f t="shared" si="0"/>
        <v>76.975999999999885</v>
      </c>
      <c r="I131" s="99">
        <f t="shared" si="1"/>
        <v>4233.6799999999939</v>
      </c>
      <c r="J131" s="100">
        <f t="shared" si="3"/>
        <v>68</v>
      </c>
      <c r="K131" s="101">
        <f t="shared" si="2"/>
        <v>-8.9759999999998854</v>
      </c>
    </row>
    <row r="132" spans="1:11" ht="12.75" x14ac:dyDescent="0.2">
      <c r="A132" s="92">
        <v>45691</v>
      </c>
      <c r="B132" s="93" t="s">
        <v>33</v>
      </c>
      <c r="C132" s="94">
        <v>0.81950000000000001</v>
      </c>
      <c r="D132" s="95"/>
      <c r="E132" s="96" t="s">
        <v>233</v>
      </c>
      <c r="F132" s="96" t="s">
        <v>373</v>
      </c>
      <c r="G132" s="97">
        <v>1357</v>
      </c>
      <c r="H132" s="98">
        <f t="shared" si="0"/>
        <v>244.93849999999998</v>
      </c>
      <c r="I132" s="99">
        <f t="shared" si="1"/>
        <v>13471.617499999998</v>
      </c>
      <c r="J132" s="100">
        <f t="shared" si="3"/>
        <v>67.850000000000136</v>
      </c>
      <c r="K132" s="101">
        <f t="shared" si="2"/>
        <v>-177.08849999999984</v>
      </c>
    </row>
    <row r="133" spans="1:11" ht="12.75" x14ac:dyDescent="0.2">
      <c r="A133" s="92">
        <v>45692</v>
      </c>
      <c r="B133" s="93" t="s">
        <v>35</v>
      </c>
      <c r="C133" s="94">
        <v>0.9536</v>
      </c>
      <c r="D133" s="95"/>
      <c r="E133" s="96"/>
      <c r="F133" s="96" t="s">
        <v>374</v>
      </c>
      <c r="G133" s="97">
        <v>1358</v>
      </c>
      <c r="H133" s="98">
        <f t="shared" si="0"/>
        <v>63.011199999999917</v>
      </c>
      <c r="I133" s="99">
        <f t="shared" si="1"/>
        <v>3465.6159999999954</v>
      </c>
      <c r="J133" s="100">
        <f t="shared" si="3"/>
        <v>67.900000000000091</v>
      </c>
      <c r="K133" s="101">
        <f t="shared" si="2"/>
        <v>4.8888000000001739</v>
      </c>
    </row>
    <row r="134" spans="1:11" ht="12.75" x14ac:dyDescent="0.2">
      <c r="A134" s="92">
        <v>45693</v>
      </c>
      <c r="B134" s="93" t="s">
        <v>37</v>
      </c>
      <c r="C134" s="147">
        <v>0.94789999999999996</v>
      </c>
      <c r="D134" s="95"/>
      <c r="E134" s="96"/>
      <c r="F134" s="96"/>
      <c r="G134" s="97">
        <v>1362</v>
      </c>
      <c r="H134" s="98">
        <f t="shared" si="0"/>
        <v>70.960199999999986</v>
      </c>
      <c r="I134" s="99">
        <f t="shared" si="1"/>
        <v>3902.8109999999992</v>
      </c>
      <c r="J134" s="100">
        <f t="shared" si="3"/>
        <v>68.100000000000136</v>
      </c>
      <c r="K134" s="101">
        <f t="shared" si="2"/>
        <v>-2.8601999999998498</v>
      </c>
    </row>
    <row r="135" spans="1:11" ht="12.75" x14ac:dyDescent="0.2">
      <c r="A135" s="92">
        <v>45694</v>
      </c>
      <c r="B135" s="93" t="s">
        <v>39</v>
      </c>
      <c r="C135" s="147">
        <v>0.94930000000000003</v>
      </c>
      <c r="D135" s="95"/>
      <c r="E135" s="96"/>
      <c r="F135" s="96" t="s">
        <v>375</v>
      </c>
      <c r="G135" s="97">
        <v>1362</v>
      </c>
      <c r="H135" s="98">
        <f t="shared" si="0"/>
        <v>69.053400000000011</v>
      </c>
      <c r="I135" s="99">
        <f t="shared" si="1"/>
        <v>3797.9370000000008</v>
      </c>
      <c r="J135" s="100">
        <f t="shared" si="3"/>
        <v>68.100000000000136</v>
      </c>
      <c r="K135" s="101">
        <f t="shared" si="2"/>
        <v>-0.95339999999987413</v>
      </c>
    </row>
    <row r="136" spans="1:11" ht="12.75" x14ac:dyDescent="0.2">
      <c r="A136" s="92">
        <v>45695</v>
      </c>
      <c r="B136" s="93" t="s">
        <v>41</v>
      </c>
      <c r="C136" s="147">
        <v>0.93759999999999999</v>
      </c>
      <c r="D136" s="95"/>
      <c r="E136" s="96"/>
      <c r="F136" s="96" t="s">
        <v>376</v>
      </c>
      <c r="G136" s="97">
        <v>1362</v>
      </c>
      <c r="H136" s="98">
        <f t="shared" si="0"/>
        <v>84.988800000000083</v>
      </c>
      <c r="I136" s="99">
        <f t="shared" si="1"/>
        <v>4674.3840000000046</v>
      </c>
      <c r="J136" s="100">
        <f t="shared" si="3"/>
        <v>68.100000000000136</v>
      </c>
      <c r="K136" s="101">
        <f t="shared" si="2"/>
        <v>-16.888799999999947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0"/>
        <v>0</v>
      </c>
      <c r="I137" s="99">
        <f t="shared" si="1"/>
        <v>0</v>
      </c>
      <c r="J137" s="100">
        <f t="shared" si="3"/>
        <v>0</v>
      </c>
      <c r="K137" s="101">
        <f t="shared" si="2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0"/>
        <v>0</v>
      </c>
      <c r="I138" s="99">
        <f t="shared" si="1"/>
        <v>0</v>
      </c>
      <c r="J138" s="100">
        <f t="shared" si="3"/>
        <v>0</v>
      </c>
      <c r="K138" s="101">
        <f t="shared" si="2"/>
        <v>0</v>
      </c>
    </row>
    <row r="139" spans="1:11" ht="12.75" x14ac:dyDescent="0.2">
      <c r="A139" s="92">
        <v>45700</v>
      </c>
      <c r="B139" s="93" t="s">
        <v>37</v>
      </c>
      <c r="C139" s="147">
        <v>0.94199999999999995</v>
      </c>
      <c r="D139" s="95"/>
      <c r="E139" s="96"/>
      <c r="F139" s="96" t="s">
        <v>377</v>
      </c>
      <c r="G139" s="97">
        <v>1363</v>
      </c>
      <c r="H139" s="98">
        <f t="shared" si="0"/>
        <v>79.054000000000087</v>
      </c>
      <c r="I139" s="99">
        <f t="shared" si="1"/>
        <v>4347.9700000000048</v>
      </c>
      <c r="J139" s="100">
        <f t="shared" si="3"/>
        <v>68.150000000000091</v>
      </c>
      <c r="K139" s="101">
        <f t="shared" si="2"/>
        <v>-10.903999999999996</v>
      </c>
    </row>
    <row r="140" spans="1:11" ht="12.75" x14ac:dyDescent="0.2">
      <c r="A140" s="92">
        <v>45701</v>
      </c>
      <c r="B140" s="93" t="s">
        <v>39</v>
      </c>
      <c r="C140" s="147">
        <v>0.93689999999999996</v>
      </c>
      <c r="D140" s="95"/>
      <c r="E140" s="96"/>
      <c r="F140" s="96" t="s">
        <v>378</v>
      </c>
      <c r="G140" s="97">
        <v>1363</v>
      </c>
      <c r="H140" s="98">
        <f t="shared" si="0"/>
        <v>86.005300000000034</v>
      </c>
      <c r="I140" s="99">
        <f t="shared" si="1"/>
        <v>4730.2915000000021</v>
      </c>
      <c r="J140" s="100">
        <f t="shared" si="3"/>
        <v>68.150000000000091</v>
      </c>
      <c r="K140" s="101">
        <f t="shared" si="2"/>
        <v>-17.855299999999943</v>
      </c>
    </row>
    <row r="141" spans="1:11" ht="12.75" x14ac:dyDescent="0.2">
      <c r="A141" s="92">
        <v>45702</v>
      </c>
      <c r="B141" s="93" t="s">
        <v>41</v>
      </c>
      <c r="C141" s="147">
        <v>0.9294</v>
      </c>
      <c r="D141" s="95"/>
      <c r="E141" s="96"/>
      <c r="F141" s="96" t="s">
        <v>379</v>
      </c>
      <c r="G141" s="97">
        <v>1359</v>
      </c>
      <c r="H141" s="98">
        <f t="shared" si="0"/>
        <v>95.945400000000063</v>
      </c>
      <c r="I141" s="99">
        <f t="shared" si="1"/>
        <v>5276.997000000003</v>
      </c>
      <c r="J141" s="100">
        <f t="shared" si="3"/>
        <v>67.950000000000045</v>
      </c>
      <c r="K141" s="101">
        <f t="shared" si="2"/>
        <v>-27.995400000000018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0"/>
        <v>0</v>
      </c>
      <c r="I142" s="99">
        <f t="shared" si="1"/>
        <v>0</v>
      </c>
      <c r="J142" s="100">
        <f t="shared" si="3"/>
        <v>0</v>
      </c>
      <c r="K142" s="101">
        <f t="shared" si="2"/>
        <v>0</v>
      </c>
    </row>
    <row r="143" spans="1:11" ht="12.75" x14ac:dyDescent="0.2">
      <c r="A143" s="92">
        <v>45706</v>
      </c>
      <c r="B143" s="93" t="s">
        <v>35</v>
      </c>
      <c r="C143" s="94">
        <v>0.96240000000000003</v>
      </c>
      <c r="D143" s="95"/>
      <c r="E143" s="96"/>
      <c r="F143" s="96" t="s">
        <v>380</v>
      </c>
      <c r="G143" s="97">
        <v>1356</v>
      </c>
      <c r="H143" s="98">
        <f t="shared" si="0"/>
        <v>50.985599999999977</v>
      </c>
      <c r="I143" s="99">
        <f t="shared" si="1"/>
        <v>2804.2079999999987</v>
      </c>
      <c r="J143" s="100">
        <f t="shared" si="3"/>
        <v>67.799999999999955</v>
      </c>
      <c r="K143" s="101">
        <f t="shared" si="2"/>
        <v>16.814399999999978</v>
      </c>
    </row>
    <row r="144" spans="1:11" ht="25.5" x14ac:dyDescent="0.2">
      <c r="A144" s="92">
        <v>45707</v>
      </c>
      <c r="B144" s="93" t="s">
        <v>37</v>
      </c>
      <c r="C144" s="94">
        <v>0.96530000000000005</v>
      </c>
      <c r="D144" s="95"/>
      <c r="E144" s="96"/>
      <c r="F144" s="96" t="s">
        <v>381</v>
      </c>
      <c r="G144" s="97">
        <v>1353</v>
      </c>
      <c r="H144" s="98">
        <f t="shared" si="0"/>
        <v>46.949100000000044</v>
      </c>
      <c r="I144" s="99">
        <f t="shared" si="1"/>
        <v>2582.2005000000026</v>
      </c>
      <c r="J144" s="100">
        <f t="shared" si="3"/>
        <v>67.650000000000091</v>
      </c>
      <c r="K144" s="101">
        <f t="shared" si="2"/>
        <v>20.700900000000047</v>
      </c>
    </row>
    <row r="145" spans="1:11" ht="12.75" x14ac:dyDescent="0.2">
      <c r="A145" s="92">
        <v>45708</v>
      </c>
      <c r="B145" s="93" t="s">
        <v>39</v>
      </c>
      <c r="C145" s="94">
        <v>0.92010000000000003</v>
      </c>
      <c r="D145" s="95"/>
      <c r="E145" s="96"/>
      <c r="F145" s="96" t="s">
        <v>382</v>
      </c>
      <c r="G145" s="97">
        <v>1352</v>
      </c>
      <c r="H145" s="98">
        <f t="shared" si="0"/>
        <v>108.02479999999991</v>
      </c>
      <c r="I145" s="99">
        <f t="shared" si="1"/>
        <v>5941.363999999995</v>
      </c>
      <c r="J145" s="100">
        <f t="shared" si="3"/>
        <v>67.600000000000136</v>
      </c>
      <c r="K145" s="101">
        <f t="shared" si="2"/>
        <v>-40.424799999999777</v>
      </c>
    </row>
    <row r="146" spans="1:11" ht="12.75" x14ac:dyDescent="0.2">
      <c r="A146" s="140">
        <v>45709</v>
      </c>
      <c r="B146" s="141" t="s">
        <v>41</v>
      </c>
      <c r="C146" s="142">
        <v>0.94079999999999997</v>
      </c>
      <c r="D146" s="143" t="s">
        <v>383</v>
      </c>
      <c r="E146" s="144"/>
      <c r="F146" s="144" t="s">
        <v>384</v>
      </c>
      <c r="G146" s="145">
        <v>1352</v>
      </c>
      <c r="H146" s="98">
        <f t="shared" si="0"/>
        <v>80.038400000000138</v>
      </c>
      <c r="I146" s="99">
        <f t="shared" si="1"/>
        <v>4402.1120000000074</v>
      </c>
      <c r="J146" s="100">
        <f t="shared" si="3"/>
        <v>67.600000000000136</v>
      </c>
      <c r="K146" s="101">
        <f t="shared" si="2"/>
        <v>-12.438400000000001</v>
      </c>
    </row>
    <row r="147" spans="1:11" ht="12.75" x14ac:dyDescent="0.2">
      <c r="A147" s="92">
        <v>45712</v>
      </c>
      <c r="B147" s="93" t="s">
        <v>33</v>
      </c>
      <c r="C147" s="94">
        <v>0.9526</v>
      </c>
      <c r="D147" s="95"/>
      <c r="E147" s="96"/>
      <c r="F147" s="96" t="s">
        <v>385</v>
      </c>
      <c r="G147" s="97">
        <v>1350</v>
      </c>
      <c r="H147" s="98">
        <f t="shared" si="0"/>
        <v>63.990000000000009</v>
      </c>
      <c r="I147" s="99">
        <f t="shared" si="1"/>
        <v>3519.4500000000007</v>
      </c>
      <c r="J147" s="100">
        <f t="shared" si="3"/>
        <v>67.5</v>
      </c>
      <c r="K147" s="101">
        <f t="shared" si="2"/>
        <v>3.5099999999999909</v>
      </c>
    </row>
    <row r="148" spans="1:11" ht="12.75" x14ac:dyDescent="0.2">
      <c r="A148" s="92">
        <v>45713</v>
      </c>
      <c r="B148" s="93" t="s">
        <v>35</v>
      </c>
      <c r="C148" s="94">
        <v>0.95850000000000002</v>
      </c>
      <c r="D148" s="95"/>
      <c r="E148" s="96"/>
      <c r="F148" s="96" t="s">
        <v>386</v>
      </c>
      <c r="G148" s="97">
        <v>1350</v>
      </c>
      <c r="H148" s="98">
        <f t="shared" si="0"/>
        <v>56.024999999999864</v>
      </c>
      <c r="I148" s="99">
        <f t="shared" si="1"/>
        <v>3081.3749999999927</v>
      </c>
      <c r="J148" s="100">
        <f t="shared" si="3"/>
        <v>67.5</v>
      </c>
      <c r="K148" s="101">
        <f t="shared" si="2"/>
        <v>11.475000000000136</v>
      </c>
    </row>
    <row r="149" spans="1:11" ht="12.75" x14ac:dyDescent="0.2">
      <c r="A149" s="92">
        <v>45714</v>
      </c>
      <c r="B149" s="93" t="s">
        <v>37</v>
      </c>
      <c r="C149" s="94">
        <v>0.94599999999999995</v>
      </c>
      <c r="D149" s="95"/>
      <c r="E149" s="96"/>
      <c r="F149" s="96" t="s">
        <v>387</v>
      </c>
      <c r="G149" s="97">
        <v>1358</v>
      </c>
      <c r="H149" s="98">
        <f t="shared" si="0"/>
        <v>73.332000000000107</v>
      </c>
      <c r="I149" s="99">
        <f t="shared" si="1"/>
        <v>4033.2600000000057</v>
      </c>
      <c r="J149" s="100">
        <f t="shared" si="3"/>
        <v>67.900000000000091</v>
      </c>
      <c r="K149" s="101">
        <f t="shared" si="2"/>
        <v>-5.4320000000000164</v>
      </c>
    </row>
    <row r="150" spans="1:11" ht="25.5" x14ac:dyDescent="0.2">
      <c r="A150" s="92">
        <v>45715</v>
      </c>
      <c r="B150" s="93" t="s">
        <v>39</v>
      </c>
      <c r="C150" s="94">
        <v>0.94850000000000001</v>
      </c>
      <c r="D150" s="95"/>
      <c r="E150" s="96"/>
      <c r="F150" s="96" t="s">
        <v>388</v>
      </c>
      <c r="G150" s="97">
        <v>1358</v>
      </c>
      <c r="H150" s="98">
        <f t="shared" si="0"/>
        <v>69.936999999999898</v>
      </c>
      <c r="I150" s="99">
        <f t="shared" si="1"/>
        <v>3846.5349999999944</v>
      </c>
      <c r="J150" s="100">
        <f t="shared" si="3"/>
        <v>67.900000000000091</v>
      </c>
      <c r="K150" s="101">
        <f t="shared" si="2"/>
        <v>-2.0369999999998072</v>
      </c>
    </row>
    <row r="151" spans="1:11" ht="12.75" x14ac:dyDescent="0.2">
      <c r="A151" s="92">
        <v>45716</v>
      </c>
      <c r="B151" s="93" t="s">
        <v>41</v>
      </c>
      <c r="C151" s="94">
        <v>0.9415</v>
      </c>
      <c r="D151" s="95"/>
      <c r="E151" s="96"/>
      <c r="F151" s="96" t="s">
        <v>389</v>
      </c>
      <c r="G151" s="97">
        <v>1358</v>
      </c>
      <c r="H151" s="98">
        <f t="shared" si="0"/>
        <v>79.442999999999984</v>
      </c>
      <c r="I151" s="99">
        <f t="shared" si="1"/>
        <v>4369.3649999999989</v>
      </c>
      <c r="J151" s="100">
        <f t="shared" si="3"/>
        <v>67.900000000000091</v>
      </c>
      <c r="K151" s="101">
        <f t="shared" si="2"/>
        <v>-11.542999999999893</v>
      </c>
    </row>
    <row r="152" spans="1:11" ht="12.75" x14ac:dyDescent="0.2">
      <c r="A152" s="92">
        <v>45719</v>
      </c>
      <c r="B152" s="93" t="s">
        <v>33</v>
      </c>
      <c r="C152" s="94">
        <v>0.94230000000000003</v>
      </c>
      <c r="D152" s="95"/>
      <c r="E152" s="96"/>
      <c r="F152" s="96" t="s">
        <v>390</v>
      </c>
      <c r="G152" s="97">
        <v>1358</v>
      </c>
      <c r="H152" s="98">
        <f t="shared" si="0"/>
        <v>78.356600000000071</v>
      </c>
      <c r="I152" s="99">
        <f t="shared" si="1"/>
        <v>4309.6130000000039</v>
      </c>
      <c r="J152" s="100">
        <f t="shared" si="3"/>
        <v>67.900000000000091</v>
      </c>
      <c r="K152" s="101">
        <f t="shared" si="2"/>
        <v>-10.45659999999998</v>
      </c>
    </row>
    <row r="153" spans="1:11" ht="25.5" x14ac:dyDescent="0.2">
      <c r="A153" s="92">
        <v>45720</v>
      </c>
      <c r="B153" s="93" t="s">
        <v>35</v>
      </c>
      <c r="C153" s="94">
        <v>0.89390000000000003</v>
      </c>
      <c r="D153" s="95"/>
      <c r="E153" s="96" t="s">
        <v>246</v>
      </c>
      <c r="F153" s="96" t="s">
        <v>391</v>
      </c>
      <c r="G153" s="97">
        <v>1348</v>
      </c>
      <c r="H153" s="98">
        <f t="shared" si="0"/>
        <v>143.02279999999996</v>
      </c>
      <c r="I153" s="99">
        <f t="shared" si="1"/>
        <v>7866.2539999999981</v>
      </c>
      <c r="J153" s="100">
        <f t="shared" si="3"/>
        <v>67.400000000000091</v>
      </c>
      <c r="K153" s="101">
        <f t="shared" si="2"/>
        <v>-75.62279999999987</v>
      </c>
    </row>
    <row r="154" spans="1:11" ht="12.75" x14ac:dyDescent="0.2">
      <c r="A154" s="92">
        <v>45721</v>
      </c>
      <c r="B154" s="93" t="s">
        <v>37</v>
      </c>
      <c r="C154" s="94">
        <v>0.94850000000000001</v>
      </c>
      <c r="D154" s="95"/>
      <c r="E154" s="96"/>
      <c r="F154" s="96" t="s">
        <v>392</v>
      </c>
      <c r="G154" s="97">
        <v>1346</v>
      </c>
      <c r="H154" s="98">
        <f t="shared" si="0"/>
        <v>69.31899999999996</v>
      </c>
      <c r="I154" s="99">
        <f t="shared" si="1"/>
        <v>3812.5449999999978</v>
      </c>
      <c r="J154" s="100">
        <f t="shared" si="3"/>
        <v>67.299999999999955</v>
      </c>
      <c r="K154" s="101">
        <f t="shared" si="2"/>
        <v>-2.0190000000000055</v>
      </c>
    </row>
    <row r="155" spans="1:11" ht="12.75" x14ac:dyDescent="0.2">
      <c r="A155" s="92">
        <v>45722</v>
      </c>
      <c r="B155" s="93" t="s">
        <v>39</v>
      </c>
      <c r="C155" s="94">
        <v>0.94710000000000005</v>
      </c>
      <c r="D155" s="95"/>
      <c r="E155" s="96"/>
      <c r="F155" s="96" t="s">
        <v>393</v>
      </c>
      <c r="G155" s="97">
        <v>1346</v>
      </c>
      <c r="H155" s="98">
        <f t="shared" si="0"/>
        <v>71.203399999999874</v>
      </c>
      <c r="I155" s="99">
        <f t="shared" si="1"/>
        <v>3916.1869999999931</v>
      </c>
      <c r="J155" s="100">
        <f t="shared" si="3"/>
        <v>67.299999999999955</v>
      </c>
      <c r="K155" s="101">
        <f t="shared" si="2"/>
        <v>-3.9033999999999196</v>
      </c>
    </row>
    <row r="156" spans="1:11" ht="12.75" x14ac:dyDescent="0.2">
      <c r="A156" s="92">
        <v>45723</v>
      </c>
      <c r="B156" s="93" t="s">
        <v>41</v>
      </c>
      <c r="C156" s="94">
        <v>0.94579999999999997</v>
      </c>
      <c r="D156" s="95"/>
      <c r="E156" s="96"/>
      <c r="F156" s="96" t="s">
        <v>394</v>
      </c>
      <c r="G156" s="97">
        <v>1347</v>
      </c>
      <c r="H156" s="98">
        <f t="shared" si="0"/>
        <v>73.007399999999961</v>
      </c>
      <c r="I156" s="99">
        <f t="shared" si="1"/>
        <v>4015.4069999999979</v>
      </c>
      <c r="J156" s="100">
        <f t="shared" si="3"/>
        <v>67.350000000000136</v>
      </c>
      <c r="K156" s="101">
        <f t="shared" si="2"/>
        <v>-5.657399999999825</v>
      </c>
    </row>
    <row r="157" spans="1:11" ht="12.75" x14ac:dyDescent="0.2">
      <c r="A157" s="123">
        <v>45726</v>
      </c>
      <c r="B157" s="124" t="s">
        <v>33</v>
      </c>
      <c r="C157" s="94">
        <v>0.94599999999999995</v>
      </c>
      <c r="D157" s="95"/>
      <c r="E157" s="96"/>
      <c r="F157" s="96" t="s">
        <v>395</v>
      </c>
      <c r="G157" s="97">
        <v>1358</v>
      </c>
      <c r="H157" s="98">
        <f t="shared" si="0"/>
        <v>73.332000000000107</v>
      </c>
      <c r="I157" s="99">
        <f t="shared" si="1"/>
        <v>4033.2600000000057</v>
      </c>
      <c r="J157" s="100">
        <f t="shared" si="3"/>
        <v>67.900000000000091</v>
      </c>
      <c r="K157" s="101">
        <f t="shared" si="2"/>
        <v>-5.4320000000000164</v>
      </c>
    </row>
    <row r="158" spans="1:11" ht="12.75" x14ac:dyDescent="0.2">
      <c r="A158" s="123">
        <v>45727</v>
      </c>
      <c r="B158" s="124" t="s">
        <v>35</v>
      </c>
      <c r="C158" s="94">
        <v>0.9476</v>
      </c>
      <c r="D158" s="95"/>
      <c r="E158" s="96" t="s">
        <v>262</v>
      </c>
      <c r="F158" s="96" t="s">
        <v>396</v>
      </c>
      <c r="G158" s="97">
        <v>1346</v>
      </c>
      <c r="H158" s="98">
        <f t="shared" si="0"/>
        <v>70.5304000000001</v>
      </c>
      <c r="I158" s="99">
        <f t="shared" si="1"/>
        <v>3879.1720000000055</v>
      </c>
      <c r="J158" s="100">
        <f t="shared" si="3"/>
        <v>67.299999999999955</v>
      </c>
      <c r="K158" s="101">
        <f t="shared" si="2"/>
        <v>-3.2304000000001452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0"/>
        <v>0</v>
      </c>
      <c r="I159" s="99">
        <f t="shared" si="1"/>
        <v>0</v>
      </c>
      <c r="J159" s="100">
        <f t="shared" si="3"/>
        <v>0</v>
      </c>
      <c r="K159" s="101">
        <f t="shared" si="2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0"/>
        <v>0</v>
      </c>
      <c r="I160" s="99">
        <f t="shared" si="1"/>
        <v>0</v>
      </c>
      <c r="J160" s="100">
        <f t="shared" si="3"/>
        <v>0</v>
      </c>
      <c r="K160" s="101">
        <f t="shared" si="2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 t="s">
        <v>397</v>
      </c>
      <c r="H161" s="98">
        <f t="shared" si="0"/>
        <v>0</v>
      </c>
      <c r="I161" s="99">
        <f t="shared" si="1"/>
        <v>0</v>
      </c>
      <c r="J161" s="100">
        <f t="shared" si="3"/>
        <v>0</v>
      </c>
      <c r="K161" s="101">
        <f t="shared" si="2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0"/>
        <v>0</v>
      </c>
      <c r="I162" s="99">
        <f t="shared" si="1"/>
        <v>0</v>
      </c>
      <c r="J162" s="100">
        <f t="shared" si="3"/>
        <v>0</v>
      </c>
      <c r="K162" s="101">
        <f t="shared" si="2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0"/>
        <v>0</v>
      </c>
      <c r="I163" s="99">
        <f t="shared" si="1"/>
        <v>0</v>
      </c>
      <c r="J163" s="100">
        <f t="shared" si="3"/>
        <v>0</v>
      </c>
      <c r="K163" s="101">
        <f t="shared" si="2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0"/>
        <v>0</v>
      </c>
      <c r="I164" s="99">
        <f t="shared" si="1"/>
        <v>0</v>
      </c>
      <c r="J164" s="100">
        <f t="shared" si="3"/>
        <v>0</v>
      </c>
      <c r="K164" s="101">
        <f t="shared" si="2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0"/>
        <v>0</v>
      </c>
      <c r="I165" s="99">
        <f t="shared" si="1"/>
        <v>0</v>
      </c>
      <c r="J165" s="100">
        <f t="shared" si="3"/>
        <v>0</v>
      </c>
      <c r="K165" s="101">
        <f t="shared" si="2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0"/>
        <v>0</v>
      </c>
      <c r="I166" s="99">
        <f t="shared" si="1"/>
        <v>0</v>
      </c>
      <c r="J166" s="100">
        <f t="shared" si="3"/>
        <v>0</v>
      </c>
      <c r="K166" s="101">
        <f t="shared" si="2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0"/>
        <v>0</v>
      </c>
      <c r="I167" s="99">
        <f t="shared" si="1"/>
        <v>0</v>
      </c>
      <c r="J167" s="100">
        <f t="shared" si="3"/>
        <v>0</v>
      </c>
      <c r="K167" s="101">
        <f t="shared" si="2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0"/>
        <v>0</v>
      </c>
      <c r="I168" s="99">
        <f t="shared" si="1"/>
        <v>0</v>
      </c>
      <c r="J168" s="100">
        <f t="shared" si="3"/>
        <v>0</v>
      </c>
      <c r="K168" s="101">
        <f t="shared" si="2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0"/>
        <v>0</v>
      </c>
      <c r="I169" s="99">
        <f t="shared" si="1"/>
        <v>0</v>
      </c>
      <c r="J169" s="100">
        <f t="shared" si="3"/>
        <v>0</v>
      </c>
      <c r="K169" s="101">
        <f t="shared" si="2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0"/>
        <v>0</v>
      </c>
      <c r="I170" s="99">
        <f t="shared" si="1"/>
        <v>0</v>
      </c>
      <c r="J170" s="100">
        <f t="shared" si="3"/>
        <v>0</v>
      </c>
      <c r="K170" s="101">
        <f t="shared" si="2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 t="s">
        <v>398</v>
      </c>
      <c r="H171" s="98">
        <f t="shared" si="0"/>
        <v>0</v>
      </c>
      <c r="I171" s="99">
        <f t="shared" si="1"/>
        <v>0</v>
      </c>
      <c r="J171" s="100">
        <f t="shared" si="3"/>
        <v>0</v>
      </c>
      <c r="K171" s="101">
        <f t="shared" si="2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0"/>
        <v>0</v>
      </c>
      <c r="I172" s="99">
        <f t="shared" si="1"/>
        <v>0</v>
      </c>
      <c r="J172" s="100">
        <f t="shared" si="3"/>
        <v>0</v>
      </c>
      <c r="K172" s="101">
        <f t="shared" si="2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0"/>
        <v>0</v>
      </c>
      <c r="I173" s="99">
        <f t="shared" si="1"/>
        <v>0</v>
      </c>
      <c r="J173" s="100">
        <f t="shared" si="3"/>
        <v>0</v>
      </c>
      <c r="K173" s="101">
        <f t="shared" si="2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0"/>
        <v>0</v>
      </c>
      <c r="I174" s="99">
        <f t="shared" si="1"/>
        <v>0</v>
      </c>
      <c r="J174" s="100">
        <f t="shared" si="3"/>
        <v>0</v>
      </c>
      <c r="K174" s="101">
        <f t="shared" si="2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0"/>
        <v>0</v>
      </c>
      <c r="I175" s="99">
        <f t="shared" si="1"/>
        <v>0</v>
      </c>
      <c r="J175" s="100">
        <f t="shared" si="3"/>
        <v>0</v>
      </c>
      <c r="K175" s="101">
        <f t="shared" si="2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0"/>
        <v>0</v>
      </c>
      <c r="I176" s="99">
        <f t="shared" si="1"/>
        <v>0</v>
      </c>
      <c r="J176" s="100">
        <f t="shared" si="3"/>
        <v>0</v>
      </c>
      <c r="K176" s="101">
        <f t="shared" si="2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0"/>
        <v>0</v>
      </c>
      <c r="I177" s="99">
        <f t="shared" si="1"/>
        <v>0</v>
      </c>
      <c r="J177" s="100">
        <f t="shared" si="3"/>
        <v>0</v>
      </c>
      <c r="K177" s="101">
        <f t="shared" si="2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0"/>
        <v>0</v>
      </c>
      <c r="I178" s="99">
        <f t="shared" si="1"/>
        <v>0</v>
      </c>
      <c r="J178" s="100">
        <f t="shared" si="3"/>
        <v>0</v>
      </c>
      <c r="K178" s="101">
        <f t="shared" si="2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 t="s">
        <v>399</v>
      </c>
      <c r="H179" s="98">
        <f t="shared" si="0"/>
        <v>0</v>
      </c>
      <c r="I179" s="99">
        <f t="shared" si="1"/>
        <v>0</v>
      </c>
      <c r="J179" s="100">
        <f t="shared" si="3"/>
        <v>0</v>
      </c>
      <c r="K179" s="101">
        <f t="shared" si="2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0"/>
        <v>0</v>
      </c>
      <c r="I180" s="99">
        <f t="shared" si="1"/>
        <v>0</v>
      </c>
      <c r="J180" s="100">
        <f t="shared" si="3"/>
        <v>0</v>
      </c>
      <c r="K180" s="101">
        <f t="shared" si="2"/>
        <v>0</v>
      </c>
    </row>
    <row r="181" spans="1:11" ht="12.75" x14ac:dyDescent="0.2">
      <c r="A181" s="140">
        <v>45758</v>
      </c>
      <c r="B181" s="141" t="s">
        <v>41</v>
      </c>
      <c r="C181" s="142"/>
      <c r="D181" s="143" t="s">
        <v>400</v>
      </c>
      <c r="E181" s="144"/>
      <c r="F181" s="144"/>
      <c r="G181" s="145"/>
      <c r="H181" s="98">
        <f t="shared" si="0"/>
        <v>0</v>
      </c>
      <c r="I181" s="99">
        <f t="shared" si="1"/>
        <v>0</v>
      </c>
      <c r="J181" s="100">
        <f t="shared" si="3"/>
        <v>0</v>
      </c>
      <c r="K181" s="101">
        <f t="shared" si="2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0"/>
        <v>0</v>
      </c>
      <c r="I182" s="99">
        <f t="shared" si="1"/>
        <v>0</v>
      </c>
      <c r="J182" s="100">
        <f t="shared" si="3"/>
        <v>0</v>
      </c>
      <c r="K182" s="101">
        <f t="shared" si="2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0"/>
        <v>0</v>
      </c>
      <c r="I183" s="99">
        <f t="shared" si="1"/>
        <v>0</v>
      </c>
      <c r="J183" s="100">
        <f t="shared" si="3"/>
        <v>0</v>
      </c>
      <c r="K183" s="101">
        <f t="shared" si="2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0"/>
        <v>0</v>
      </c>
      <c r="I184" s="99">
        <f t="shared" si="1"/>
        <v>0</v>
      </c>
      <c r="J184" s="100">
        <f t="shared" si="3"/>
        <v>0</v>
      </c>
      <c r="K184" s="101">
        <f t="shared" si="2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0"/>
        <v>0</v>
      </c>
      <c r="I185" s="99">
        <f t="shared" si="1"/>
        <v>0</v>
      </c>
      <c r="J185" s="100">
        <f t="shared" si="3"/>
        <v>0</v>
      </c>
      <c r="K185" s="101">
        <f t="shared" si="2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0"/>
        <v>0</v>
      </c>
      <c r="I186" s="99">
        <f t="shared" si="1"/>
        <v>0</v>
      </c>
      <c r="J186" s="100">
        <f t="shared" si="3"/>
        <v>0</v>
      </c>
      <c r="K186" s="101">
        <f t="shared" si="2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0"/>
        <v>0</v>
      </c>
      <c r="I187" s="99">
        <f t="shared" si="1"/>
        <v>0</v>
      </c>
      <c r="J187" s="100">
        <f t="shared" si="3"/>
        <v>0</v>
      </c>
      <c r="K187" s="101">
        <f t="shared" si="2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0"/>
        <v>0</v>
      </c>
      <c r="I188" s="99">
        <f t="shared" si="1"/>
        <v>0</v>
      </c>
      <c r="J188" s="100">
        <f t="shared" si="3"/>
        <v>0</v>
      </c>
      <c r="K188" s="101">
        <f t="shared" si="2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0"/>
        <v>0</v>
      </c>
      <c r="I189" s="99">
        <f t="shared" si="1"/>
        <v>0</v>
      </c>
      <c r="J189" s="100">
        <f t="shared" si="3"/>
        <v>0</v>
      </c>
      <c r="K189" s="101">
        <f t="shared" si="2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0"/>
        <v>0</v>
      </c>
      <c r="I190" s="99">
        <f t="shared" si="1"/>
        <v>0</v>
      </c>
      <c r="J190" s="100">
        <f t="shared" si="3"/>
        <v>0</v>
      </c>
      <c r="K190" s="101">
        <f t="shared" si="2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0"/>
        <v>0</v>
      </c>
      <c r="I191" s="99">
        <f t="shared" si="1"/>
        <v>0</v>
      </c>
      <c r="J191" s="100">
        <f t="shared" si="3"/>
        <v>0</v>
      </c>
      <c r="K191" s="101">
        <f t="shared" si="2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0"/>
        <v>0</v>
      </c>
      <c r="I192" s="99">
        <f t="shared" si="1"/>
        <v>0</v>
      </c>
      <c r="J192" s="100">
        <f t="shared" si="3"/>
        <v>0</v>
      </c>
      <c r="K192" s="101">
        <f t="shared" si="2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 t="s">
        <v>398</v>
      </c>
      <c r="H193" s="98">
        <f t="shared" si="0"/>
        <v>0</v>
      </c>
      <c r="I193" s="99">
        <f t="shared" si="1"/>
        <v>0</v>
      </c>
      <c r="J193" s="100">
        <f t="shared" si="3"/>
        <v>0</v>
      </c>
      <c r="K193" s="101">
        <f t="shared" si="2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0"/>
        <v>0</v>
      </c>
      <c r="I194" s="99">
        <f t="shared" si="1"/>
        <v>0</v>
      </c>
      <c r="J194" s="100">
        <f t="shared" si="3"/>
        <v>0</v>
      </c>
      <c r="K194" s="101">
        <f t="shared" si="2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0"/>
        <v>0</v>
      </c>
      <c r="I195" s="99">
        <f t="shared" si="1"/>
        <v>0</v>
      </c>
      <c r="J195" s="100">
        <f t="shared" si="3"/>
        <v>0</v>
      </c>
      <c r="K195" s="101">
        <f t="shared" si="2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0"/>
        <v>0</v>
      </c>
      <c r="I196" s="99">
        <f t="shared" si="1"/>
        <v>0</v>
      </c>
      <c r="J196" s="100">
        <f t="shared" si="3"/>
        <v>0</v>
      </c>
      <c r="K196" s="101">
        <f t="shared" si="2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0"/>
        <v>0</v>
      </c>
      <c r="I197" s="99">
        <f t="shared" si="1"/>
        <v>0</v>
      </c>
      <c r="J197" s="100">
        <f t="shared" si="3"/>
        <v>0</v>
      </c>
      <c r="K197" s="101">
        <f t="shared" si="2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0"/>
        <v>0</v>
      </c>
      <c r="I198" s="99">
        <f t="shared" si="1"/>
        <v>0</v>
      </c>
      <c r="J198" s="100">
        <f t="shared" si="3"/>
        <v>0</v>
      </c>
      <c r="K198" s="101">
        <f t="shared" si="2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0"/>
        <v>0</v>
      </c>
      <c r="I199" s="99">
        <f t="shared" si="1"/>
        <v>0</v>
      </c>
      <c r="J199" s="100">
        <f t="shared" si="3"/>
        <v>0</v>
      </c>
      <c r="K199" s="101">
        <f t="shared" si="2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0"/>
        <v>0</v>
      </c>
      <c r="I200" s="99">
        <f t="shared" si="1"/>
        <v>0</v>
      </c>
      <c r="J200" s="100">
        <f t="shared" si="3"/>
        <v>0</v>
      </c>
      <c r="K200" s="101">
        <f t="shared" si="2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0"/>
        <v>0</v>
      </c>
      <c r="I201" s="99">
        <f t="shared" si="1"/>
        <v>0</v>
      </c>
      <c r="J201" s="100">
        <f t="shared" si="3"/>
        <v>0</v>
      </c>
      <c r="K201" s="101">
        <f t="shared" si="2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0"/>
        <v>0</v>
      </c>
      <c r="I202" s="99">
        <f t="shared" si="1"/>
        <v>0</v>
      </c>
      <c r="J202" s="100">
        <f t="shared" si="3"/>
        <v>0</v>
      </c>
      <c r="K202" s="101">
        <f t="shared" si="2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0"/>
        <v>0</v>
      </c>
      <c r="I203" s="99">
        <f t="shared" si="1"/>
        <v>0</v>
      </c>
      <c r="J203" s="100">
        <f t="shared" si="3"/>
        <v>0</v>
      </c>
      <c r="K203" s="101">
        <f t="shared" si="2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0"/>
        <v>0</v>
      </c>
      <c r="I204" s="99">
        <f t="shared" si="1"/>
        <v>0</v>
      </c>
      <c r="J204" s="100">
        <f t="shared" si="3"/>
        <v>0</v>
      </c>
      <c r="K204" s="101">
        <f t="shared" si="2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0"/>
        <v>0</v>
      </c>
      <c r="I205" s="99">
        <f t="shared" si="1"/>
        <v>0</v>
      </c>
      <c r="J205" s="100">
        <f t="shared" si="3"/>
        <v>0</v>
      </c>
      <c r="K205" s="101">
        <f t="shared" si="2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0"/>
        <v>0</v>
      </c>
      <c r="I206" s="99">
        <f t="shared" si="1"/>
        <v>0</v>
      </c>
      <c r="J206" s="100">
        <f t="shared" si="3"/>
        <v>0</v>
      </c>
      <c r="K206" s="101">
        <f t="shared" si="2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0"/>
        <v>0</v>
      </c>
      <c r="I207" s="99">
        <f t="shared" si="1"/>
        <v>0</v>
      </c>
      <c r="J207" s="100">
        <f t="shared" si="3"/>
        <v>0</v>
      </c>
      <c r="K207" s="101">
        <f t="shared" si="2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0"/>
        <v>0</v>
      </c>
      <c r="I208" s="99">
        <f t="shared" si="1"/>
        <v>0</v>
      </c>
      <c r="J208" s="100">
        <f t="shared" si="3"/>
        <v>0</v>
      </c>
      <c r="K208" s="101">
        <f t="shared" si="2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0"/>
        <v>0</v>
      </c>
      <c r="I209" s="99">
        <f t="shared" si="1"/>
        <v>0</v>
      </c>
      <c r="J209" s="100">
        <f t="shared" si="3"/>
        <v>0</v>
      </c>
      <c r="K209" s="101">
        <f t="shared" si="2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0"/>
        <v>0</v>
      </c>
      <c r="I210" s="99">
        <f t="shared" si="1"/>
        <v>0</v>
      </c>
      <c r="J210" s="100">
        <f t="shared" si="3"/>
        <v>0</v>
      </c>
      <c r="K210" s="101">
        <f t="shared" si="2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0"/>
        <v>0</v>
      </c>
      <c r="I211" s="99">
        <f t="shared" si="1"/>
        <v>0</v>
      </c>
      <c r="J211" s="100">
        <f t="shared" si="3"/>
        <v>0</v>
      </c>
      <c r="K211" s="101">
        <f t="shared" si="2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0"/>
        <v>0</v>
      </c>
      <c r="I212" s="99">
        <f t="shared" si="1"/>
        <v>0</v>
      </c>
      <c r="J212" s="100">
        <f t="shared" si="3"/>
        <v>0</v>
      </c>
      <c r="K212" s="101">
        <f t="shared" si="2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 t="s">
        <v>398</v>
      </c>
      <c r="H213" s="98">
        <f t="shared" si="0"/>
        <v>0</v>
      </c>
      <c r="I213" s="99">
        <f t="shared" si="1"/>
        <v>0</v>
      </c>
      <c r="J213" s="100">
        <f t="shared" si="3"/>
        <v>0</v>
      </c>
      <c r="K213" s="101">
        <f t="shared" si="2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0"/>
        <v>0</v>
      </c>
      <c r="I214" s="99">
        <f t="shared" si="1"/>
        <v>0</v>
      </c>
      <c r="J214" s="100">
        <f t="shared" si="3"/>
        <v>0</v>
      </c>
      <c r="K214" s="101">
        <f t="shared" si="2"/>
        <v>0</v>
      </c>
    </row>
    <row r="215" spans="1:11" ht="12.75" x14ac:dyDescent="0.2">
      <c r="A215" s="140">
        <v>45806</v>
      </c>
      <c r="B215" s="141" t="s">
        <v>39</v>
      </c>
      <c r="C215" s="142"/>
      <c r="D215" s="143" t="s">
        <v>400</v>
      </c>
      <c r="E215" s="144"/>
      <c r="F215" s="144"/>
      <c r="G215" s="145"/>
      <c r="H215" s="98">
        <f t="shared" si="0"/>
        <v>0</v>
      </c>
      <c r="I215" s="99">
        <f t="shared" si="1"/>
        <v>0</v>
      </c>
      <c r="J215" s="100">
        <f t="shared" si="3"/>
        <v>0</v>
      </c>
      <c r="K215" s="101">
        <f t="shared" si="2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8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32" priority="4" operator="lessThan">
      <formula>"92%"</formula>
    </cfRule>
  </conditionalFormatting>
  <conditionalFormatting sqref="C7:C215">
    <cfRule type="cellIs" dxfId="31" priority="1" operator="lessThan">
      <formula>"90%"</formula>
    </cfRule>
    <cfRule type="cellIs" dxfId="30" priority="2" operator="lessThan">
      <formula>"94%"</formula>
    </cfRule>
  </conditionalFormatting>
  <conditionalFormatting sqref="K1:K853">
    <cfRule type="cellIs" dxfId="29" priority="3" operator="lessThan">
      <formula>0</formula>
    </cfRule>
  </conditionalFormatting>
  <dataValidations count="1">
    <dataValidation type="list" allowBlank="1" sqref="E7:E215" xr:uid="{00000000-0002-0000-08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73763"/>
    <outlinePr summaryBelow="0" summaryRight="0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23.4257812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0" t="s">
        <v>401</v>
      </c>
      <c r="B1" s="80"/>
      <c r="C1" s="80"/>
      <c r="D1" s="80"/>
      <c r="E1" s="80"/>
      <c r="F1" s="80"/>
      <c r="G1" s="80"/>
      <c r="H1" s="81"/>
      <c r="I1" s="81"/>
      <c r="J1" s="82"/>
      <c r="K1" s="134">
        <f>SUM(K7:K215)</f>
        <v>-1137.8905999999943</v>
      </c>
    </row>
    <row r="2" spans="1:11" x14ac:dyDescent="0.25">
      <c r="A2" s="242" t="s">
        <v>402</v>
      </c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403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306724.0055000002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89" t="s">
        <v>222</v>
      </c>
      <c r="I6" s="90" t="s">
        <v>223</v>
      </c>
      <c r="J6" s="91" t="s">
        <v>224</v>
      </c>
      <c r="K6" s="244"/>
    </row>
    <row r="7" spans="1:11" ht="25.5" x14ac:dyDescent="0.2">
      <c r="A7" s="92">
        <v>45516</v>
      </c>
      <c r="B7" s="93" t="s">
        <v>33</v>
      </c>
      <c r="C7" s="150">
        <v>1</v>
      </c>
      <c r="D7" s="95" t="s">
        <v>292</v>
      </c>
      <c r="E7" s="96"/>
      <c r="F7" s="96" t="s">
        <v>404</v>
      </c>
      <c r="G7" s="97">
        <v>924</v>
      </c>
      <c r="H7" s="98">
        <f t="shared" ref="H7:H181" si="0">G7-(C7*G7)</f>
        <v>0</v>
      </c>
      <c r="I7" s="99">
        <f t="shared" ref="I7:I215" si="1">H7*$H$5</f>
        <v>0</v>
      </c>
      <c r="J7" s="100">
        <v>0</v>
      </c>
      <c r="K7" s="101">
        <f t="shared" ref="K7:K215" si="2">J7-H7</f>
        <v>0</v>
      </c>
    </row>
    <row r="8" spans="1:11" ht="25.5" x14ac:dyDescent="0.2">
      <c r="A8" s="92">
        <v>45517</v>
      </c>
      <c r="B8" s="93" t="s">
        <v>35</v>
      </c>
      <c r="C8" s="94">
        <v>0.96679999999999999</v>
      </c>
      <c r="D8" s="95" t="s">
        <v>292</v>
      </c>
      <c r="E8" s="96"/>
      <c r="F8" s="96" t="s">
        <v>404</v>
      </c>
      <c r="G8" s="97">
        <v>964</v>
      </c>
      <c r="H8" s="98">
        <f t="shared" si="0"/>
        <v>32.004800000000046</v>
      </c>
      <c r="I8" s="99">
        <f t="shared" si="1"/>
        <v>1760.2640000000024</v>
      </c>
      <c r="J8" s="100">
        <f t="shared" ref="J8:J215" si="3">G8-(G8*J$3)</f>
        <v>48.200000000000045</v>
      </c>
      <c r="K8" s="101">
        <f t="shared" si="2"/>
        <v>16.1952</v>
      </c>
    </row>
    <row r="9" spans="1:11" ht="25.5" x14ac:dyDescent="0.2">
      <c r="A9" s="92">
        <v>45518</v>
      </c>
      <c r="B9" s="93" t="s">
        <v>37</v>
      </c>
      <c r="C9" s="94">
        <v>0.96950000000000003</v>
      </c>
      <c r="D9" s="95" t="s">
        <v>292</v>
      </c>
      <c r="E9" s="96"/>
      <c r="F9" s="96" t="s">
        <v>405</v>
      </c>
      <c r="G9" s="97">
        <v>986</v>
      </c>
      <c r="H9" s="98">
        <f t="shared" si="0"/>
        <v>30.072999999999979</v>
      </c>
      <c r="I9" s="99">
        <f t="shared" si="1"/>
        <v>1654.014999999999</v>
      </c>
      <c r="J9" s="100">
        <f t="shared" si="3"/>
        <v>49.300000000000068</v>
      </c>
      <c r="K9" s="101">
        <f t="shared" si="2"/>
        <v>19.227000000000089</v>
      </c>
    </row>
    <row r="10" spans="1:11" ht="12.75" x14ac:dyDescent="0.2">
      <c r="A10" s="92">
        <v>45519</v>
      </c>
      <c r="B10" s="93" t="s">
        <v>39</v>
      </c>
      <c r="C10" s="94">
        <v>0.97309999999999997</v>
      </c>
      <c r="D10" s="95" t="s">
        <v>292</v>
      </c>
      <c r="E10" s="96"/>
      <c r="F10" s="96"/>
      <c r="G10" s="97">
        <v>1002</v>
      </c>
      <c r="H10" s="98">
        <f t="shared" si="0"/>
        <v>26.953800000000001</v>
      </c>
      <c r="I10" s="99">
        <f t="shared" si="1"/>
        <v>1482.4590000000001</v>
      </c>
      <c r="J10" s="100">
        <f t="shared" si="3"/>
        <v>50.100000000000023</v>
      </c>
      <c r="K10" s="101">
        <f t="shared" si="2"/>
        <v>23.146200000000022</v>
      </c>
    </row>
    <row r="11" spans="1:11" ht="12.75" x14ac:dyDescent="0.2">
      <c r="A11" s="92">
        <v>45520</v>
      </c>
      <c r="B11" s="93" t="s">
        <v>41</v>
      </c>
      <c r="C11" s="94">
        <v>0.95420000000000005</v>
      </c>
      <c r="D11" s="95" t="s">
        <v>292</v>
      </c>
      <c r="E11" s="96"/>
      <c r="F11" s="96"/>
      <c r="G11" s="97">
        <v>1004</v>
      </c>
      <c r="H11" s="98">
        <f t="shared" si="0"/>
        <v>45.983199999999897</v>
      </c>
      <c r="I11" s="99">
        <f t="shared" si="1"/>
        <v>2529.0759999999946</v>
      </c>
      <c r="J11" s="100">
        <f t="shared" si="3"/>
        <v>50.200000000000045</v>
      </c>
      <c r="K11" s="101">
        <f t="shared" si="2"/>
        <v>4.2168000000001484</v>
      </c>
    </row>
    <row r="12" spans="1:11" ht="12.75" x14ac:dyDescent="0.2">
      <c r="A12" s="92">
        <v>45523</v>
      </c>
      <c r="B12" s="93" t="s">
        <v>33</v>
      </c>
      <c r="C12" s="94">
        <v>0.96060000000000001</v>
      </c>
      <c r="D12" s="95" t="s">
        <v>292</v>
      </c>
      <c r="E12" s="96"/>
      <c r="F12" s="96"/>
      <c r="G12" s="97">
        <v>1015</v>
      </c>
      <c r="H12" s="98">
        <f t="shared" si="0"/>
        <v>39.990999999999985</v>
      </c>
      <c r="I12" s="99">
        <f t="shared" si="1"/>
        <v>2199.5049999999992</v>
      </c>
      <c r="J12" s="100">
        <f t="shared" si="3"/>
        <v>50.75</v>
      </c>
      <c r="K12" s="101">
        <f t="shared" si="2"/>
        <v>10.759000000000015</v>
      </c>
    </row>
    <row r="13" spans="1:11" ht="12.75" x14ac:dyDescent="0.2">
      <c r="A13" s="92">
        <v>45524</v>
      </c>
      <c r="B13" s="93" t="s">
        <v>35</v>
      </c>
      <c r="C13" s="94">
        <v>0.96189999999999998</v>
      </c>
      <c r="D13" s="95" t="s">
        <v>292</v>
      </c>
      <c r="E13" s="96"/>
      <c r="F13" s="96"/>
      <c r="G13" s="97">
        <v>1024</v>
      </c>
      <c r="H13" s="98">
        <f t="shared" si="0"/>
        <v>39.014400000000023</v>
      </c>
      <c r="I13" s="99">
        <f t="shared" si="1"/>
        <v>2145.7920000000013</v>
      </c>
      <c r="J13" s="100">
        <f t="shared" si="3"/>
        <v>51.200000000000045</v>
      </c>
      <c r="K13" s="101">
        <f t="shared" si="2"/>
        <v>12.185600000000022</v>
      </c>
    </row>
    <row r="14" spans="1:11" ht="12.75" x14ac:dyDescent="0.2">
      <c r="A14" s="92">
        <v>45525</v>
      </c>
      <c r="B14" s="93" t="s">
        <v>37</v>
      </c>
      <c r="C14" s="94">
        <v>0.96399999999999997</v>
      </c>
      <c r="D14" s="95" t="s">
        <v>292</v>
      </c>
      <c r="E14" s="96"/>
      <c r="F14" s="96"/>
      <c r="G14" s="97">
        <v>1027</v>
      </c>
      <c r="H14" s="98">
        <f t="shared" si="0"/>
        <v>36.97199999999998</v>
      </c>
      <c r="I14" s="99">
        <f t="shared" si="1"/>
        <v>2033.4599999999989</v>
      </c>
      <c r="J14" s="100">
        <f t="shared" si="3"/>
        <v>51.350000000000023</v>
      </c>
      <c r="K14" s="101">
        <f t="shared" si="2"/>
        <v>14.378000000000043</v>
      </c>
    </row>
    <row r="15" spans="1:11" ht="12.75" x14ac:dyDescent="0.2">
      <c r="A15" s="92">
        <v>45526</v>
      </c>
      <c r="B15" s="93" t="s">
        <v>39</v>
      </c>
      <c r="C15" s="94">
        <v>0.95730000000000004</v>
      </c>
      <c r="D15" s="95" t="s">
        <v>292</v>
      </c>
      <c r="E15" s="96"/>
      <c r="F15" s="96"/>
      <c r="G15" s="97">
        <v>1031</v>
      </c>
      <c r="H15" s="98">
        <f t="shared" si="0"/>
        <v>44.023699999999963</v>
      </c>
      <c r="I15" s="99">
        <f t="shared" si="1"/>
        <v>2421.3034999999982</v>
      </c>
      <c r="J15" s="100">
        <f t="shared" si="3"/>
        <v>51.550000000000068</v>
      </c>
      <c r="K15" s="101">
        <f t="shared" si="2"/>
        <v>7.5263000000001057</v>
      </c>
    </row>
    <row r="16" spans="1:11" ht="25.5" x14ac:dyDescent="0.2">
      <c r="A16" s="92">
        <v>45527</v>
      </c>
      <c r="B16" s="93" t="s">
        <v>41</v>
      </c>
      <c r="C16" s="94">
        <v>0.9264</v>
      </c>
      <c r="D16" s="95"/>
      <c r="E16" s="96"/>
      <c r="F16" s="96" t="s">
        <v>406</v>
      </c>
      <c r="G16" s="97">
        <v>1033</v>
      </c>
      <c r="H16" s="98">
        <f t="shared" si="0"/>
        <v>76.028800000000047</v>
      </c>
      <c r="I16" s="99">
        <f t="shared" si="1"/>
        <v>4181.5840000000026</v>
      </c>
      <c r="J16" s="100">
        <f t="shared" si="3"/>
        <v>51.650000000000091</v>
      </c>
      <c r="K16" s="101">
        <f t="shared" si="2"/>
        <v>-24.378799999999956</v>
      </c>
    </row>
    <row r="17" spans="1:11" ht="25.5" x14ac:dyDescent="0.2">
      <c r="A17" s="92">
        <v>45530</v>
      </c>
      <c r="B17" s="93" t="s">
        <v>33</v>
      </c>
      <c r="C17" s="94">
        <v>0.9335</v>
      </c>
      <c r="D17" s="95"/>
      <c r="E17" s="96"/>
      <c r="F17" s="96" t="s">
        <v>407</v>
      </c>
      <c r="G17" s="97">
        <v>1037</v>
      </c>
      <c r="H17" s="98">
        <f t="shared" si="0"/>
        <v>68.960500000000025</v>
      </c>
      <c r="I17" s="99">
        <f t="shared" si="1"/>
        <v>3792.8275000000012</v>
      </c>
      <c r="J17" s="100">
        <f t="shared" si="3"/>
        <v>51.850000000000023</v>
      </c>
      <c r="K17" s="101">
        <f t="shared" si="2"/>
        <v>-17.110500000000002</v>
      </c>
    </row>
    <row r="18" spans="1:11" ht="12.75" x14ac:dyDescent="0.2">
      <c r="A18" s="92">
        <v>45531</v>
      </c>
      <c r="B18" s="93" t="s">
        <v>35</v>
      </c>
      <c r="C18" s="94">
        <v>0.93740000000000001</v>
      </c>
      <c r="D18" s="95"/>
      <c r="E18" s="96"/>
      <c r="F18" s="96" t="s">
        <v>408</v>
      </c>
      <c r="G18" s="97">
        <v>1038</v>
      </c>
      <c r="H18" s="98">
        <f t="shared" si="0"/>
        <v>64.978799999999978</v>
      </c>
      <c r="I18" s="99">
        <f t="shared" si="1"/>
        <v>3573.8339999999989</v>
      </c>
      <c r="J18" s="100">
        <f t="shared" si="3"/>
        <v>51.900000000000091</v>
      </c>
      <c r="K18" s="101">
        <f t="shared" si="2"/>
        <v>-13.078799999999887</v>
      </c>
    </row>
    <row r="19" spans="1:11" ht="12.75" x14ac:dyDescent="0.2">
      <c r="A19" s="92">
        <v>45532</v>
      </c>
      <c r="B19" s="93" t="s">
        <v>37</v>
      </c>
      <c r="C19" s="94">
        <v>0.94699999999999995</v>
      </c>
      <c r="D19" s="95"/>
      <c r="E19" s="96"/>
      <c r="F19" s="102" t="s">
        <v>409</v>
      </c>
      <c r="G19" s="97">
        <v>1038</v>
      </c>
      <c r="H19" s="98">
        <f t="shared" si="0"/>
        <v>55.01400000000001</v>
      </c>
      <c r="I19" s="99">
        <f t="shared" si="1"/>
        <v>3025.7700000000004</v>
      </c>
      <c r="J19" s="100">
        <f t="shared" si="3"/>
        <v>51.900000000000091</v>
      </c>
      <c r="K19" s="101">
        <f t="shared" si="2"/>
        <v>-3.1139999999999191</v>
      </c>
    </row>
    <row r="20" spans="1:11" ht="25.5" x14ac:dyDescent="0.2">
      <c r="A20" s="92">
        <v>45533</v>
      </c>
      <c r="B20" s="93" t="s">
        <v>39</v>
      </c>
      <c r="C20" s="94">
        <v>0.95579999999999998</v>
      </c>
      <c r="D20" s="95"/>
      <c r="E20" s="96"/>
      <c r="F20" s="96" t="s">
        <v>410</v>
      </c>
      <c r="G20" s="97">
        <v>1040</v>
      </c>
      <c r="H20" s="98">
        <f t="shared" si="0"/>
        <v>45.968000000000075</v>
      </c>
      <c r="I20" s="99">
        <f t="shared" si="1"/>
        <v>2528.2400000000043</v>
      </c>
      <c r="J20" s="100">
        <f t="shared" si="3"/>
        <v>52</v>
      </c>
      <c r="K20" s="101">
        <f t="shared" si="2"/>
        <v>6.0319999999999254</v>
      </c>
    </row>
    <row r="21" spans="1:11" ht="12.75" x14ac:dyDescent="0.2">
      <c r="A21" s="92">
        <v>45534</v>
      </c>
      <c r="B21" s="93" t="s">
        <v>41</v>
      </c>
      <c r="C21" s="94">
        <v>0.93269999999999997</v>
      </c>
      <c r="D21" s="95"/>
      <c r="E21" s="96"/>
      <c r="F21" s="96" t="s">
        <v>411</v>
      </c>
      <c r="G21" s="97">
        <v>1040</v>
      </c>
      <c r="H21" s="98">
        <f t="shared" si="0"/>
        <v>69.992000000000075</v>
      </c>
      <c r="I21" s="99">
        <f t="shared" si="1"/>
        <v>3849.560000000004</v>
      </c>
      <c r="J21" s="100">
        <f t="shared" si="3"/>
        <v>52</v>
      </c>
      <c r="K21" s="101">
        <f t="shared" si="2"/>
        <v>-17.992000000000075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0.95109999999999995</v>
      </c>
      <c r="D23" s="95"/>
      <c r="E23" s="96"/>
      <c r="F23" s="96"/>
      <c r="G23" s="97">
        <v>1044</v>
      </c>
      <c r="H23" s="98">
        <f t="shared" si="0"/>
        <v>51.051600000000008</v>
      </c>
      <c r="I23" s="99">
        <f t="shared" si="1"/>
        <v>2807.8380000000006</v>
      </c>
      <c r="J23" s="100">
        <f t="shared" si="3"/>
        <v>52.200000000000045</v>
      </c>
      <c r="K23" s="101">
        <f t="shared" si="2"/>
        <v>1.1484000000000378</v>
      </c>
    </row>
    <row r="24" spans="1:11" ht="12.75" x14ac:dyDescent="0.2">
      <c r="A24" s="92">
        <v>45539</v>
      </c>
      <c r="B24" s="93" t="s">
        <v>37</v>
      </c>
      <c r="C24" s="94">
        <v>0.95889999999999997</v>
      </c>
      <c r="D24" s="95"/>
      <c r="E24" s="96"/>
      <c r="F24" s="96"/>
      <c r="G24" s="97">
        <v>1044</v>
      </c>
      <c r="H24" s="98">
        <f t="shared" si="0"/>
        <v>42.908400000000029</v>
      </c>
      <c r="I24" s="99">
        <f t="shared" si="1"/>
        <v>2359.9620000000014</v>
      </c>
      <c r="J24" s="100">
        <f t="shared" si="3"/>
        <v>52.200000000000045</v>
      </c>
      <c r="K24" s="101">
        <f t="shared" si="2"/>
        <v>9.2916000000000167</v>
      </c>
    </row>
    <row r="25" spans="1:11" ht="12.75" x14ac:dyDescent="0.2">
      <c r="A25" s="92">
        <v>45540</v>
      </c>
      <c r="B25" s="93" t="s">
        <v>39</v>
      </c>
      <c r="C25" s="94">
        <v>0.95009999999999994</v>
      </c>
      <c r="D25" s="95"/>
      <c r="E25" s="96"/>
      <c r="F25" s="96"/>
      <c r="G25" s="97">
        <v>1042</v>
      </c>
      <c r="H25" s="98">
        <f t="shared" si="0"/>
        <v>51.995800000000031</v>
      </c>
      <c r="I25" s="99">
        <f t="shared" si="1"/>
        <v>2859.7690000000016</v>
      </c>
      <c r="J25" s="100">
        <f t="shared" si="3"/>
        <v>52.100000000000023</v>
      </c>
      <c r="K25" s="101">
        <f t="shared" si="2"/>
        <v>0.10419999999999163</v>
      </c>
    </row>
    <row r="26" spans="1:11" ht="12.75" x14ac:dyDescent="0.2">
      <c r="A26" s="92">
        <v>45541</v>
      </c>
      <c r="B26" s="93" t="s">
        <v>41</v>
      </c>
      <c r="C26" s="94">
        <v>0.94520000000000004</v>
      </c>
      <c r="D26" s="95"/>
      <c r="E26" s="96"/>
      <c r="F26" s="96"/>
      <c r="G26" s="97">
        <v>1040</v>
      </c>
      <c r="H26" s="98">
        <f t="shared" si="0"/>
        <v>56.991999999999962</v>
      </c>
      <c r="I26" s="99">
        <f t="shared" si="1"/>
        <v>3134.5599999999977</v>
      </c>
      <c r="J26" s="100">
        <f t="shared" si="3"/>
        <v>52</v>
      </c>
      <c r="K26" s="101">
        <f t="shared" si="2"/>
        <v>-4.9919999999999618</v>
      </c>
    </row>
    <row r="27" spans="1:11" ht="12.75" x14ac:dyDescent="0.2">
      <c r="A27" s="92">
        <v>45544</v>
      </c>
      <c r="B27" s="93" t="s">
        <v>33</v>
      </c>
      <c r="C27" s="94">
        <v>0.95099999999999996</v>
      </c>
      <c r="D27" s="95"/>
      <c r="E27" s="96"/>
      <c r="F27" s="96"/>
      <c r="G27" s="97">
        <v>1040</v>
      </c>
      <c r="H27" s="98">
        <f t="shared" si="0"/>
        <v>50.960000000000036</v>
      </c>
      <c r="I27" s="99">
        <f t="shared" si="1"/>
        <v>2802.800000000002</v>
      </c>
      <c r="J27" s="100">
        <f t="shared" si="3"/>
        <v>52</v>
      </c>
      <c r="K27" s="101">
        <f t="shared" si="2"/>
        <v>1.0399999999999636</v>
      </c>
    </row>
    <row r="28" spans="1:11" ht="12.75" x14ac:dyDescent="0.2">
      <c r="A28" s="92">
        <v>45545</v>
      </c>
      <c r="B28" s="93" t="s">
        <v>35</v>
      </c>
      <c r="C28" s="94">
        <v>0.96630000000000005</v>
      </c>
      <c r="D28" s="95"/>
      <c r="E28" s="96"/>
      <c r="F28" s="96"/>
      <c r="G28" s="97">
        <v>1041</v>
      </c>
      <c r="H28" s="98">
        <f t="shared" si="0"/>
        <v>35.081699999999955</v>
      </c>
      <c r="I28" s="99">
        <f t="shared" si="1"/>
        <v>1929.4934999999975</v>
      </c>
      <c r="J28" s="100">
        <f t="shared" si="3"/>
        <v>52.050000000000068</v>
      </c>
      <c r="K28" s="101">
        <f t="shared" si="2"/>
        <v>16.968300000000113</v>
      </c>
    </row>
    <row r="29" spans="1:11" ht="12.75" x14ac:dyDescent="0.2">
      <c r="A29" s="92">
        <v>45546</v>
      </c>
      <c r="B29" s="93" t="s">
        <v>37</v>
      </c>
      <c r="C29" s="94">
        <v>0.94820000000000004</v>
      </c>
      <c r="D29" s="95"/>
      <c r="E29" s="96"/>
      <c r="F29" s="96" t="s">
        <v>412</v>
      </c>
      <c r="G29" s="97">
        <v>1041</v>
      </c>
      <c r="H29" s="98">
        <f t="shared" si="0"/>
        <v>53.923799999999915</v>
      </c>
      <c r="I29" s="99">
        <f t="shared" si="1"/>
        <v>2965.8089999999952</v>
      </c>
      <c r="J29" s="100">
        <f t="shared" si="3"/>
        <v>52.050000000000068</v>
      </c>
      <c r="K29" s="101">
        <f t="shared" si="2"/>
        <v>-1.8737999999998465</v>
      </c>
    </row>
    <row r="30" spans="1:11" ht="12.75" x14ac:dyDescent="0.2">
      <c r="A30" s="92">
        <v>45547</v>
      </c>
      <c r="B30" s="93" t="s">
        <v>39</v>
      </c>
      <c r="C30" s="94">
        <v>0.94820000000000004</v>
      </c>
      <c r="D30" s="95"/>
      <c r="E30" s="96"/>
      <c r="F30" s="96"/>
      <c r="G30" s="97">
        <v>1041</v>
      </c>
      <c r="H30" s="98">
        <f t="shared" si="0"/>
        <v>53.923799999999915</v>
      </c>
      <c r="I30" s="99">
        <f t="shared" si="1"/>
        <v>2965.8089999999952</v>
      </c>
      <c r="J30" s="100">
        <f t="shared" si="3"/>
        <v>52.050000000000068</v>
      </c>
      <c r="K30" s="101">
        <f t="shared" si="2"/>
        <v>-1.8737999999998465</v>
      </c>
    </row>
    <row r="31" spans="1:11" ht="12.75" x14ac:dyDescent="0.2">
      <c r="A31" s="92">
        <v>45548</v>
      </c>
      <c r="B31" s="93" t="s">
        <v>41</v>
      </c>
      <c r="C31" s="94">
        <v>0.93940000000000001</v>
      </c>
      <c r="D31" s="95"/>
      <c r="E31" s="96"/>
      <c r="F31" s="96"/>
      <c r="G31" s="97">
        <v>1041</v>
      </c>
      <c r="H31" s="98">
        <f t="shared" si="0"/>
        <v>63.084600000000023</v>
      </c>
      <c r="I31" s="99">
        <f t="shared" si="1"/>
        <v>3469.6530000000012</v>
      </c>
      <c r="J31" s="100">
        <f t="shared" si="3"/>
        <v>52.050000000000068</v>
      </c>
      <c r="K31" s="101">
        <f t="shared" si="2"/>
        <v>-11.034599999999955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0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0.9587</v>
      </c>
      <c r="D33" s="95"/>
      <c r="E33" s="96"/>
      <c r="F33" s="96"/>
      <c r="G33" s="97">
        <v>1042</v>
      </c>
      <c r="H33" s="98">
        <f t="shared" si="0"/>
        <v>43.034599999999955</v>
      </c>
      <c r="I33" s="99">
        <f t="shared" si="1"/>
        <v>2366.9029999999975</v>
      </c>
      <c r="J33" s="100">
        <f t="shared" si="3"/>
        <v>52.100000000000023</v>
      </c>
      <c r="K33" s="101">
        <f t="shared" si="2"/>
        <v>9.0654000000000678</v>
      </c>
    </row>
    <row r="34" spans="1:11" ht="12.75" x14ac:dyDescent="0.2">
      <c r="A34" s="92">
        <v>45553</v>
      </c>
      <c r="B34" s="93" t="s">
        <v>37</v>
      </c>
      <c r="C34" s="94">
        <v>0.95009999999999994</v>
      </c>
      <c r="D34" s="95"/>
      <c r="E34" s="96"/>
      <c r="F34" s="96"/>
      <c r="G34" s="97">
        <v>1042</v>
      </c>
      <c r="H34" s="98">
        <f t="shared" si="0"/>
        <v>51.995800000000031</v>
      </c>
      <c r="I34" s="99">
        <f t="shared" si="1"/>
        <v>2859.7690000000016</v>
      </c>
      <c r="J34" s="100">
        <f t="shared" si="3"/>
        <v>52.100000000000023</v>
      </c>
      <c r="K34" s="101">
        <f t="shared" si="2"/>
        <v>0.10419999999999163</v>
      </c>
    </row>
    <row r="35" spans="1:11" ht="25.5" x14ac:dyDescent="0.2">
      <c r="A35" s="92">
        <v>45554</v>
      </c>
      <c r="B35" s="93" t="s">
        <v>39</v>
      </c>
      <c r="C35" s="94">
        <v>0.9415</v>
      </c>
      <c r="D35" s="95"/>
      <c r="E35" s="96"/>
      <c r="F35" s="96" t="s">
        <v>413</v>
      </c>
      <c r="G35" s="97">
        <v>1042</v>
      </c>
      <c r="H35" s="98">
        <f t="shared" si="0"/>
        <v>60.956999999999994</v>
      </c>
      <c r="I35" s="99">
        <f t="shared" si="1"/>
        <v>3352.6349999999998</v>
      </c>
      <c r="J35" s="100">
        <f t="shared" si="3"/>
        <v>52.100000000000023</v>
      </c>
      <c r="K35" s="101">
        <f t="shared" si="2"/>
        <v>-8.8569999999999709</v>
      </c>
    </row>
    <row r="36" spans="1:11" ht="38.25" x14ac:dyDescent="0.2">
      <c r="A36" s="92">
        <v>45555</v>
      </c>
      <c r="B36" s="93" t="s">
        <v>41</v>
      </c>
      <c r="C36" s="94">
        <v>0.77700000000000002</v>
      </c>
      <c r="D36" s="95" t="s">
        <v>232</v>
      </c>
      <c r="E36" s="96" t="s">
        <v>414</v>
      </c>
      <c r="F36" s="96" t="s">
        <v>415</v>
      </c>
      <c r="G36" s="97">
        <v>1043</v>
      </c>
      <c r="H36" s="98">
        <f t="shared" si="0"/>
        <v>232.58899999999994</v>
      </c>
      <c r="I36" s="99">
        <f t="shared" si="1"/>
        <v>12792.394999999997</v>
      </c>
      <c r="J36" s="100">
        <f t="shared" si="3"/>
        <v>52.150000000000091</v>
      </c>
      <c r="K36" s="101">
        <f t="shared" si="2"/>
        <v>-180.43899999999985</v>
      </c>
    </row>
    <row r="37" spans="1:11" ht="12.75" x14ac:dyDescent="0.2">
      <c r="A37" s="92">
        <v>45558</v>
      </c>
      <c r="B37" s="93" t="s">
        <v>33</v>
      </c>
      <c r="C37" s="94">
        <v>0.94620000000000004</v>
      </c>
      <c r="D37" s="95"/>
      <c r="E37" s="96"/>
      <c r="F37" s="96"/>
      <c r="G37" s="97">
        <v>1041</v>
      </c>
      <c r="H37" s="98">
        <f t="shared" si="0"/>
        <v>56.005799999999908</v>
      </c>
      <c r="I37" s="99">
        <f t="shared" si="1"/>
        <v>3080.318999999995</v>
      </c>
      <c r="J37" s="100">
        <f t="shared" si="3"/>
        <v>52.050000000000068</v>
      </c>
      <c r="K37" s="101">
        <f t="shared" si="2"/>
        <v>-3.9557999999998401</v>
      </c>
    </row>
    <row r="38" spans="1:11" ht="12.75" x14ac:dyDescent="0.2">
      <c r="A38" s="92">
        <v>45559</v>
      </c>
      <c r="B38" s="93" t="s">
        <v>35</v>
      </c>
      <c r="C38" s="94">
        <v>0.96060000000000001</v>
      </c>
      <c r="D38" s="95"/>
      <c r="E38" s="96"/>
      <c r="F38" s="96"/>
      <c r="G38" s="97">
        <v>1041</v>
      </c>
      <c r="H38" s="98">
        <f t="shared" si="0"/>
        <v>41.0154</v>
      </c>
      <c r="I38" s="99">
        <f t="shared" si="1"/>
        <v>2255.8469999999998</v>
      </c>
      <c r="J38" s="100">
        <f t="shared" si="3"/>
        <v>52.050000000000068</v>
      </c>
      <c r="K38" s="101">
        <f t="shared" si="2"/>
        <v>11.034600000000069</v>
      </c>
    </row>
    <row r="39" spans="1:11" ht="12.75" x14ac:dyDescent="0.2">
      <c r="A39" s="92">
        <v>45560</v>
      </c>
      <c r="B39" s="93" t="s">
        <v>37</v>
      </c>
      <c r="C39" s="94">
        <v>0.9587</v>
      </c>
      <c r="D39" s="95"/>
      <c r="E39" s="96"/>
      <c r="F39" s="96"/>
      <c r="G39" s="97">
        <v>1040</v>
      </c>
      <c r="H39" s="98">
        <f t="shared" si="0"/>
        <v>42.951999999999998</v>
      </c>
      <c r="I39" s="99">
        <f t="shared" si="1"/>
        <v>2362.3599999999997</v>
      </c>
      <c r="J39" s="100">
        <f t="shared" si="3"/>
        <v>52</v>
      </c>
      <c r="K39" s="101">
        <f t="shared" si="2"/>
        <v>9.0480000000000018</v>
      </c>
    </row>
    <row r="40" spans="1:11" ht="12.75" x14ac:dyDescent="0.2">
      <c r="A40" s="92">
        <v>45561</v>
      </c>
      <c r="B40" s="93" t="s">
        <v>39</v>
      </c>
      <c r="C40" s="94">
        <v>0.95489999999999997</v>
      </c>
      <c r="D40" s="95"/>
      <c r="E40" s="96"/>
      <c r="F40" s="96"/>
      <c r="G40" s="97">
        <v>1042</v>
      </c>
      <c r="H40" s="98">
        <f t="shared" si="0"/>
        <v>46.994199999999978</v>
      </c>
      <c r="I40" s="99">
        <f t="shared" si="1"/>
        <v>2584.6809999999987</v>
      </c>
      <c r="J40" s="100">
        <f t="shared" si="3"/>
        <v>52.100000000000023</v>
      </c>
      <c r="K40" s="101">
        <f t="shared" si="2"/>
        <v>5.1058000000000447</v>
      </c>
    </row>
    <row r="41" spans="1:11" ht="12.75" x14ac:dyDescent="0.2">
      <c r="A41" s="92">
        <v>45562</v>
      </c>
      <c r="B41" s="93" t="s">
        <v>41</v>
      </c>
      <c r="C41" s="94">
        <v>0.95689999999999997</v>
      </c>
      <c r="D41" s="95"/>
      <c r="E41" s="96"/>
      <c r="F41" s="96"/>
      <c r="G41" s="97">
        <v>1043</v>
      </c>
      <c r="H41" s="98">
        <f t="shared" si="0"/>
        <v>44.953300000000013</v>
      </c>
      <c r="I41" s="99">
        <f t="shared" si="1"/>
        <v>2472.4315000000006</v>
      </c>
      <c r="J41" s="100">
        <f t="shared" si="3"/>
        <v>52.150000000000091</v>
      </c>
      <c r="K41" s="101">
        <f t="shared" si="2"/>
        <v>7.196700000000078</v>
      </c>
    </row>
    <row r="42" spans="1:11" ht="12.75" x14ac:dyDescent="0.2">
      <c r="A42" s="92">
        <v>45565</v>
      </c>
      <c r="B42" s="93" t="s">
        <v>33</v>
      </c>
      <c r="C42" s="94">
        <v>0.95779999999999998</v>
      </c>
      <c r="D42" s="95"/>
      <c r="E42" s="96"/>
      <c r="F42" s="96"/>
      <c r="G42" s="97">
        <v>1042</v>
      </c>
      <c r="H42" s="98">
        <f t="shared" si="0"/>
        <v>43.972399999999993</v>
      </c>
      <c r="I42" s="99">
        <f t="shared" si="1"/>
        <v>2418.4819999999995</v>
      </c>
      <c r="J42" s="100">
        <f t="shared" si="3"/>
        <v>52.100000000000023</v>
      </c>
      <c r="K42" s="101">
        <f t="shared" si="2"/>
        <v>8.1276000000000295</v>
      </c>
    </row>
    <row r="43" spans="1:11" ht="12.75" x14ac:dyDescent="0.2">
      <c r="A43" s="92">
        <v>45566</v>
      </c>
      <c r="B43" s="93" t="s">
        <v>35</v>
      </c>
      <c r="C43" s="94">
        <v>0.96360000000000001</v>
      </c>
      <c r="D43" s="95"/>
      <c r="E43" s="96"/>
      <c r="F43" s="96" t="s">
        <v>416</v>
      </c>
      <c r="G43" s="97">
        <v>1043</v>
      </c>
      <c r="H43" s="98">
        <f t="shared" si="0"/>
        <v>37.965199999999982</v>
      </c>
      <c r="I43" s="99">
        <f t="shared" si="1"/>
        <v>2088.0859999999989</v>
      </c>
      <c r="J43" s="100">
        <f t="shared" si="3"/>
        <v>52.150000000000091</v>
      </c>
      <c r="K43" s="101">
        <f t="shared" si="2"/>
        <v>14.184800000000109</v>
      </c>
    </row>
    <row r="44" spans="1:11" ht="12.75" x14ac:dyDescent="0.2">
      <c r="A44" s="92">
        <v>45567</v>
      </c>
      <c r="B44" s="93" t="s">
        <v>37</v>
      </c>
      <c r="C44" s="94">
        <v>0.96450000000000002</v>
      </c>
      <c r="D44" s="95"/>
      <c r="E44" s="96"/>
      <c r="F44" s="96"/>
      <c r="G44" s="97">
        <v>1043</v>
      </c>
      <c r="H44" s="98">
        <f t="shared" si="0"/>
        <v>37.026499999999942</v>
      </c>
      <c r="I44" s="99">
        <f t="shared" si="1"/>
        <v>2036.4574999999968</v>
      </c>
      <c r="J44" s="100">
        <f t="shared" si="3"/>
        <v>52.150000000000091</v>
      </c>
      <c r="K44" s="101">
        <f t="shared" si="2"/>
        <v>15.123500000000149</v>
      </c>
    </row>
    <row r="45" spans="1:11" ht="12.75" x14ac:dyDescent="0.2">
      <c r="A45" s="92">
        <v>45568</v>
      </c>
      <c r="B45" s="93" t="s">
        <v>39</v>
      </c>
      <c r="C45" s="94">
        <v>0.95689999999999997</v>
      </c>
      <c r="D45" s="95"/>
      <c r="E45" s="96"/>
      <c r="F45" s="96"/>
      <c r="G45" s="97">
        <v>1044</v>
      </c>
      <c r="H45" s="98">
        <f t="shared" si="0"/>
        <v>44.996399999999994</v>
      </c>
      <c r="I45" s="99">
        <f t="shared" si="1"/>
        <v>2474.8019999999997</v>
      </c>
      <c r="J45" s="100">
        <f t="shared" si="3"/>
        <v>52.200000000000045</v>
      </c>
      <c r="K45" s="101">
        <f t="shared" si="2"/>
        <v>7.2036000000000513</v>
      </c>
    </row>
    <row r="46" spans="1:11" ht="25.5" x14ac:dyDescent="0.2">
      <c r="A46" s="92">
        <v>45569</v>
      </c>
      <c r="B46" s="93" t="s">
        <v>41</v>
      </c>
      <c r="C46" s="94">
        <v>0.93400000000000005</v>
      </c>
      <c r="D46" s="95"/>
      <c r="E46" s="96"/>
      <c r="F46" s="96" t="s">
        <v>417</v>
      </c>
      <c r="G46" s="97">
        <v>1045</v>
      </c>
      <c r="H46" s="98">
        <f t="shared" si="0"/>
        <v>68.969999999999914</v>
      </c>
      <c r="I46" s="99">
        <f t="shared" si="1"/>
        <v>3793.3499999999954</v>
      </c>
      <c r="J46" s="100">
        <f t="shared" si="3"/>
        <v>52.25</v>
      </c>
      <c r="K46" s="101">
        <f t="shared" si="2"/>
        <v>-16.719999999999914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0"/>
        <v>0</v>
      </c>
      <c r="I47" s="99">
        <f t="shared" si="1"/>
        <v>0</v>
      </c>
      <c r="J47" s="100">
        <f t="shared" si="3"/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0"/>
        <v>0</v>
      </c>
      <c r="I48" s="99">
        <f t="shared" si="1"/>
        <v>0</v>
      </c>
      <c r="J48" s="100">
        <f t="shared" si="3"/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0"/>
        <v>0</v>
      </c>
      <c r="I49" s="99">
        <f t="shared" si="1"/>
        <v>0</v>
      </c>
      <c r="J49" s="100">
        <f t="shared" si="3"/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0"/>
        <v>0</v>
      </c>
      <c r="I50" s="99">
        <f t="shared" si="1"/>
        <v>0</v>
      </c>
      <c r="J50" s="100">
        <f t="shared" si="3"/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0"/>
        <v>0</v>
      </c>
      <c r="I51" s="99">
        <f t="shared" si="1"/>
        <v>0</v>
      </c>
      <c r="J51" s="100">
        <f t="shared" si="3"/>
        <v>0</v>
      </c>
      <c r="K51" s="101">
        <f t="shared" si="2"/>
        <v>0</v>
      </c>
    </row>
    <row r="52" spans="1:11" ht="25.5" x14ac:dyDescent="0.2">
      <c r="A52" s="92">
        <v>45579</v>
      </c>
      <c r="B52" s="93" t="s">
        <v>33</v>
      </c>
      <c r="C52" s="94">
        <v>0.91859999999999997</v>
      </c>
      <c r="D52" s="95"/>
      <c r="E52" s="96"/>
      <c r="F52" s="96" t="s">
        <v>418</v>
      </c>
      <c r="G52" s="97">
        <v>1044</v>
      </c>
      <c r="H52" s="98">
        <f t="shared" si="0"/>
        <v>84.981600000000071</v>
      </c>
      <c r="I52" s="99">
        <f t="shared" si="1"/>
        <v>4673.9880000000039</v>
      </c>
      <c r="J52" s="100">
        <f t="shared" si="3"/>
        <v>52.200000000000045</v>
      </c>
      <c r="K52" s="101">
        <f t="shared" si="2"/>
        <v>-32.781600000000026</v>
      </c>
    </row>
    <row r="53" spans="1:11" ht="12.75" x14ac:dyDescent="0.2">
      <c r="A53" s="92">
        <v>45580</v>
      </c>
      <c r="B53" s="93" t="s">
        <v>35</v>
      </c>
      <c r="C53" s="94">
        <v>0.95040000000000002</v>
      </c>
      <c r="D53" s="95"/>
      <c r="E53" s="96"/>
      <c r="F53" s="96"/>
      <c r="G53" s="97">
        <v>1047</v>
      </c>
      <c r="H53" s="98">
        <f t="shared" si="0"/>
        <v>51.93119999999999</v>
      </c>
      <c r="I53" s="99">
        <f t="shared" si="1"/>
        <v>2856.2159999999994</v>
      </c>
      <c r="J53" s="100">
        <f t="shared" si="3"/>
        <v>52.350000000000023</v>
      </c>
      <c r="K53" s="101">
        <f t="shared" si="2"/>
        <v>0.41880000000003292</v>
      </c>
    </row>
    <row r="54" spans="1:11" ht="12.75" x14ac:dyDescent="0.2">
      <c r="A54" s="92">
        <v>45581</v>
      </c>
      <c r="B54" s="93" t="s">
        <v>37</v>
      </c>
      <c r="C54" s="115">
        <v>0.95609999999999995</v>
      </c>
      <c r="D54" s="95"/>
      <c r="E54" s="96"/>
      <c r="F54" s="116" t="s">
        <v>419</v>
      </c>
      <c r="G54" s="97">
        <v>1048</v>
      </c>
      <c r="H54" s="98">
        <f t="shared" si="0"/>
        <v>46.007200000000012</v>
      </c>
      <c r="I54" s="99">
        <f t="shared" si="1"/>
        <v>2530.3960000000006</v>
      </c>
      <c r="J54" s="100">
        <f t="shared" si="3"/>
        <v>52.400000000000091</v>
      </c>
      <c r="K54" s="101">
        <f t="shared" si="2"/>
        <v>6.3928000000000793</v>
      </c>
    </row>
    <row r="55" spans="1:11" ht="12.75" x14ac:dyDescent="0.2">
      <c r="A55" s="92">
        <v>45582</v>
      </c>
      <c r="B55" s="93" t="s">
        <v>39</v>
      </c>
      <c r="C55" s="94">
        <v>0.93989999999999996</v>
      </c>
      <c r="D55" s="95"/>
      <c r="E55" s="96"/>
      <c r="F55" s="96"/>
      <c r="G55" s="97">
        <v>1048</v>
      </c>
      <c r="H55" s="98">
        <f t="shared" si="0"/>
        <v>62.984800000000064</v>
      </c>
      <c r="I55" s="99">
        <f t="shared" si="1"/>
        <v>3464.1640000000034</v>
      </c>
      <c r="J55" s="100">
        <f t="shared" si="3"/>
        <v>52.400000000000091</v>
      </c>
      <c r="K55" s="101">
        <f t="shared" si="2"/>
        <v>-10.584799999999973</v>
      </c>
    </row>
    <row r="56" spans="1:11" ht="12.75" x14ac:dyDescent="0.2">
      <c r="A56" s="92">
        <v>45583</v>
      </c>
      <c r="B56" s="93" t="s">
        <v>41</v>
      </c>
      <c r="C56" s="94">
        <v>0.93210000000000004</v>
      </c>
      <c r="D56" s="95"/>
      <c r="E56" s="96"/>
      <c r="F56" s="96"/>
      <c r="G56" s="97">
        <v>1045</v>
      </c>
      <c r="H56" s="98">
        <f t="shared" si="0"/>
        <v>70.955499999999915</v>
      </c>
      <c r="I56" s="99">
        <f t="shared" si="1"/>
        <v>3902.5524999999952</v>
      </c>
      <c r="J56" s="100">
        <f t="shared" si="3"/>
        <v>52.25</v>
      </c>
      <c r="K56" s="101">
        <f t="shared" si="2"/>
        <v>-18.705499999999915</v>
      </c>
    </row>
    <row r="57" spans="1:11" ht="12.75" x14ac:dyDescent="0.2">
      <c r="A57" s="92">
        <v>45586</v>
      </c>
      <c r="B57" s="93" t="s">
        <v>33</v>
      </c>
      <c r="C57" s="94">
        <v>0.93230000000000002</v>
      </c>
      <c r="D57" s="95"/>
      <c r="E57" s="96"/>
      <c r="F57" s="96"/>
      <c r="G57" s="97">
        <v>1048</v>
      </c>
      <c r="H57" s="98">
        <f t="shared" si="0"/>
        <v>70.949600000000032</v>
      </c>
      <c r="I57" s="99">
        <f t="shared" si="1"/>
        <v>3902.2280000000019</v>
      </c>
      <c r="J57" s="100">
        <f t="shared" si="3"/>
        <v>52.400000000000091</v>
      </c>
      <c r="K57" s="101">
        <f t="shared" si="2"/>
        <v>-18.549599999999941</v>
      </c>
    </row>
    <row r="58" spans="1:11" ht="12.75" x14ac:dyDescent="0.2">
      <c r="A58" s="92">
        <v>45587</v>
      </c>
      <c r="B58" s="93" t="s">
        <v>35</v>
      </c>
      <c r="C58" s="94">
        <v>0.9466</v>
      </c>
      <c r="D58" s="95"/>
      <c r="E58" s="96"/>
      <c r="F58" s="96"/>
      <c r="G58" s="97">
        <v>1048</v>
      </c>
      <c r="H58" s="98">
        <f t="shared" si="0"/>
        <v>55.963200000000029</v>
      </c>
      <c r="I58" s="99">
        <f t="shared" si="1"/>
        <v>3077.9760000000015</v>
      </c>
      <c r="J58" s="100">
        <f t="shared" si="3"/>
        <v>52.400000000000091</v>
      </c>
      <c r="K58" s="101">
        <f t="shared" si="2"/>
        <v>-3.563199999999938</v>
      </c>
    </row>
    <row r="59" spans="1:11" ht="12.75" x14ac:dyDescent="0.2">
      <c r="A59" s="92">
        <v>45588</v>
      </c>
      <c r="B59" s="93" t="s">
        <v>37</v>
      </c>
      <c r="C59" s="94">
        <v>0.95040000000000002</v>
      </c>
      <c r="D59" s="95"/>
      <c r="E59" s="96"/>
      <c r="F59" s="96"/>
      <c r="G59" s="97">
        <v>1048</v>
      </c>
      <c r="H59" s="98">
        <f t="shared" si="0"/>
        <v>51.980799999999931</v>
      </c>
      <c r="I59" s="99">
        <f t="shared" si="1"/>
        <v>2858.9439999999963</v>
      </c>
      <c r="J59" s="100">
        <f t="shared" si="3"/>
        <v>52.400000000000091</v>
      </c>
      <c r="K59" s="101">
        <f t="shared" si="2"/>
        <v>0.41920000000015989</v>
      </c>
    </row>
    <row r="60" spans="1:11" ht="25.5" x14ac:dyDescent="0.2">
      <c r="A60" s="92">
        <v>45589</v>
      </c>
      <c r="B60" s="93" t="s">
        <v>39</v>
      </c>
      <c r="C60" s="94">
        <v>0.95140000000000002</v>
      </c>
      <c r="D60" s="95"/>
      <c r="E60" s="96"/>
      <c r="F60" s="96" t="s">
        <v>420</v>
      </c>
      <c r="G60" s="97">
        <v>1049</v>
      </c>
      <c r="H60" s="98">
        <f t="shared" si="0"/>
        <v>50.981400000000008</v>
      </c>
      <c r="I60" s="99">
        <f t="shared" si="1"/>
        <v>2803.9770000000003</v>
      </c>
      <c r="J60" s="100">
        <f t="shared" si="3"/>
        <v>52.450000000000045</v>
      </c>
      <c r="K60" s="101">
        <f t="shared" si="2"/>
        <v>1.4686000000000377</v>
      </c>
    </row>
    <row r="61" spans="1:11" ht="12.75" x14ac:dyDescent="0.2">
      <c r="A61" s="92">
        <v>45590</v>
      </c>
      <c r="B61" s="93" t="s">
        <v>41</v>
      </c>
      <c r="C61" s="94">
        <v>0.9133</v>
      </c>
      <c r="D61" s="95"/>
      <c r="E61" s="96"/>
      <c r="F61" s="96"/>
      <c r="G61" s="97">
        <v>1050</v>
      </c>
      <c r="H61" s="98">
        <f t="shared" si="0"/>
        <v>91.034999999999968</v>
      </c>
      <c r="I61" s="99">
        <f t="shared" si="1"/>
        <v>5006.9249999999984</v>
      </c>
      <c r="J61" s="100">
        <f t="shared" si="3"/>
        <v>52.5</v>
      </c>
      <c r="K61" s="101">
        <f t="shared" si="2"/>
        <v>-38.534999999999968</v>
      </c>
    </row>
    <row r="62" spans="1:11" ht="12.75" x14ac:dyDescent="0.2">
      <c r="A62" s="92">
        <v>45593</v>
      </c>
      <c r="B62" s="93" t="s">
        <v>33</v>
      </c>
      <c r="C62" s="94">
        <v>0.9476</v>
      </c>
      <c r="D62" s="95"/>
      <c r="E62" s="96"/>
      <c r="F62" s="96"/>
      <c r="G62" s="97">
        <v>1048</v>
      </c>
      <c r="H62" s="98">
        <f t="shared" si="0"/>
        <v>54.915200000000027</v>
      </c>
      <c r="I62" s="99">
        <f t="shared" si="1"/>
        <v>3020.3360000000016</v>
      </c>
      <c r="J62" s="100">
        <f t="shared" si="3"/>
        <v>52.400000000000091</v>
      </c>
      <c r="K62" s="101">
        <f t="shared" si="2"/>
        <v>-2.5151999999999362</v>
      </c>
    </row>
    <row r="63" spans="1:11" ht="12.75" x14ac:dyDescent="0.2">
      <c r="A63" s="92">
        <v>45594</v>
      </c>
      <c r="B63" s="93" t="s">
        <v>35</v>
      </c>
      <c r="C63" s="94">
        <v>0.95799999999999996</v>
      </c>
      <c r="D63" s="95"/>
      <c r="E63" s="96"/>
      <c r="F63" s="96"/>
      <c r="G63" s="97">
        <v>1048</v>
      </c>
      <c r="H63" s="98">
        <f t="shared" si="0"/>
        <v>44.016000000000076</v>
      </c>
      <c r="I63" s="99">
        <f t="shared" si="1"/>
        <v>2420.8800000000042</v>
      </c>
      <c r="J63" s="100">
        <f t="shared" si="3"/>
        <v>52.400000000000091</v>
      </c>
      <c r="K63" s="101">
        <f t="shared" si="2"/>
        <v>8.3840000000000146</v>
      </c>
    </row>
    <row r="64" spans="1:11" ht="12.75" x14ac:dyDescent="0.2">
      <c r="A64" s="92">
        <v>45595</v>
      </c>
      <c r="B64" s="93" t="s">
        <v>37</v>
      </c>
      <c r="C64" s="94">
        <v>0.94940000000000002</v>
      </c>
      <c r="D64" s="95"/>
      <c r="E64" s="96"/>
      <c r="F64" s="96"/>
      <c r="G64" s="97">
        <v>1048</v>
      </c>
      <c r="H64" s="98">
        <f t="shared" si="0"/>
        <v>53.028799999999933</v>
      </c>
      <c r="I64" s="99">
        <f t="shared" si="1"/>
        <v>2916.5839999999962</v>
      </c>
      <c r="J64" s="100">
        <f t="shared" si="3"/>
        <v>52.400000000000091</v>
      </c>
      <c r="K64" s="101">
        <f t="shared" si="2"/>
        <v>-0.62879999999984193</v>
      </c>
    </row>
    <row r="65" spans="1:11" ht="12.75" x14ac:dyDescent="0.2">
      <c r="A65" s="92">
        <v>45596</v>
      </c>
      <c r="B65" s="93" t="s">
        <v>39</v>
      </c>
      <c r="C65" s="94">
        <v>0.93899999999999995</v>
      </c>
      <c r="D65" s="95"/>
      <c r="E65" s="96"/>
      <c r="F65" s="96"/>
      <c r="G65" s="97">
        <v>1048</v>
      </c>
      <c r="H65" s="98">
        <f t="shared" si="0"/>
        <v>63.928000000000111</v>
      </c>
      <c r="I65" s="99">
        <f t="shared" si="1"/>
        <v>3516.0400000000063</v>
      </c>
      <c r="J65" s="100">
        <f t="shared" si="3"/>
        <v>52.400000000000091</v>
      </c>
      <c r="K65" s="101">
        <f t="shared" si="2"/>
        <v>-11.52800000000002</v>
      </c>
    </row>
    <row r="66" spans="1:11" ht="12.75" x14ac:dyDescent="0.2">
      <c r="A66" s="92">
        <v>45597</v>
      </c>
      <c r="B66" s="93" t="s">
        <v>41</v>
      </c>
      <c r="C66" s="94">
        <v>0.89400000000000002</v>
      </c>
      <c r="D66" s="95"/>
      <c r="E66" s="96"/>
      <c r="F66" s="96" t="s">
        <v>421</v>
      </c>
      <c r="G66" s="97">
        <v>1047</v>
      </c>
      <c r="H66" s="98">
        <f t="shared" si="0"/>
        <v>110.98199999999997</v>
      </c>
      <c r="I66" s="99">
        <f t="shared" si="1"/>
        <v>6104.0099999999984</v>
      </c>
      <c r="J66" s="100">
        <f t="shared" si="3"/>
        <v>52.350000000000023</v>
      </c>
      <c r="K66" s="101">
        <f t="shared" si="2"/>
        <v>-58.631999999999948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0"/>
        <v>0</v>
      </c>
      <c r="I67" s="99">
        <f t="shared" si="1"/>
        <v>0</v>
      </c>
      <c r="J67" s="100">
        <f t="shared" si="3"/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0"/>
        <v>0</v>
      </c>
      <c r="I68" s="99">
        <f t="shared" si="1"/>
        <v>0</v>
      </c>
      <c r="J68" s="100">
        <f t="shared" si="3"/>
        <v>0</v>
      </c>
      <c r="K68" s="101">
        <f t="shared" si="2"/>
        <v>0</v>
      </c>
    </row>
    <row r="69" spans="1:11" ht="12.75" x14ac:dyDescent="0.2">
      <c r="A69" s="92">
        <v>45602</v>
      </c>
      <c r="B69" s="93" t="s">
        <v>37</v>
      </c>
      <c r="C69" s="94">
        <v>0.96079999999999999</v>
      </c>
      <c r="D69" s="95"/>
      <c r="E69" s="96"/>
      <c r="F69" s="96"/>
      <c r="G69" s="97">
        <v>1046</v>
      </c>
      <c r="H69" s="98">
        <f t="shared" si="0"/>
        <v>41.003199999999993</v>
      </c>
      <c r="I69" s="99">
        <f t="shared" si="1"/>
        <v>2255.1759999999995</v>
      </c>
      <c r="J69" s="100">
        <f t="shared" si="3"/>
        <v>52.300000000000068</v>
      </c>
      <c r="K69" s="101">
        <f t="shared" si="2"/>
        <v>11.296800000000076</v>
      </c>
    </row>
    <row r="70" spans="1:11" ht="12.75" x14ac:dyDescent="0.2">
      <c r="A70" s="92">
        <v>45603</v>
      </c>
      <c r="B70" s="93" t="s">
        <v>39</v>
      </c>
      <c r="C70" s="94">
        <v>0.96460000000000001</v>
      </c>
      <c r="D70" s="102"/>
      <c r="E70" s="96"/>
      <c r="F70" s="96"/>
      <c r="G70" s="97">
        <v>1046</v>
      </c>
      <c r="H70" s="98">
        <f t="shared" si="0"/>
        <v>37.028400000000033</v>
      </c>
      <c r="I70" s="99">
        <f t="shared" si="1"/>
        <v>2036.5620000000017</v>
      </c>
      <c r="J70" s="100">
        <f t="shared" si="3"/>
        <v>52.300000000000068</v>
      </c>
      <c r="K70" s="101">
        <f t="shared" si="2"/>
        <v>15.271600000000035</v>
      </c>
    </row>
    <row r="71" spans="1:11" ht="12.75" x14ac:dyDescent="0.2">
      <c r="A71" s="92">
        <v>45604</v>
      </c>
      <c r="B71" s="93" t="s">
        <v>41</v>
      </c>
      <c r="C71" s="94">
        <v>0.94069999999999998</v>
      </c>
      <c r="D71" s="102"/>
      <c r="E71" s="96"/>
      <c r="F71" s="96"/>
      <c r="G71" s="97">
        <v>1045</v>
      </c>
      <c r="H71" s="98">
        <f t="shared" si="0"/>
        <v>61.968500000000063</v>
      </c>
      <c r="I71" s="99">
        <f t="shared" si="1"/>
        <v>3408.2675000000036</v>
      </c>
      <c r="J71" s="100">
        <f t="shared" si="3"/>
        <v>52.25</v>
      </c>
      <c r="K71" s="101">
        <f t="shared" si="2"/>
        <v>-9.7185000000000628</v>
      </c>
    </row>
    <row r="72" spans="1:11" ht="12.75" x14ac:dyDescent="0.2">
      <c r="A72" s="92">
        <v>45607</v>
      </c>
      <c r="B72" s="93" t="s">
        <v>33</v>
      </c>
      <c r="C72" s="94">
        <v>0.92810000000000004</v>
      </c>
      <c r="D72" s="102"/>
      <c r="E72" s="96"/>
      <c r="F72" s="96"/>
      <c r="G72" s="97">
        <v>1043</v>
      </c>
      <c r="H72" s="98">
        <f t="shared" si="0"/>
        <v>74.991699999999923</v>
      </c>
      <c r="I72" s="99">
        <f t="shared" si="1"/>
        <v>4124.5434999999961</v>
      </c>
      <c r="J72" s="100">
        <f t="shared" si="3"/>
        <v>52.150000000000091</v>
      </c>
      <c r="K72" s="101">
        <f t="shared" si="2"/>
        <v>-22.841699999999832</v>
      </c>
    </row>
    <row r="73" spans="1:11" ht="12.75" x14ac:dyDescent="0.2">
      <c r="A73" s="92">
        <v>45608</v>
      </c>
      <c r="B73" s="93" t="s">
        <v>35</v>
      </c>
      <c r="C73" s="94">
        <v>0.94920000000000004</v>
      </c>
      <c r="D73" s="95"/>
      <c r="E73" s="96"/>
      <c r="F73" s="96"/>
      <c r="G73" s="97">
        <v>1044</v>
      </c>
      <c r="H73" s="98">
        <f t="shared" si="0"/>
        <v>53.035199999999918</v>
      </c>
      <c r="I73" s="99">
        <f t="shared" si="1"/>
        <v>2916.9359999999956</v>
      </c>
      <c r="J73" s="100">
        <f t="shared" si="3"/>
        <v>52.200000000000045</v>
      </c>
      <c r="K73" s="101">
        <f t="shared" si="2"/>
        <v>-0.83519999999987249</v>
      </c>
    </row>
    <row r="74" spans="1:11" ht="12.75" x14ac:dyDescent="0.2">
      <c r="A74" s="92">
        <v>45609</v>
      </c>
      <c r="B74" s="93" t="s">
        <v>37</v>
      </c>
      <c r="C74" s="94">
        <v>0.94169999999999998</v>
      </c>
      <c r="D74" s="95"/>
      <c r="E74" s="96"/>
      <c r="F74" s="96"/>
      <c r="G74" s="97">
        <v>1045</v>
      </c>
      <c r="H74" s="98">
        <f t="shared" si="0"/>
        <v>60.92349999999999</v>
      </c>
      <c r="I74" s="99">
        <f t="shared" si="1"/>
        <v>3350.7924999999996</v>
      </c>
      <c r="J74" s="100">
        <f t="shared" si="3"/>
        <v>52.25</v>
      </c>
      <c r="K74" s="101">
        <f t="shared" si="2"/>
        <v>-8.67349999999999</v>
      </c>
    </row>
    <row r="75" spans="1:11" ht="12.75" x14ac:dyDescent="0.2">
      <c r="A75" s="92">
        <v>45610</v>
      </c>
      <c r="B75" s="93" t="s">
        <v>39</v>
      </c>
      <c r="C75" s="94">
        <v>0.93100000000000005</v>
      </c>
      <c r="D75" s="95"/>
      <c r="E75" s="96"/>
      <c r="F75" s="96"/>
      <c r="G75" s="97">
        <v>1043</v>
      </c>
      <c r="H75" s="98">
        <f t="shared" si="0"/>
        <v>71.966999999999985</v>
      </c>
      <c r="I75" s="99">
        <f t="shared" si="1"/>
        <v>3958.184999999999</v>
      </c>
      <c r="J75" s="100">
        <f t="shared" si="3"/>
        <v>52.150000000000091</v>
      </c>
      <c r="K75" s="101">
        <f t="shared" si="2"/>
        <v>-19.816999999999894</v>
      </c>
    </row>
    <row r="76" spans="1:11" ht="12.75" x14ac:dyDescent="0.2">
      <c r="A76" s="92">
        <v>45611</v>
      </c>
      <c r="B76" s="93" t="s">
        <v>41</v>
      </c>
      <c r="C76" s="94">
        <v>0.92020000000000002</v>
      </c>
      <c r="D76" s="95"/>
      <c r="E76" s="96"/>
      <c r="F76" s="96"/>
      <c r="G76" s="97">
        <v>1040</v>
      </c>
      <c r="H76" s="98">
        <f t="shared" si="0"/>
        <v>82.991999999999962</v>
      </c>
      <c r="I76" s="99">
        <f t="shared" si="1"/>
        <v>4564.5599999999977</v>
      </c>
      <c r="J76" s="100">
        <f t="shared" si="3"/>
        <v>52</v>
      </c>
      <c r="K76" s="101">
        <f t="shared" si="2"/>
        <v>-30.991999999999962</v>
      </c>
    </row>
    <row r="77" spans="1:11" ht="12.75" x14ac:dyDescent="0.2">
      <c r="A77" s="92">
        <v>45614</v>
      </c>
      <c r="B77" s="93" t="s">
        <v>33</v>
      </c>
      <c r="C77" s="94">
        <v>0.93769999999999998</v>
      </c>
      <c r="D77" s="95"/>
      <c r="E77" s="96"/>
      <c r="F77" s="96"/>
      <c r="G77" s="97">
        <v>1044</v>
      </c>
      <c r="H77" s="98">
        <f t="shared" si="0"/>
        <v>65.041200000000003</v>
      </c>
      <c r="I77" s="99">
        <f t="shared" si="1"/>
        <v>3577.2660000000001</v>
      </c>
      <c r="J77" s="100">
        <f t="shared" si="3"/>
        <v>52.200000000000045</v>
      </c>
      <c r="K77" s="101">
        <f t="shared" si="2"/>
        <v>-12.841199999999958</v>
      </c>
    </row>
    <row r="78" spans="1:11" ht="12.75" x14ac:dyDescent="0.2">
      <c r="A78" s="92">
        <v>45615</v>
      </c>
      <c r="B78" s="93" t="s">
        <v>35</v>
      </c>
      <c r="C78" s="94">
        <v>0.95109999999999995</v>
      </c>
      <c r="D78" s="95"/>
      <c r="E78" s="96"/>
      <c r="F78" s="96"/>
      <c r="G78" s="97">
        <v>1044</v>
      </c>
      <c r="H78" s="98">
        <f t="shared" si="0"/>
        <v>51.051600000000008</v>
      </c>
      <c r="I78" s="99">
        <f t="shared" si="1"/>
        <v>2807.8380000000006</v>
      </c>
      <c r="J78" s="100">
        <f t="shared" si="3"/>
        <v>52.200000000000045</v>
      </c>
      <c r="K78" s="101">
        <f t="shared" si="2"/>
        <v>1.1484000000000378</v>
      </c>
    </row>
    <row r="79" spans="1:11" ht="12.75" x14ac:dyDescent="0.2">
      <c r="A79" s="92">
        <v>45616</v>
      </c>
      <c r="B79" s="93" t="s">
        <v>37</v>
      </c>
      <c r="C79" s="94">
        <v>0.94730000000000003</v>
      </c>
      <c r="D79" s="95"/>
      <c r="E79" s="96"/>
      <c r="F79" s="96"/>
      <c r="G79" s="97">
        <v>1043</v>
      </c>
      <c r="H79" s="98">
        <f t="shared" si="0"/>
        <v>54.966099999999983</v>
      </c>
      <c r="I79" s="99">
        <f t="shared" si="1"/>
        <v>3023.135499999999</v>
      </c>
      <c r="J79" s="100">
        <f t="shared" si="3"/>
        <v>52.150000000000091</v>
      </c>
      <c r="K79" s="101">
        <f t="shared" si="2"/>
        <v>-2.8160999999998921</v>
      </c>
    </row>
    <row r="80" spans="1:11" ht="12.75" x14ac:dyDescent="0.2">
      <c r="A80" s="92">
        <v>45617</v>
      </c>
      <c r="B80" s="93" t="s">
        <v>39</v>
      </c>
      <c r="C80" s="94">
        <v>0.94059999999999999</v>
      </c>
      <c r="D80" s="95"/>
      <c r="E80" s="96"/>
      <c r="F80" s="96"/>
      <c r="G80" s="97">
        <v>1043</v>
      </c>
      <c r="H80" s="98">
        <f t="shared" si="0"/>
        <v>61.954200000000014</v>
      </c>
      <c r="I80" s="99">
        <f t="shared" si="1"/>
        <v>3407.4810000000007</v>
      </c>
      <c r="J80" s="100">
        <f t="shared" si="3"/>
        <v>52.150000000000091</v>
      </c>
      <c r="K80" s="101">
        <f t="shared" si="2"/>
        <v>-9.8041999999999234</v>
      </c>
    </row>
    <row r="81" spans="1:11" ht="12.75" x14ac:dyDescent="0.2">
      <c r="A81" s="92">
        <v>45618</v>
      </c>
      <c r="B81" s="93" t="s">
        <v>41</v>
      </c>
      <c r="C81" s="94">
        <v>0.8972</v>
      </c>
      <c r="D81" s="95"/>
      <c r="E81" s="96"/>
      <c r="F81" s="96" t="s">
        <v>422</v>
      </c>
      <c r="G81" s="97">
        <v>1041</v>
      </c>
      <c r="H81" s="98">
        <f t="shared" si="0"/>
        <v>107.01480000000004</v>
      </c>
      <c r="I81" s="99">
        <f t="shared" si="1"/>
        <v>5885.8140000000021</v>
      </c>
      <c r="J81" s="100">
        <f t="shared" si="3"/>
        <v>52.050000000000068</v>
      </c>
      <c r="K81" s="101">
        <f t="shared" si="2"/>
        <v>-54.964799999999968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0"/>
        <v>0</v>
      </c>
      <c r="I82" s="99">
        <f t="shared" si="1"/>
        <v>0</v>
      </c>
      <c r="J82" s="100">
        <f t="shared" si="3"/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0"/>
        <v>0</v>
      </c>
      <c r="I83" s="99">
        <f t="shared" si="1"/>
        <v>0</v>
      </c>
      <c r="J83" s="100">
        <f t="shared" si="3"/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0"/>
        <v>0</v>
      </c>
      <c r="I84" s="99">
        <f t="shared" si="1"/>
        <v>0</v>
      </c>
      <c r="J84" s="100">
        <f t="shared" si="3"/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0"/>
        <v>0</v>
      </c>
      <c r="I85" s="99">
        <f t="shared" si="1"/>
        <v>0</v>
      </c>
      <c r="J85" s="100">
        <f t="shared" si="3"/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0"/>
        <v>0</v>
      </c>
      <c r="I86" s="99">
        <f t="shared" si="1"/>
        <v>0</v>
      </c>
      <c r="J86" s="100">
        <f t="shared" si="3"/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0.92030000000000001</v>
      </c>
      <c r="D87" s="95"/>
      <c r="E87" s="96"/>
      <c r="F87" s="96"/>
      <c r="G87" s="97">
        <v>1044</v>
      </c>
      <c r="H87" s="98">
        <f t="shared" si="0"/>
        <v>83.206800000000044</v>
      </c>
      <c r="I87" s="99">
        <f t="shared" si="1"/>
        <v>4576.3740000000025</v>
      </c>
      <c r="J87" s="100">
        <f t="shared" si="3"/>
        <v>52.200000000000045</v>
      </c>
      <c r="K87" s="101">
        <f t="shared" si="2"/>
        <v>-31.006799999999998</v>
      </c>
    </row>
    <row r="88" spans="1:11" ht="12.75" x14ac:dyDescent="0.2">
      <c r="A88" s="92">
        <v>45629</v>
      </c>
      <c r="B88" s="93" t="s">
        <v>35</v>
      </c>
      <c r="C88" s="94">
        <v>0.95020000000000004</v>
      </c>
      <c r="D88" s="95"/>
      <c r="E88" s="96"/>
      <c r="F88" s="96"/>
      <c r="G88" s="97">
        <v>1041</v>
      </c>
      <c r="H88" s="98">
        <f t="shared" si="0"/>
        <v>51.841799999999921</v>
      </c>
      <c r="I88" s="99">
        <f t="shared" si="1"/>
        <v>2851.2989999999954</v>
      </c>
      <c r="J88" s="100">
        <f t="shared" si="3"/>
        <v>52.050000000000068</v>
      </c>
      <c r="K88" s="101">
        <f t="shared" si="2"/>
        <v>0.20820000000014716</v>
      </c>
    </row>
    <row r="89" spans="1:11" ht="12.75" x14ac:dyDescent="0.2">
      <c r="A89" s="92">
        <v>45630</v>
      </c>
      <c r="B89" s="93" t="s">
        <v>37</v>
      </c>
      <c r="C89" s="94">
        <v>0.95489999999999997</v>
      </c>
      <c r="D89" s="95"/>
      <c r="E89" s="96"/>
      <c r="F89" s="96"/>
      <c r="G89" s="97">
        <v>1044</v>
      </c>
      <c r="H89" s="98">
        <f t="shared" si="0"/>
        <v>47.084400000000073</v>
      </c>
      <c r="I89" s="99">
        <f t="shared" si="1"/>
        <v>2589.6420000000039</v>
      </c>
      <c r="J89" s="100">
        <f t="shared" si="3"/>
        <v>52.200000000000045</v>
      </c>
      <c r="K89" s="101">
        <f t="shared" si="2"/>
        <v>5.1155999999999722</v>
      </c>
    </row>
    <row r="90" spans="1:11" ht="12.75" x14ac:dyDescent="0.2">
      <c r="A90" s="92">
        <v>45631</v>
      </c>
      <c r="B90" s="93" t="s">
        <v>39</v>
      </c>
      <c r="C90" s="94">
        <v>0.95499999999999996</v>
      </c>
      <c r="D90" s="95"/>
      <c r="E90" s="96"/>
      <c r="F90" s="96"/>
      <c r="G90" s="97">
        <v>1045</v>
      </c>
      <c r="H90" s="98">
        <f t="shared" si="0"/>
        <v>47.025000000000091</v>
      </c>
      <c r="I90" s="99">
        <f t="shared" si="1"/>
        <v>2586.375000000005</v>
      </c>
      <c r="J90" s="100">
        <f t="shared" si="3"/>
        <v>52.25</v>
      </c>
      <c r="K90" s="101">
        <f t="shared" si="2"/>
        <v>5.2249999999999091</v>
      </c>
    </row>
    <row r="91" spans="1:11" ht="12.75" x14ac:dyDescent="0.2">
      <c r="A91" s="92">
        <v>45632</v>
      </c>
      <c r="B91" s="93" t="s">
        <v>41</v>
      </c>
      <c r="C91" s="94">
        <v>0.9234</v>
      </c>
      <c r="D91" s="95"/>
      <c r="E91" s="96"/>
      <c r="F91" s="96" t="s">
        <v>423</v>
      </c>
      <c r="G91" s="97">
        <v>1044</v>
      </c>
      <c r="H91" s="98">
        <f t="shared" si="0"/>
        <v>79.970400000000041</v>
      </c>
      <c r="I91" s="99">
        <f t="shared" si="1"/>
        <v>4398.3720000000021</v>
      </c>
      <c r="J91" s="100">
        <f t="shared" si="3"/>
        <v>52.200000000000045</v>
      </c>
      <c r="K91" s="101">
        <f t="shared" si="2"/>
        <v>-27.770399999999995</v>
      </c>
    </row>
    <row r="92" spans="1:11" ht="12.75" x14ac:dyDescent="0.2">
      <c r="A92" s="92">
        <v>45635</v>
      </c>
      <c r="B92" s="93" t="s">
        <v>33</v>
      </c>
      <c r="C92" s="94">
        <v>0.94920000000000004</v>
      </c>
      <c r="D92" s="95"/>
      <c r="E92" s="96"/>
      <c r="F92" s="96"/>
      <c r="G92" s="97">
        <v>1043</v>
      </c>
      <c r="H92" s="98">
        <f t="shared" si="0"/>
        <v>52.984399999999937</v>
      </c>
      <c r="I92" s="99">
        <f t="shared" si="1"/>
        <v>2914.1419999999966</v>
      </c>
      <c r="J92" s="100">
        <f t="shared" si="3"/>
        <v>52.150000000000091</v>
      </c>
      <c r="K92" s="101">
        <f t="shared" si="2"/>
        <v>-0.83439999999984593</v>
      </c>
    </row>
    <row r="93" spans="1:11" ht="12.75" x14ac:dyDescent="0.2">
      <c r="A93" s="92">
        <v>45636</v>
      </c>
      <c r="B93" s="93" t="s">
        <v>35</v>
      </c>
      <c r="C93" s="94">
        <v>0.95499999999999996</v>
      </c>
      <c r="D93" s="95"/>
      <c r="E93" s="96"/>
      <c r="F93" s="96"/>
      <c r="G93" s="97">
        <v>1045</v>
      </c>
      <c r="H93" s="98">
        <f t="shared" si="0"/>
        <v>47.025000000000091</v>
      </c>
      <c r="I93" s="99">
        <f t="shared" si="1"/>
        <v>2586.375000000005</v>
      </c>
      <c r="J93" s="100">
        <f t="shared" si="3"/>
        <v>52.25</v>
      </c>
      <c r="K93" s="101">
        <f t="shared" si="2"/>
        <v>5.2249999999999091</v>
      </c>
    </row>
    <row r="94" spans="1:11" ht="12.75" x14ac:dyDescent="0.2">
      <c r="A94" s="92">
        <v>45637</v>
      </c>
      <c r="B94" s="93" t="s">
        <v>37</v>
      </c>
      <c r="C94" s="94">
        <v>0.95509999999999995</v>
      </c>
      <c r="D94" s="95"/>
      <c r="E94" s="96"/>
      <c r="F94" s="96"/>
      <c r="G94" s="97">
        <v>1046</v>
      </c>
      <c r="H94" s="98">
        <f t="shared" si="0"/>
        <v>46.965400000000045</v>
      </c>
      <c r="I94" s="99">
        <f t="shared" si="1"/>
        <v>2583.0970000000025</v>
      </c>
      <c r="J94" s="100">
        <f t="shared" si="3"/>
        <v>52.300000000000068</v>
      </c>
      <c r="K94" s="101">
        <f t="shared" si="2"/>
        <v>5.3346000000000231</v>
      </c>
    </row>
    <row r="95" spans="1:11" ht="12.75" x14ac:dyDescent="0.2">
      <c r="A95" s="92">
        <v>45638</v>
      </c>
      <c r="B95" s="93" t="s">
        <v>39</v>
      </c>
      <c r="C95" s="94">
        <v>0.94259999999999999</v>
      </c>
      <c r="D95" s="95"/>
      <c r="E95" s="96"/>
      <c r="F95" s="96"/>
      <c r="G95" s="97">
        <v>1046</v>
      </c>
      <c r="H95" s="98">
        <f t="shared" si="0"/>
        <v>60.040399999999977</v>
      </c>
      <c r="I95" s="99">
        <f t="shared" si="1"/>
        <v>3302.2219999999988</v>
      </c>
      <c r="J95" s="100">
        <f t="shared" si="3"/>
        <v>52.300000000000068</v>
      </c>
      <c r="K95" s="101">
        <f t="shared" si="2"/>
        <v>-7.7403999999999087</v>
      </c>
    </row>
    <row r="96" spans="1:11" ht="12.75" x14ac:dyDescent="0.2">
      <c r="A96" s="92">
        <v>45639</v>
      </c>
      <c r="B96" s="93" t="s">
        <v>41</v>
      </c>
      <c r="C96" s="94">
        <v>0.91800000000000004</v>
      </c>
      <c r="D96" s="95"/>
      <c r="E96" s="96"/>
      <c r="F96" s="96"/>
      <c r="G96" s="97">
        <v>1046</v>
      </c>
      <c r="H96" s="98">
        <f t="shared" si="0"/>
        <v>85.771999999999935</v>
      </c>
      <c r="I96" s="99">
        <f t="shared" si="1"/>
        <v>4717.4599999999964</v>
      </c>
      <c r="J96" s="100">
        <f t="shared" si="3"/>
        <v>52.300000000000068</v>
      </c>
      <c r="K96" s="101">
        <f t="shared" si="2"/>
        <v>-33.471999999999866</v>
      </c>
    </row>
    <row r="97" spans="1:11" ht="12.75" x14ac:dyDescent="0.2">
      <c r="A97" s="92">
        <v>45642</v>
      </c>
      <c r="B97" s="93" t="s">
        <v>33</v>
      </c>
      <c r="C97" s="94">
        <v>0.94169999999999998</v>
      </c>
      <c r="D97" s="95"/>
      <c r="E97" s="96"/>
      <c r="F97" s="96" t="s">
        <v>424</v>
      </c>
      <c r="G97" s="97">
        <v>1046</v>
      </c>
      <c r="H97" s="98">
        <f t="shared" si="0"/>
        <v>60.981800000000021</v>
      </c>
      <c r="I97" s="99">
        <f t="shared" si="1"/>
        <v>3353.9990000000012</v>
      </c>
      <c r="J97" s="100">
        <f t="shared" si="3"/>
        <v>52.300000000000068</v>
      </c>
      <c r="K97" s="101">
        <f t="shared" si="2"/>
        <v>-8.6817999999999529</v>
      </c>
    </row>
    <row r="98" spans="1:11" ht="12.75" x14ac:dyDescent="0.2">
      <c r="A98" s="92">
        <v>45643</v>
      </c>
      <c r="B98" s="93" t="s">
        <v>35</v>
      </c>
      <c r="C98" s="94">
        <v>0.95509999999999995</v>
      </c>
      <c r="D98" s="95"/>
      <c r="E98" s="96"/>
      <c r="F98" s="96" t="s">
        <v>425</v>
      </c>
      <c r="G98" s="97">
        <v>1046</v>
      </c>
      <c r="H98" s="98">
        <f t="shared" si="0"/>
        <v>46.965400000000045</v>
      </c>
      <c r="I98" s="99">
        <f t="shared" si="1"/>
        <v>2583.0970000000025</v>
      </c>
      <c r="J98" s="100">
        <f t="shared" si="3"/>
        <v>52.300000000000068</v>
      </c>
      <c r="K98" s="101">
        <f t="shared" si="2"/>
        <v>5.3346000000000231</v>
      </c>
    </row>
    <row r="99" spans="1:11" ht="12.75" x14ac:dyDescent="0.2">
      <c r="A99" s="92">
        <v>45644</v>
      </c>
      <c r="B99" s="93" t="s">
        <v>37</v>
      </c>
      <c r="C99" s="94">
        <v>0.95599999999999996</v>
      </c>
      <c r="D99" s="95"/>
      <c r="E99" s="96"/>
      <c r="F99" s="96"/>
      <c r="G99" s="97">
        <v>1046</v>
      </c>
      <c r="H99" s="98">
        <f t="shared" si="0"/>
        <v>46.024000000000001</v>
      </c>
      <c r="I99" s="99">
        <f t="shared" si="1"/>
        <v>2531.3200000000002</v>
      </c>
      <c r="J99" s="100">
        <f t="shared" si="3"/>
        <v>52.300000000000068</v>
      </c>
      <c r="K99" s="101">
        <f t="shared" si="2"/>
        <v>6.2760000000000673</v>
      </c>
    </row>
    <row r="100" spans="1:11" ht="12.75" x14ac:dyDescent="0.2">
      <c r="A100" s="92">
        <v>45645</v>
      </c>
      <c r="B100" s="93" t="s">
        <v>39</v>
      </c>
      <c r="C100" s="94">
        <v>0.95220000000000005</v>
      </c>
      <c r="D100" s="95"/>
      <c r="E100" s="96"/>
      <c r="F100" s="96"/>
      <c r="G100" s="97">
        <v>1046</v>
      </c>
      <c r="H100" s="98">
        <f t="shared" si="0"/>
        <v>49.99879999999996</v>
      </c>
      <c r="I100" s="99">
        <f t="shared" si="1"/>
        <v>2749.9339999999979</v>
      </c>
      <c r="J100" s="100">
        <f t="shared" si="3"/>
        <v>52.300000000000068</v>
      </c>
      <c r="K100" s="101">
        <f t="shared" si="2"/>
        <v>2.301200000000108</v>
      </c>
    </row>
    <row r="101" spans="1:11" ht="25.5" x14ac:dyDescent="0.2">
      <c r="A101" s="92">
        <v>45646</v>
      </c>
      <c r="B101" s="93" t="s">
        <v>41</v>
      </c>
      <c r="C101" s="94">
        <v>0.86990000000000001</v>
      </c>
      <c r="D101" s="95" t="s">
        <v>278</v>
      </c>
      <c r="E101" s="96" t="s">
        <v>426</v>
      </c>
      <c r="F101" s="96" t="s">
        <v>427</v>
      </c>
      <c r="G101" s="97">
        <v>1045</v>
      </c>
      <c r="H101" s="98">
        <f t="shared" si="0"/>
        <v>135.95449999999994</v>
      </c>
      <c r="I101" s="99">
        <f t="shared" si="1"/>
        <v>7477.4974999999968</v>
      </c>
      <c r="J101" s="100">
        <f t="shared" si="3"/>
        <v>52.25</v>
      </c>
      <c r="K101" s="101">
        <f t="shared" si="2"/>
        <v>-83.704499999999939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0"/>
        <v>0</v>
      </c>
      <c r="I102" s="99">
        <f t="shared" si="1"/>
        <v>0</v>
      </c>
      <c r="J102" s="100">
        <f t="shared" si="3"/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0"/>
        <v>0</v>
      </c>
      <c r="I103" s="99">
        <f t="shared" si="1"/>
        <v>0</v>
      </c>
      <c r="J103" s="100">
        <f t="shared" si="3"/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0"/>
        <v>0</v>
      </c>
      <c r="I104" s="99">
        <f t="shared" si="1"/>
        <v>0</v>
      </c>
      <c r="J104" s="100">
        <f t="shared" si="3"/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0"/>
        <v>0</v>
      </c>
      <c r="I105" s="99">
        <f t="shared" si="1"/>
        <v>0</v>
      </c>
      <c r="J105" s="100">
        <f t="shared" si="3"/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0"/>
        <v>0</v>
      </c>
      <c r="I106" s="99">
        <f t="shared" si="1"/>
        <v>0</v>
      </c>
      <c r="J106" s="100">
        <f t="shared" si="3"/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0"/>
        <v>0</v>
      </c>
      <c r="I107" s="99">
        <f t="shared" si="1"/>
        <v>0</v>
      </c>
      <c r="J107" s="100">
        <f t="shared" si="3"/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0"/>
        <v>0</v>
      </c>
      <c r="I108" s="99">
        <f t="shared" si="1"/>
        <v>0</v>
      </c>
      <c r="J108" s="100">
        <f t="shared" si="3"/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0"/>
        <v>0</v>
      </c>
      <c r="I109" s="99">
        <f t="shared" si="1"/>
        <v>0</v>
      </c>
      <c r="J109" s="100">
        <f t="shared" si="3"/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0"/>
        <v>0</v>
      </c>
      <c r="I110" s="99">
        <f t="shared" si="1"/>
        <v>0</v>
      </c>
      <c r="J110" s="100">
        <f t="shared" si="3"/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0"/>
        <v>0</v>
      </c>
      <c r="I111" s="99">
        <f t="shared" si="1"/>
        <v>0</v>
      </c>
      <c r="J111" s="100">
        <f t="shared" si="3"/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0"/>
        <v>0</v>
      </c>
      <c r="I112" s="99">
        <f t="shared" si="1"/>
        <v>0</v>
      </c>
      <c r="J112" s="100">
        <f t="shared" si="3"/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0"/>
        <v>0</v>
      </c>
      <c r="I113" s="99">
        <f t="shared" si="1"/>
        <v>0</v>
      </c>
      <c r="J113" s="100">
        <f t="shared" si="3"/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0.93230000000000002</v>
      </c>
      <c r="D114" s="95"/>
      <c r="E114" s="96"/>
      <c r="F114" s="96" t="s">
        <v>428</v>
      </c>
      <c r="G114" s="97">
        <v>1045</v>
      </c>
      <c r="H114" s="98">
        <f t="shared" si="0"/>
        <v>70.746499999999969</v>
      </c>
      <c r="I114" s="99">
        <f t="shared" si="1"/>
        <v>3891.0574999999981</v>
      </c>
      <c r="J114" s="100">
        <f t="shared" si="3"/>
        <v>52.25</v>
      </c>
      <c r="K114" s="101">
        <f t="shared" si="2"/>
        <v>-18.496499999999969</v>
      </c>
    </row>
    <row r="115" spans="1:11" ht="12.75" x14ac:dyDescent="0.2">
      <c r="A115" s="92">
        <v>45666</v>
      </c>
      <c r="B115" s="93" t="s">
        <v>39</v>
      </c>
      <c r="C115" s="94">
        <v>0.90620000000000001</v>
      </c>
      <c r="D115" s="95"/>
      <c r="E115" s="96"/>
      <c r="F115" s="96" t="s">
        <v>412</v>
      </c>
      <c r="G115" s="97">
        <v>1046</v>
      </c>
      <c r="H115" s="98">
        <f t="shared" si="0"/>
        <v>98.114799999999946</v>
      </c>
      <c r="I115" s="99">
        <f t="shared" si="1"/>
        <v>5396.3139999999967</v>
      </c>
      <c r="J115" s="100">
        <f t="shared" si="3"/>
        <v>52.300000000000068</v>
      </c>
      <c r="K115" s="101">
        <f t="shared" si="2"/>
        <v>-45.814799999999877</v>
      </c>
    </row>
    <row r="116" spans="1:11" ht="25.5" x14ac:dyDescent="0.2">
      <c r="A116" s="92">
        <v>45667</v>
      </c>
      <c r="B116" s="93" t="s">
        <v>41</v>
      </c>
      <c r="C116" s="94">
        <v>0.88970000000000005</v>
      </c>
      <c r="D116" s="95" t="s">
        <v>278</v>
      </c>
      <c r="E116" s="96" t="s">
        <v>246</v>
      </c>
      <c r="F116" s="96" t="s">
        <v>429</v>
      </c>
      <c r="G116" s="97">
        <v>1043</v>
      </c>
      <c r="H116" s="98">
        <f t="shared" si="0"/>
        <v>115.04289999999992</v>
      </c>
      <c r="I116" s="99">
        <f t="shared" si="1"/>
        <v>6327.359499999995</v>
      </c>
      <c r="J116" s="100">
        <f t="shared" si="3"/>
        <v>52.150000000000091</v>
      </c>
      <c r="K116" s="101">
        <f t="shared" si="2"/>
        <v>-62.892899999999827</v>
      </c>
    </row>
    <row r="117" spans="1:11" ht="12.75" x14ac:dyDescent="0.2">
      <c r="A117" s="92">
        <v>45670</v>
      </c>
      <c r="B117" s="93" t="s">
        <v>33</v>
      </c>
      <c r="C117" s="94">
        <v>0.94820000000000004</v>
      </c>
      <c r="D117" s="95"/>
      <c r="E117" s="96"/>
      <c r="F117" s="96"/>
      <c r="G117" s="97">
        <v>1042</v>
      </c>
      <c r="H117" s="98">
        <f t="shared" si="0"/>
        <v>53.975599999999986</v>
      </c>
      <c r="I117" s="99">
        <f t="shared" si="1"/>
        <v>2968.6579999999994</v>
      </c>
      <c r="J117" s="100">
        <f t="shared" si="3"/>
        <v>52.100000000000023</v>
      </c>
      <c r="K117" s="101">
        <f t="shared" si="2"/>
        <v>-1.8755999999999631</v>
      </c>
    </row>
    <row r="118" spans="1:11" ht="12.75" x14ac:dyDescent="0.2">
      <c r="A118" s="92">
        <v>45671</v>
      </c>
      <c r="B118" s="93" t="s">
        <v>35</v>
      </c>
      <c r="C118" s="94">
        <v>0.95299999999999996</v>
      </c>
      <c r="D118" s="95"/>
      <c r="E118" s="96"/>
      <c r="F118" s="96"/>
      <c r="G118" s="97">
        <v>1043</v>
      </c>
      <c r="H118" s="98">
        <f t="shared" si="0"/>
        <v>49.021000000000072</v>
      </c>
      <c r="I118" s="99">
        <f t="shared" si="1"/>
        <v>2696.1550000000038</v>
      </c>
      <c r="J118" s="100">
        <f t="shared" si="3"/>
        <v>52.150000000000091</v>
      </c>
      <c r="K118" s="101">
        <f t="shared" si="2"/>
        <v>3.1290000000000191</v>
      </c>
    </row>
    <row r="119" spans="1:11" ht="12.75" x14ac:dyDescent="0.2">
      <c r="A119" s="92">
        <v>45672</v>
      </c>
      <c r="B119" s="93" t="s">
        <v>37</v>
      </c>
      <c r="C119" s="94">
        <v>0.95109999999999995</v>
      </c>
      <c r="D119" s="95"/>
      <c r="E119" s="96"/>
      <c r="F119" s="96"/>
      <c r="G119" s="97">
        <v>1044</v>
      </c>
      <c r="H119" s="98">
        <f t="shared" si="0"/>
        <v>51.051600000000008</v>
      </c>
      <c r="I119" s="99">
        <f t="shared" si="1"/>
        <v>2807.8380000000006</v>
      </c>
      <c r="J119" s="100">
        <f t="shared" si="3"/>
        <v>52.200000000000045</v>
      </c>
      <c r="K119" s="101">
        <f t="shared" si="2"/>
        <v>1.1484000000000378</v>
      </c>
    </row>
    <row r="120" spans="1:11" ht="12.75" x14ac:dyDescent="0.2">
      <c r="A120" s="92">
        <v>45673</v>
      </c>
      <c r="B120" s="93" t="s">
        <v>39</v>
      </c>
      <c r="C120" s="94">
        <v>0.96260000000000001</v>
      </c>
      <c r="D120" s="95"/>
      <c r="E120" s="96"/>
      <c r="F120" s="96"/>
      <c r="G120" s="97">
        <v>1044</v>
      </c>
      <c r="H120" s="98">
        <f t="shared" si="0"/>
        <v>39.045600000000036</v>
      </c>
      <c r="I120" s="99">
        <f t="shared" si="1"/>
        <v>2147.5080000000021</v>
      </c>
      <c r="J120" s="100">
        <f t="shared" si="3"/>
        <v>52.200000000000045</v>
      </c>
      <c r="K120" s="101">
        <f t="shared" si="2"/>
        <v>13.15440000000001</v>
      </c>
    </row>
    <row r="121" spans="1:11" ht="12.75" x14ac:dyDescent="0.2">
      <c r="A121" s="92">
        <v>45674</v>
      </c>
      <c r="B121" s="93" t="s">
        <v>41</v>
      </c>
      <c r="C121" s="94">
        <v>0.91849999999999998</v>
      </c>
      <c r="D121" s="95"/>
      <c r="E121" s="96"/>
      <c r="F121" s="96"/>
      <c r="G121" s="97">
        <v>1043</v>
      </c>
      <c r="H121" s="98">
        <f t="shared" si="0"/>
        <v>85.004500000000007</v>
      </c>
      <c r="I121" s="99">
        <f t="shared" si="1"/>
        <v>4675.2475000000004</v>
      </c>
      <c r="J121" s="100">
        <f t="shared" si="3"/>
        <v>52.150000000000091</v>
      </c>
      <c r="K121" s="101">
        <f t="shared" si="2"/>
        <v>-32.854499999999916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0"/>
        <v>0</v>
      </c>
      <c r="I122" s="99">
        <f t="shared" si="1"/>
        <v>0</v>
      </c>
      <c r="J122" s="100">
        <f t="shared" si="3"/>
        <v>0</v>
      </c>
      <c r="K122" s="101">
        <f t="shared" si="2"/>
        <v>0</v>
      </c>
    </row>
    <row r="123" spans="1:11" ht="12.75" x14ac:dyDescent="0.2">
      <c r="A123" s="92">
        <v>45678</v>
      </c>
      <c r="B123" s="93" t="s">
        <v>35</v>
      </c>
      <c r="C123" s="94"/>
      <c r="D123" s="95"/>
      <c r="E123" s="96"/>
      <c r="F123" s="96" t="s">
        <v>430</v>
      </c>
      <c r="H123" s="98">
        <f t="shared" si="0"/>
        <v>0</v>
      </c>
      <c r="I123" s="99">
        <f t="shared" si="1"/>
        <v>0</v>
      </c>
      <c r="J123" s="100">
        <f t="shared" si="3"/>
        <v>0</v>
      </c>
      <c r="K123" s="101">
        <f t="shared" si="2"/>
        <v>0</v>
      </c>
    </row>
    <row r="124" spans="1:11" ht="12.75" x14ac:dyDescent="0.2">
      <c r="A124" s="92">
        <v>45679</v>
      </c>
      <c r="B124" s="93" t="s">
        <v>37</v>
      </c>
      <c r="C124" s="94"/>
      <c r="D124" s="95"/>
      <c r="E124" s="96"/>
      <c r="F124" s="96" t="s">
        <v>430</v>
      </c>
      <c r="H124" s="98">
        <f t="shared" si="0"/>
        <v>0</v>
      </c>
      <c r="I124" s="99">
        <f t="shared" si="1"/>
        <v>0</v>
      </c>
      <c r="J124" s="100">
        <f t="shared" si="3"/>
        <v>0</v>
      </c>
      <c r="K124" s="101">
        <f t="shared" si="2"/>
        <v>0</v>
      </c>
    </row>
    <row r="125" spans="1:11" ht="12.75" x14ac:dyDescent="0.2">
      <c r="A125" s="92">
        <v>45680</v>
      </c>
      <c r="B125" s="93" t="s">
        <v>39</v>
      </c>
      <c r="C125" s="94">
        <v>0.8861</v>
      </c>
      <c r="D125" s="95" t="s">
        <v>227</v>
      </c>
      <c r="E125" s="96" t="s">
        <v>246</v>
      </c>
      <c r="F125" s="96" t="s">
        <v>431</v>
      </c>
      <c r="G125" s="97">
        <v>1045</v>
      </c>
      <c r="H125" s="98">
        <f t="shared" si="0"/>
        <v>119.02549999999997</v>
      </c>
      <c r="I125" s="99">
        <f t="shared" si="1"/>
        <v>6546.4024999999983</v>
      </c>
      <c r="J125" s="100">
        <f t="shared" si="3"/>
        <v>52.25</v>
      </c>
      <c r="K125" s="101">
        <f t="shared" si="2"/>
        <v>-66.775499999999965</v>
      </c>
    </row>
    <row r="126" spans="1:11" ht="12.75" x14ac:dyDescent="0.2">
      <c r="A126" s="92">
        <v>45681</v>
      </c>
      <c r="B126" s="93" t="s">
        <v>41</v>
      </c>
      <c r="C126" s="94">
        <v>0.91279999999999994</v>
      </c>
      <c r="D126" s="95"/>
      <c r="E126" s="96"/>
      <c r="F126" s="96"/>
      <c r="G126" s="97">
        <v>1045</v>
      </c>
      <c r="H126" s="98">
        <f t="shared" si="0"/>
        <v>91.124000000000024</v>
      </c>
      <c r="I126" s="99">
        <f t="shared" si="1"/>
        <v>5011.8200000000015</v>
      </c>
      <c r="J126" s="100">
        <f t="shared" si="3"/>
        <v>52.25</v>
      </c>
      <c r="K126" s="101">
        <f t="shared" si="2"/>
        <v>-38.874000000000024</v>
      </c>
    </row>
    <row r="127" spans="1:11" ht="12.75" x14ac:dyDescent="0.2">
      <c r="A127" s="92">
        <v>45684</v>
      </c>
      <c r="B127" s="93" t="s">
        <v>33</v>
      </c>
      <c r="C127" s="94">
        <v>0.95779999999999998</v>
      </c>
      <c r="D127" s="95"/>
      <c r="E127" s="96"/>
      <c r="F127" s="96"/>
      <c r="G127" s="97">
        <v>1042</v>
      </c>
      <c r="H127" s="98">
        <f t="shared" si="0"/>
        <v>43.972399999999993</v>
      </c>
      <c r="I127" s="99">
        <f t="shared" si="1"/>
        <v>2418.4819999999995</v>
      </c>
      <c r="J127" s="100">
        <f t="shared" si="3"/>
        <v>52.100000000000023</v>
      </c>
      <c r="K127" s="101">
        <f t="shared" si="2"/>
        <v>8.1276000000000295</v>
      </c>
    </row>
    <row r="128" spans="1:11" ht="12.75" x14ac:dyDescent="0.2">
      <c r="A128" s="92">
        <v>45685</v>
      </c>
      <c r="B128" s="93" t="s">
        <v>35</v>
      </c>
      <c r="C128" s="94">
        <v>0.9607</v>
      </c>
      <c r="D128" s="95"/>
      <c r="E128" s="96"/>
      <c r="F128" s="96" t="s">
        <v>432</v>
      </c>
      <c r="G128" s="97">
        <v>1042</v>
      </c>
      <c r="H128" s="98">
        <f t="shared" si="0"/>
        <v>40.950600000000009</v>
      </c>
      <c r="I128" s="99">
        <f t="shared" si="1"/>
        <v>2252.2830000000004</v>
      </c>
      <c r="J128" s="100">
        <f t="shared" si="3"/>
        <v>52.100000000000023</v>
      </c>
      <c r="K128" s="101">
        <f t="shared" si="2"/>
        <v>11.149400000000014</v>
      </c>
    </row>
    <row r="129" spans="1:11" ht="12.75" x14ac:dyDescent="0.2">
      <c r="A129" s="92">
        <v>45686</v>
      </c>
      <c r="B129" s="93" t="s">
        <v>37</v>
      </c>
      <c r="C129" s="94">
        <v>0.95399999999999996</v>
      </c>
      <c r="D129" s="95"/>
      <c r="E129" s="96"/>
      <c r="F129" s="96"/>
      <c r="G129" s="97">
        <v>1043</v>
      </c>
      <c r="H129" s="98">
        <f t="shared" si="0"/>
        <v>47.978000000000065</v>
      </c>
      <c r="I129" s="99">
        <f t="shared" si="1"/>
        <v>2638.7900000000036</v>
      </c>
      <c r="J129" s="100">
        <f t="shared" si="3"/>
        <v>52.150000000000091</v>
      </c>
      <c r="K129" s="101">
        <f t="shared" si="2"/>
        <v>4.1720000000000255</v>
      </c>
    </row>
    <row r="130" spans="1:11" ht="25.5" x14ac:dyDescent="0.2">
      <c r="A130" s="92">
        <v>45687</v>
      </c>
      <c r="B130" s="93" t="s">
        <v>39</v>
      </c>
      <c r="C130" s="94">
        <v>0.94159999999999999</v>
      </c>
      <c r="D130" s="95"/>
      <c r="E130" s="96"/>
      <c r="F130" s="96" t="s">
        <v>433</v>
      </c>
      <c r="G130" s="97">
        <v>1044</v>
      </c>
      <c r="H130" s="98">
        <f t="shared" si="0"/>
        <v>60.969600000000014</v>
      </c>
      <c r="I130" s="99">
        <f t="shared" si="1"/>
        <v>3353.3280000000009</v>
      </c>
      <c r="J130" s="100">
        <f t="shared" si="3"/>
        <v>52.200000000000045</v>
      </c>
      <c r="K130" s="101">
        <f t="shared" si="2"/>
        <v>-8.7695999999999685</v>
      </c>
    </row>
    <row r="131" spans="1:11" ht="12.75" x14ac:dyDescent="0.2">
      <c r="A131" s="92">
        <v>45688</v>
      </c>
      <c r="B131" s="93" t="s">
        <v>41</v>
      </c>
      <c r="C131" s="94">
        <v>0.94059999999999999</v>
      </c>
      <c r="D131" s="95"/>
      <c r="E131" s="96"/>
      <c r="F131" s="96"/>
      <c r="G131" s="97">
        <v>1043</v>
      </c>
      <c r="H131" s="98">
        <f t="shared" si="0"/>
        <v>61.954200000000014</v>
      </c>
      <c r="I131" s="99">
        <f t="shared" si="1"/>
        <v>3407.4810000000007</v>
      </c>
      <c r="J131" s="100">
        <f t="shared" si="3"/>
        <v>52.150000000000091</v>
      </c>
      <c r="K131" s="101">
        <f t="shared" si="2"/>
        <v>-9.8041999999999234</v>
      </c>
    </row>
    <row r="132" spans="1:11" ht="12.75" x14ac:dyDescent="0.2">
      <c r="A132" s="92">
        <v>45691</v>
      </c>
      <c r="B132" s="93" t="s">
        <v>33</v>
      </c>
      <c r="C132" s="94">
        <v>0.79020000000000001</v>
      </c>
      <c r="D132" s="95" t="s">
        <v>232</v>
      </c>
      <c r="E132" s="96" t="s">
        <v>233</v>
      </c>
      <c r="F132" s="96" t="s">
        <v>434</v>
      </c>
      <c r="G132" s="97">
        <v>1039</v>
      </c>
      <c r="H132" s="98">
        <f t="shared" si="0"/>
        <v>217.98220000000003</v>
      </c>
      <c r="I132" s="99">
        <f t="shared" si="1"/>
        <v>11989.021000000002</v>
      </c>
      <c r="J132" s="100">
        <f t="shared" si="3"/>
        <v>51.950000000000045</v>
      </c>
      <c r="K132" s="101">
        <f t="shared" si="2"/>
        <v>-166.03219999999999</v>
      </c>
    </row>
    <row r="133" spans="1:11" ht="12.75" x14ac:dyDescent="0.2">
      <c r="A133" s="92">
        <v>45692</v>
      </c>
      <c r="B133" s="93" t="s">
        <v>35</v>
      </c>
      <c r="C133" s="94">
        <v>0.95379999999999998</v>
      </c>
      <c r="D133" s="95"/>
      <c r="E133" s="96"/>
      <c r="F133" s="96" t="s">
        <v>435</v>
      </c>
      <c r="G133" s="97">
        <v>1039</v>
      </c>
      <c r="H133" s="98">
        <f t="shared" si="0"/>
        <v>48.001800000000003</v>
      </c>
      <c r="I133" s="99">
        <f t="shared" si="1"/>
        <v>2640.0990000000002</v>
      </c>
      <c r="J133" s="100">
        <f t="shared" si="3"/>
        <v>51.950000000000045</v>
      </c>
      <c r="K133" s="101">
        <f t="shared" si="2"/>
        <v>3.9482000000000426</v>
      </c>
    </row>
    <row r="134" spans="1:11" ht="12.75" x14ac:dyDescent="0.2">
      <c r="A134" s="92">
        <v>45693</v>
      </c>
      <c r="B134" s="93" t="s">
        <v>37</v>
      </c>
      <c r="C134" s="94">
        <v>0.95950000000000002</v>
      </c>
      <c r="D134" s="95"/>
      <c r="E134" s="96"/>
      <c r="F134" s="96" t="s">
        <v>436</v>
      </c>
      <c r="G134" s="97">
        <v>1039</v>
      </c>
      <c r="H134" s="98">
        <f t="shared" si="0"/>
        <v>42.079499999999939</v>
      </c>
      <c r="I134" s="99">
        <f t="shared" si="1"/>
        <v>2314.3724999999968</v>
      </c>
      <c r="J134" s="100">
        <f t="shared" si="3"/>
        <v>51.950000000000045</v>
      </c>
      <c r="K134" s="101">
        <f t="shared" si="2"/>
        <v>9.8705000000001064</v>
      </c>
    </row>
    <row r="135" spans="1:11" ht="12.75" x14ac:dyDescent="0.2">
      <c r="A135" s="92">
        <v>45694</v>
      </c>
      <c r="B135" s="93" t="s">
        <v>39</v>
      </c>
      <c r="C135" s="94">
        <v>0.95950000000000002</v>
      </c>
      <c r="D135" s="95"/>
      <c r="E135" s="96"/>
      <c r="F135" s="96"/>
      <c r="G135" s="97">
        <v>1037</v>
      </c>
      <c r="H135" s="98">
        <f t="shared" si="0"/>
        <v>41.998500000000035</v>
      </c>
      <c r="I135" s="99">
        <f t="shared" si="1"/>
        <v>2309.9175000000018</v>
      </c>
      <c r="J135" s="100">
        <f t="shared" si="3"/>
        <v>51.850000000000023</v>
      </c>
      <c r="K135" s="101">
        <f t="shared" si="2"/>
        <v>9.8514999999999873</v>
      </c>
    </row>
    <row r="136" spans="1:11" ht="12.75" x14ac:dyDescent="0.2">
      <c r="A136" s="92">
        <v>45695</v>
      </c>
      <c r="B136" s="93" t="s">
        <v>41</v>
      </c>
      <c r="C136" s="94">
        <v>0.91510000000000002</v>
      </c>
      <c r="D136" s="95"/>
      <c r="E136" s="96"/>
      <c r="F136" s="96"/>
      <c r="G136" s="97">
        <v>1037</v>
      </c>
      <c r="H136" s="98">
        <f t="shared" si="0"/>
        <v>88.041299999999978</v>
      </c>
      <c r="I136" s="99">
        <f t="shared" si="1"/>
        <v>4842.2714999999989</v>
      </c>
      <c r="J136" s="100">
        <f t="shared" si="3"/>
        <v>51.850000000000023</v>
      </c>
      <c r="K136" s="101">
        <f t="shared" si="2"/>
        <v>-36.191299999999956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0"/>
        <v>0</v>
      </c>
      <c r="I137" s="99">
        <f t="shared" si="1"/>
        <v>0</v>
      </c>
      <c r="J137" s="100">
        <f t="shared" si="3"/>
        <v>0</v>
      </c>
      <c r="K137" s="101">
        <f t="shared" si="2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0"/>
        <v>0</v>
      </c>
      <c r="I138" s="99">
        <f t="shared" si="1"/>
        <v>0</v>
      </c>
      <c r="J138" s="100">
        <f t="shared" si="3"/>
        <v>0</v>
      </c>
      <c r="K138" s="101">
        <f t="shared" si="2"/>
        <v>0</v>
      </c>
    </row>
    <row r="139" spans="1:11" ht="12.75" x14ac:dyDescent="0.2">
      <c r="A139" s="92">
        <v>45700</v>
      </c>
      <c r="B139" s="93" t="s">
        <v>37</v>
      </c>
      <c r="C139" s="94">
        <v>0.95660000000000001</v>
      </c>
      <c r="D139" s="95"/>
      <c r="E139" s="96"/>
      <c r="F139" s="96"/>
      <c r="G139" s="97">
        <v>1036</v>
      </c>
      <c r="H139" s="98">
        <f t="shared" si="0"/>
        <v>44.962400000000002</v>
      </c>
      <c r="I139" s="99">
        <f t="shared" si="1"/>
        <v>2472.9320000000002</v>
      </c>
      <c r="J139" s="100">
        <f t="shared" si="3"/>
        <v>51.800000000000068</v>
      </c>
      <c r="K139" s="101">
        <f t="shared" si="2"/>
        <v>6.8376000000000658</v>
      </c>
    </row>
    <row r="140" spans="1:11" ht="12.75" x14ac:dyDescent="0.2">
      <c r="A140" s="92">
        <v>45701</v>
      </c>
      <c r="B140" s="93" t="s">
        <v>39</v>
      </c>
      <c r="C140" s="94">
        <v>0.94689999999999996</v>
      </c>
      <c r="D140" s="95"/>
      <c r="E140" s="96"/>
      <c r="F140" s="96" t="s">
        <v>437</v>
      </c>
      <c r="G140" s="97">
        <v>1036</v>
      </c>
      <c r="H140" s="98">
        <f t="shared" si="0"/>
        <v>55.011600000000044</v>
      </c>
      <c r="I140" s="99">
        <f t="shared" si="1"/>
        <v>3025.6380000000026</v>
      </c>
      <c r="J140" s="100">
        <f t="shared" si="3"/>
        <v>51.800000000000068</v>
      </c>
      <c r="K140" s="101">
        <f t="shared" si="2"/>
        <v>-3.2115999999999758</v>
      </c>
    </row>
    <row r="141" spans="1:11" ht="38.25" x14ac:dyDescent="0.2">
      <c r="A141" s="92">
        <v>45702</v>
      </c>
      <c r="B141" s="93" t="s">
        <v>41</v>
      </c>
      <c r="C141" s="94">
        <v>0.9163</v>
      </c>
      <c r="D141" s="95"/>
      <c r="E141" s="96"/>
      <c r="F141" s="96" t="s">
        <v>438</v>
      </c>
      <c r="G141" s="97">
        <v>1039</v>
      </c>
      <c r="H141" s="98">
        <f t="shared" si="0"/>
        <v>86.96429999999998</v>
      </c>
      <c r="I141" s="99">
        <f t="shared" si="1"/>
        <v>4783.0364999999993</v>
      </c>
      <c r="J141" s="100">
        <f t="shared" si="3"/>
        <v>51.950000000000045</v>
      </c>
      <c r="K141" s="101">
        <f t="shared" si="2"/>
        <v>-35.014299999999935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0"/>
        <v>0</v>
      </c>
      <c r="I142" s="99">
        <f t="shared" si="1"/>
        <v>0</v>
      </c>
      <c r="J142" s="100">
        <f t="shared" si="3"/>
        <v>0</v>
      </c>
      <c r="K142" s="101">
        <f t="shared" si="2"/>
        <v>0</v>
      </c>
    </row>
    <row r="143" spans="1:11" ht="25.5" x14ac:dyDescent="0.2">
      <c r="A143" s="92">
        <v>45706</v>
      </c>
      <c r="B143" s="93" t="s">
        <v>35</v>
      </c>
      <c r="C143" s="94">
        <v>0.94899999999999995</v>
      </c>
      <c r="D143" s="95"/>
      <c r="E143" s="96"/>
      <c r="F143" s="96" t="s">
        <v>439</v>
      </c>
      <c r="G143" s="97">
        <v>1040</v>
      </c>
      <c r="H143" s="98">
        <f t="shared" si="0"/>
        <v>53.040000000000077</v>
      </c>
      <c r="I143" s="99">
        <f t="shared" si="1"/>
        <v>2917.2000000000044</v>
      </c>
      <c r="J143" s="100">
        <f t="shared" si="3"/>
        <v>52</v>
      </c>
      <c r="K143" s="101">
        <f t="shared" si="2"/>
        <v>-1.0400000000000773</v>
      </c>
    </row>
    <row r="144" spans="1:11" ht="12.75" x14ac:dyDescent="0.2">
      <c r="A144" s="92">
        <v>45707</v>
      </c>
      <c r="B144" s="93" t="s">
        <v>37</v>
      </c>
      <c r="C144" s="94">
        <v>0.94330000000000003</v>
      </c>
      <c r="D144" s="95"/>
      <c r="E144" s="96"/>
      <c r="F144" s="96" t="s">
        <v>440</v>
      </c>
      <c r="G144" s="97">
        <v>1040</v>
      </c>
      <c r="H144" s="98">
        <f t="shared" si="0"/>
        <v>58.967999999999961</v>
      </c>
      <c r="I144" s="99">
        <f t="shared" si="1"/>
        <v>3243.239999999998</v>
      </c>
      <c r="J144" s="100">
        <f t="shared" si="3"/>
        <v>52</v>
      </c>
      <c r="K144" s="101">
        <f t="shared" si="2"/>
        <v>-6.9679999999999609</v>
      </c>
    </row>
    <row r="145" spans="1:11" ht="38.25" x14ac:dyDescent="0.2">
      <c r="A145" s="92">
        <v>45708</v>
      </c>
      <c r="B145" s="93" t="s">
        <v>39</v>
      </c>
      <c r="C145" s="94">
        <v>0.88160000000000005</v>
      </c>
      <c r="D145" s="95"/>
      <c r="E145" s="96"/>
      <c r="F145" s="96" t="s">
        <v>441</v>
      </c>
      <c r="G145" s="97">
        <v>1040</v>
      </c>
      <c r="H145" s="98">
        <f t="shared" si="0"/>
        <v>123.13599999999997</v>
      </c>
      <c r="I145" s="99">
        <f t="shared" si="1"/>
        <v>6772.4799999999977</v>
      </c>
      <c r="J145" s="100">
        <f t="shared" si="3"/>
        <v>52</v>
      </c>
      <c r="K145" s="101">
        <f t="shared" si="2"/>
        <v>-71.135999999999967</v>
      </c>
    </row>
    <row r="146" spans="1:11" ht="38.25" x14ac:dyDescent="0.2">
      <c r="A146" s="92">
        <v>45709</v>
      </c>
      <c r="B146" s="93" t="s">
        <v>41</v>
      </c>
      <c r="C146" s="94">
        <v>0.94320000000000004</v>
      </c>
      <c r="D146" s="95"/>
      <c r="E146" s="96"/>
      <c r="F146" s="96" t="s">
        <v>442</v>
      </c>
      <c r="G146" s="97">
        <v>1040</v>
      </c>
      <c r="H146" s="98">
        <f t="shared" si="0"/>
        <v>59.072000000000003</v>
      </c>
      <c r="I146" s="99">
        <f t="shared" si="1"/>
        <v>3248.96</v>
      </c>
      <c r="J146" s="100">
        <f t="shared" si="3"/>
        <v>52</v>
      </c>
      <c r="K146" s="101">
        <f t="shared" si="2"/>
        <v>-7.0720000000000027</v>
      </c>
    </row>
    <row r="147" spans="1:11" ht="25.5" x14ac:dyDescent="0.2">
      <c r="A147" s="92">
        <v>45712</v>
      </c>
      <c r="B147" s="93" t="s">
        <v>33</v>
      </c>
      <c r="C147" s="94">
        <v>0.94320000000000004</v>
      </c>
      <c r="D147" s="95"/>
      <c r="E147" s="96"/>
      <c r="F147" s="96" t="s">
        <v>443</v>
      </c>
      <c r="G147" s="97">
        <v>1039</v>
      </c>
      <c r="H147" s="98">
        <f t="shared" si="0"/>
        <v>59.015199999999936</v>
      </c>
      <c r="I147" s="99">
        <f t="shared" si="1"/>
        <v>3245.8359999999966</v>
      </c>
      <c r="J147" s="100">
        <f t="shared" si="3"/>
        <v>51.950000000000045</v>
      </c>
      <c r="K147" s="101">
        <f t="shared" si="2"/>
        <v>-7.0651999999998907</v>
      </c>
    </row>
    <row r="148" spans="1:11" ht="38.25" x14ac:dyDescent="0.2">
      <c r="A148" s="92">
        <v>45713</v>
      </c>
      <c r="B148" s="93" t="s">
        <v>35</v>
      </c>
      <c r="C148" s="94">
        <v>0.95530000000000004</v>
      </c>
      <c r="D148" s="95"/>
      <c r="E148" s="96"/>
      <c r="F148" s="96" t="s">
        <v>444</v>
      </c>
      <c r="G148" s="97">
        <v>1029</v>
      </c>
      <c r="H148" s="98">
        <f t="shared" si="0"/>
        <v>45.996299999999906</v>
      </c>
      <c r="I148" s="99">
        <f t="shared" si="1"/>
        <v>2529.7964999999949</v>
      </c>
      <c r="J148" s="100">
        <f t="shared" si="3"/>
        <v>51.450000000000045</v>
      </c>
      <c r="K148" s="101">
        <f t="shared" si="2"/>
        <v>5.4537000000001399</v>
      </c>
    </row>
    <row r="149" spans="1:11" ht="38.25" x14ac:dyDescent="0.2">
      <c r="A149" s="92">
        <v>45714</v>
      </c>
      <c r="B149" s="93" t="s">
        <v>37</v>
      </c>
      <c r="C149" s="94">
        <v>0.94359999999999999</v>
      </c>
      <c r="D149" s="95"/>
      <c r="E149" s="96"/>
      <c r="F149" s="96" t="s">
        <v>445</v>
      </c>
      <c r="G149" s="97">
        <v>1028</v>
      </c>
      <c r="H149" s="98">
        <f t="shared" si="0"/>
        <v>57.979199999999992</v>
      </c>
      <c r="I149" s="99">
        <f t="shared" si="1"/>
        <v>3188.8559999999998</v>
      </c>
      <c r="J149" s="100">
        <f t="shared" si="3"/>
        <v>51.400000000000091</v>
      </c>
      <c r="K149" s="101">
        <f t="shared" si="2"/>
        <v>-6.5791999999999007</v>
      </c>
    </row>
    <row r="150" spans="1:11" ht="12.75" x14ac:dyDescent="0.2">
      <c r="A150" s="92">
        <v>45715</v>
      </c>
      <c r="B150" s="93" t="s">
        <v>39</v>
      </c>
      <c r="C150" s="94">
        <v>0.9466</v>
      </c>
      <c r="D150" s="95"/>
      <c r="E150" s="96"/>
      <c r="F150" s="96"/>
      <c r="G150" s="97">
        <v>1029</v>
      </c>
      <c r="H150" s="98">
        <f t="shared" si="0"/>
        <v>54.948600000000056</v>
      </c>
      <c r="I150" s="99">
        <f t="shared" si="1"/>
        <v>3022.173000000003</v>
      </c>
      <c r="J150" s="100">
        <f t="shared" si="3"/>
        <v>51.450000000000045</v>
      </c>
      <c r="K150" s="101">
        <f t="shared" si="2"/>
        <v>-3.4986000000000104</v>
      </c>
    </row>
    <row r="151" spans="1:11" ht="12.75" x14ac:dyDescent="0.2">
      <c r="A151" s="92">
        <v>45716</v>
      </c>
      <c r="B151" s="93" t="s">
        <v>41</v>
      </c>
      <c r="C151" s="94">
        <v>0.93589999999999995</v>
      </c>
      <c r="D151" s="95"/>
      <c r="E151" s="96"/>
      <c r="F151" s="96"/>
      <c r="G151" s="97">
        <v>1030</v>
      </c>
      <c r="H151" s="98">
        <f t="shared" si="0"/>
        <v>66.023000000000025</v>
      </c>
      <c r="I151" s="99">
        <f t="shared" si="1"/>
        <v>3631.2650000000012</v>
      </c>
      <c r="J151" s="100">
        <f t="shared" si="3"/>
        <v>51.5</v>
      </c>
      <c r="K151" s="101">
        <f t="shared" si="2"/>
        <v>-14.523000000000025</v>
      </c>
    </row>
    <row r="152" spans="1:11" ht="12.75" x14ac:dyDescent="0.2">
      <c r="A152" s="92">
        <v>45719</v>
      </c>
      <c r="B152" s="93" t="s">
        <v>33</v>
      </c>
      <c r="C152" s="94">
        <v>0.94169999999999998</v>
      </c>
      <c r="D152" s="95"/>
      <c r="E152" s="96"/>
      <c r="F152" s="96"/>
      <c r="G152" s="97">
        <v>1030</v>
      </c>
      <c r="H152" s="98">
        <f t="shared" si="0"/>
        <v>60.048999999999978</v>
      </c>
      <c r="I152" s="99">
        <f t="shared" si="1"/>
        <v>3302.6949999999988</v>
      </c>
      <c r="J152" s="100">
        <f t="shared" si="3"/>
        <v>51.5</v>
      </c>
      <c r="K152" s="101">
        <f t="shared" si="2"/>
        <v>-8.5489999999999782</v>
      </c>
    </row>
    <row r="153" spans="1:11" ht="12.75" x14ac:dyDescent="0.2">
      <c r="A153" s="92">
        <v>45720</v>
      </c>
      <c r="B153" s="93" t="s">
        <v>35</v>
      </c>
      <c r="C153" s="94">
        <v>0.96009999999999995</v>
      </c>
      <c r="D153" s="95"/>
      <c r="E153" s="96"/>
      <c r="F153" s="96" t="s">
        <v>446</v>
      </c>
      <c r="G153" s="97">
        <v>1028</v>
      </c>
      <c r="H153" s="98">
        <f t="shared" si="0"/>
        <v>41.017200000000003</v>
      </c>
      <c r="I153" s="99">
        <f t="shared" si="1"/>
        <v>2255.9459999999999</v>
      </c>
      <c r="J153" s="100">
        <f t="shared" si="3"/>
        <v>51.400000000000091</v>
      </c>
      <c r="K153" s="101">
        <f t="shared" si="2"/>
        <v>10.382800000000088</v>
      </c>
    </row>
    <row r="154" spans="1:11" ht="12.75" x14ac:dyDescent="0.2">
      <c r="A154" s="92">
        <v>45721</v>
      </c>
      <c r="B154" s="93" t="s">
        <v>37</v>
      </c>
      <c r="C154" s="94">
        <v>0.95430000000000004</v>
      </c>
      <c r="D154" s="95"/>
      <c r="E154" s="96"/>
      <c r="F154" s="96" t="s">
        <v>447</v>
      </c>
      <c r="G154" s="97">
        <v>1028</v>
      </c>
      <c r="H154" s="98">
        <f t="shared" si="0"/>
        <v>46.979600000000005</v>
      </c>
      <c r="I154" s="99">
        <f t="shared" si="1"/>
        <v>2583.8780000000002</v>
      </c>
      <c r="J154" s="100">
        <f t="shared" si="3"/>
        <v>51.400000000000091</v>
      </c>
      <c r="K154" s="101">
        <f t="shared" si="2"/>
        <v>4.420400000000086</v>
      </c>
    </row>
    <row r="155" spans="1:11" ht="25.5" x14ac:dyDescent="0.2">
      <c r="A155" s="92">
        <v>45722</v>
      </c>
      <c r="B155" s="93" t="s">
        <v>39</v>
      </c>
      <c r="C155" s="94">
        <v>0.96399999999999997</v>
      </c>
      <c r="D155" s="95"/>
      <c r="E155" s="96"/>
      <c r="F155" s="96" t="s">
        <v>448</v>
      </c>
      <c r="G155" s="97">
        <v>1028</v>
      </c>
      <c r="H155" s="98">
        <f t="shared" si="0"/>
        <v>37.008000000000038</v>
      </c>
      <c r="I155" s="99">
        <f t="shared" si="1"/>
        <v>2035.4400000000021</v>
      </c>
      <c r="J155" s="100">
        <f t="shared" si="3"/>
        <v>51.400000000000091</v>
      </c>
      <c r="K155" s="101">
        <f t="shared" si="2"/>
        <v>14.392000000000053</v>
      </c>
    </row>
    <row r="156" spans="1:11" ht="12.75" x14ac:dyDescent="0.2">
      <c r="A156" s="92">
        <v>45723</v>
      </c>
      <c r="B156" s="93" t="s">
        <v>41</v>
      </c>
      <c r="C156" s="94">
        <v>0.92800000000000005</v>
      </c>
      <c r="D156" s="95"/>
      <c r="E156" s="96"/>
      <c r="F156" s="96"/>
      <c r="G156" s="97">
        <v>1028</v>
      </c>
      <c r="H156" s="98">
        <f t="shared" si="0"/>
        <v>74.015999999999963</v>
      </c>
      <c r="I156" s="99">
        <f t="shared" si="1"/>
        <v>4070.8799999999978</v>
      </c>
      <c r="J156" s="100">
        <f t="shared" si="3"/>
        <v>51.400000000000091</v>
      </c>
      <c r="K156" s="101">
        <f t="shared" si="2"/>
        <v>-22.615999999999872</v>
      </c>
    </row>
    <row r="157" spans="1:11" ht="12.75" x14ac:dyDescent="0.2">
      <c r="A157" s="123">
        <v>45726</v>
      </c>
      <c r="B157" s="124" t="s">
        <v>33</v>
      </c>
      <c r="C157" s="94">
        <v>0.94169999999999998</v>
      </c>
      <c r="D157" s="95"/>
      <c r="E157" s="96"/>
      <c r="F157" s="96"/>
      <c r="G157" s="97">
        <v>1030</v>
      </c>
      <c r="H157" s="98">
        <f t="shared" si="0"/>
        <v>60.048999999999978</v>
      </c>
      <c r="I157" s="99">
        <f t="shared" si="1"/>
        <v>3302.6949999999988</v>
      </c>
      <c r="J157" s="100">
        <f t="shared" si="3"/>
        <v>51.5</v>
      </c>
      <c r="K157" s="101">
        <f t="shared" si="2"/>
        <v>-8.5489999999999782</v>
      </c>
    </row>
    <row r="158" spans="1:11" ht="12.75" x14ac:dyDescent="0.2">
      <c r="A158" s="123">
        <v>45727</v>
      </c>
      <c r="B158" s="124" t="s">
        <v>35</v>
      </c>
      <c r="C158" s="94"/>
      <c r="D158" s="95"/>
      <c r="E158" s="96"/>
      <c r="F158" s="96"/>
      <c r="H158" s="98">
        <f t="shared" si="0"/>
        <v>0</v>
      </c>
      <c r="I158" s="99">
        <f t="shared" si="1"/>
        <v>0</v>
      </c>
      <c r="J158" s="100">
        <f t="shared" si="3"/>
        <v>0</v>
      </c>
      <c r="K158" s="101">
        <f t="shared" si="2"/>
        <v>0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0"/>
        <v>0</v>
      </c>
      <c r="I159" s="99">
        <f t="shared" si="1"/>
        <v>0</v>
      </c>
      <c r="J159" s="100">
        <f t="shared" si="3"/>
        <v>0</v>
      </c>
      <c r="K159" s="101">
        <f t="shared" si="2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0"/>
        <v>0</v>
      </c>
      <c r="I160" s="99">
        <f t="shared" si="1"/>
        <v>0</v>
      </c>
      <c r="J160" s="100">
        <f t="shared" si="3"/>
        <v>0</v>
      </c>
      <c r="K160" s="101">
        <f t="shared" si="2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0"/>
        <v>0</v>
      </c>
      <c r="I161" s="99">
        <f t="shared" si="1"/>
        <v>0</v>
      </c>
      <c r="J161" s="100">
        <f t="shared" si="3"/>
        <v>0</v>
      </c>
      <c r="K161" s="101">
        <f t="shared" si="2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0"/>
        <v>0</v>
      </c>
      <c r="I162" s="99">
        <f t="shared" si="1"/>
        <v>0</v>
      </c>
      <c r="J162" s="100">
        <f t="shared" si="3"/>
        <v>0</v>
      </c>
      <c r="K162" s="101">
        <f t="shared" si="2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0"/>
        <v>0</v>
      </c>
      <c r="I163" s="99">
        <f t="shared" si="1"/>
        <v>0</v>
      </c>
      <c r="J163" s="100">
        <f t="shared" si="3"/>
        <v>0</v>
      </c>
      <c r="K163" s="101">
        <f t="shared" si="2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0"/>
        <v>0</v>
      </c>
      <c r="I164" s="99">
        <f t="shared" si="1"/>
        <v>0</v>
      </c>
      <c r="J164" s="100">
        <f t="shared" si="3"/>
        <v>0</v>
      </c>
      <c r="K164" s="101">
        <f t="shared" si="2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0"/>
        <v>0</v>
      </c>
      <c r="I165" s="99">
        <f t="shared" si="1"/>
        <v>0</v>
      </c>
      <c r="J165" s="100">
        <f t="shared" si="3"/>
        <v>0</v>
      </c>
      <c r="K165" s="101">
        <f t="shared" si="2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0"/>
        <v>0</v>
      </c>
      <c r="I166" s="99">
        <f t="shared" si="1"/>
        <v>0</v>
      </c>
      <c r="J166" s="100">
        <f t="shared" si="3"/>
        <v>0</v>
      </c>
      <c r="K166" s="101">
        <f t="shared" si="2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0"/>
        <v>0</v>
      </c>
      <c r="I167" s="99">
        <f t="shared" si="1"/>
        <v>0</v>
      </c>
      <c r="J167" s="100">
        <f t="shared" si="3"/>
        <v>0</v>
      </c>
      <c r="K167" s="101">
        <f t="shared" si="2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0"/>
        <v>0</v>
      </c>
      <c r="I168" s="99">
        <f t="shared" si="1"/>
        <v>0</v>
      </c>
      <c r="J168" s="100">
        <f t="shared" si="3"/>
        <v>0</v>
      </c>
      <c r="K168" s="101">
        <f t="shared" si="2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0"/>
        <v>0</v>
      </c>
      <c r="I169" s="99">
        <f t="shared" si="1"/>
        <v>0</v>
      </c>
      <c r="J169" s="100">
        <f t="shared" si="3"/>
        <v>0</v>
      </c>
      <c r="K169" s="101">
        <f t="shared" si="2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0"/>
        <v>0</v>
      </c>
      <c r="I170" s="99">
        <f t="shared" si="1"/>
        <v>0</v>
      </c>
      <c r="J170" s="100">
        <f t="shared" si="3"/>
        <v>0</v>
      </c>
      <c r="K170" s="101">
        <f t="shared" si="2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0"/>
        <v>0</v>
      </c>
      <c r="I171" s="99">
        <f t="shared" si="1"/>
        <v>0</v>
      </c>
      <c r="J171" s="100">
        <f t="shared" si="3"/>
        <v>0</v>
      </c>
      <c r="K171" s="101">
        <f t="shared" si="2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0"/>
        <v>0</v>
      </c>
      <c r="I172" s="99">
        <f t="shared" si="1"/>
        <v>0</v>
      </c>
      <c r="J172" s="100">
        <f t="shared" si="3"/>
        <v>0</v>
      </c>
      <c r="K172" s="101">
        <f t="shared" si="2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0"/>
        <v>0</v>
      </c>
      <c r="I173" s="99">
        <f t="shared" si="1"/>
        <v>0</v>
      </c>
      <c r="J173" s="100">
        <f t="shared" si="3"/>
        <v>0</v>
      </c>
      <c r="K173" s="101">
        <f t="shared" si="2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0"/>
        <v>0</v>
      </c>
      <c r="I174" s="99">
        <f t="shared" si="1"/>
        <v>0</v>
      </c>
      <c r="J174" s="100">
        <f t="shared" si="3"/>
        <v>0</v>
      </c>
      <c r="K174" s="101">
        <f t="shared" si="2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0"/>
        <v>0</v>
      </c>
      <c r="I175" s="99">
        <f t="shared" si="1"/>
        <v>0</v>
      </c>
      <c r="J175" s="100">
        <f t="shared" si="3"/>
        <v>0</v>
      </c>
      <c r="K175" s="101">
        <f t="shared" si="2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0"/>
        <v>0</v>
      </c>
      <c r="I176" s="99">
        <f t="shared" si="1"/>
        <v>0</v>
      </c>
      <c r="J176" s="100">
        <f t="shared" si="3"/>
        <v>0</v>
      </c>
      <c r="K176" s="101">
        <f t="shared" si="2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0"/>
        <v>0</v>
      </c>
      <c r="I177" s="99">
        <f t="shared" si="1"/>
        <v>0</v>
      </c>
      <c r="J177" s="100">
        <f t="shared" si="3"/>
        <v>0</v>
      </c>
      <c r="K177" s="101">
        <f t="shared" si="2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0"/>
        <v>0</v>
      </c>
      <c r="I178" s="99">
        <f t="shared" si="1"/>
        <v>0</v>
      </c>
      <c r="J178" s="100">
        <f t="shared" si="3"/>
        <v>0</v>
      </c>
      <c r="K178" s="101">
        <f t="shared" si="2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0"/>
        <v>0</v>
      </c>
      <c r="I179" s="99">
        <f t="shared" si="1"/>
        <v>0</v>
      </c>
      <c r="J179" s="100">
        <f t="shared" si="3"/>
        <v>0</v>
      </c>
      <c r="K179" s="101">
        <f t="shared" si="2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0"/>
        <v>0</v>
      </c>
      <c r="I180" s="99">
        <f t="shared" si="1"/>
        <v>0</v>
      </c>
      <c r="J180" s="100">
        <f t="shared" si="3"/>
        <v>0</v>
      </c>
      <c r="K180" s="101">
        <f t="shared" si="2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0"/>
        <v>0</v>
      </c>
      <c r="I181" s="99">
        <f t="shared" si="1"/>
        <v>0</v>
      </c>
      <c r="J181" s="100">
        <f t="shared" si="3"/>
        <v>0</v>
      </c>
      <c r="K181" s="101">
        <f t="shared" si="2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ref="H182:H183" si="4">G182-(C183*G182)</f>
        <v>0</v>
      </c>
      <c r="I182" s="99">
        <f t="shared" si="1"/>
        <v>0</v>
      </c>
      <c r="J182" s="100">
        <f t="shared" si="3"/>
        <v>0</v>
      </c>
      <c r="K182" s="101">
        <f t="shared" si="2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4"/>
        <v>0</v>
      </c>
      <c r="I183" s="99">
        <f t="shared" si="1"/>
        <v>0</v>
      </c>
      <c r="J183" s="100">
        <f t="shared" si="3"/>
        <v>0</v>
      </c>
      <c r="K183" s="101">
        <f t="shared" si="2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ref="H184:H215" si="5">G184-(C184*G184)</f>
        <v>0</v>
      </c>
      <c r="I184" s="99">
        <f t="shared" si="1"/>
        <v>0</v>
      </c>
      <c r="J184" s="100">
        <f t="shared" si="3"/>
        <v>0</v>
      </c>
      <c r="K184" s="101">
        <f t="shared" si="2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5"/>
        <v>0</v>
      </c>
      <c r="I185" s="99">
        <f t="shared" si="1"/>
        <v>0</v>
      </c>
      <c r="J185" s="100">
        <f t="shared" si="3"/>
        <v>0</v>
      </c>
      <c r="K185" s="101">
        <f t="shared" si="2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5"/>
        <v>0</v>
      </c>
      <c r="I186" s="99">
        <f t="shared" si="1"/>
        <v>0</v>
      </c>
      <c r="J186" s="100">
        <f t="shared" si="3"/>
        <v>0</v>
      </c>
      <c r="K186" s="101">
        <f t="shared" si="2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5"/>
        <v>0</v>
      </c>
      <c r="I187" s="99">
        <f t="shared" si="1"/>
        <v>0</v>
      </c>
      <c r="J187" s="100">
        <f t="shared" si="3"/>
        <v>0</v>
      </c>
      <c r="K187" s="101">
        <f t="shared" si="2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5"/>
        <v>0</v>
      </c>
      <c r="I188" s="99">
        <f t="shared" si="1"/>
        <v>0</v>
      </c>
      <c r="J188" s="100">
        <f t="shared" si="3"/>
        <v>0</v>
      </c>
      <c r="K188" s="101">
        <f t="shared" si="2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5"/>
        <v>0</v>
      </c>
      <c r="I189" s="99">
        <f t="shared" si="1"/>
        <v>0</v>
      </c>
      <c r="J189" s="100">
        <f t="shared" si="3"/>
        <v>0</v>
      </c>
      <c r="K189" s="101">
        <f t="shared" si="2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5"/>
        <v>0</v>
      </c>
      <c r="I190" s="99">
        <f t="shared" si="1"/>
        <v>0</v>
      </c>
      <c r="J190" s="100">
        <f t="shared" si="3"/>
        <v>0</v>
      </c>
      <c r="K190" s="101">
        <f t="shared" si="2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5"/>
        <v>0</v>
      </c>
      <c r="I191" s="99">
        <f t="shared" si="1"/>
        <v>0</v>
      </c>
      <c r="J191" s="100">
        <f t="shared" si="3"/>
        <v>0</v>
      </c>
      <c r="K191" s="101">
        <f t="shared" si="2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5"/>
        <v>0</v>
      </c>
      <c r="I192" s="99">
        <f t="shared" si="1"/>
        <v>0</v>
      </c>
      <c r="J192" s="100">
        <f t="shared" si="3"/>
        <v>0</v>
      </c>
      <c r="K192" s="101">
        <f t="shared" si="2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5"/>
        <v>0</v>
      </c>
      <c r="I193" s="99">
        <f t="shared" si="1"/>
        <v>0</v>
      </c>
      <c r="J193" s="100">
        <f t="shared" si="3"/>
        <v>0</v>
      </c>
      <c r="K193" s="101">
        <f t="shared" si="2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5"/>
        <v>0</v>
      </c>
      <c r="I194" s="99">
        <f t="shared" si="1"/>
        <v>0</v>
      </c>
      <c r="J194" s="100">
        <f t="shared" si="3"/>
        <v>0</v>
      </c>
      <c r="K194" s="101">
        <f t="shared" si="2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5"/>
        <v>0</v>
      </c>
      <c r="I195" s="99">
        <f t="shared" si="1"/>
        <v>0</v>
      </c>
      <c r="J195" s="100">
        <f t="shared" si="3"/>
        <v>0</v>
      </c>
      <c r="K195" s="101">
        <f t="shared" si="2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5"/>
        <v>0</v>
      </c>
      <c r="I196" s="99">
        <f t="shared" si="1"/>
        <v>0</v>
      </c>
      <c r="J196" s="100">
        <f t="shared" si="3"/>
        <v>0</v>
      </c>
      <c r="K196" s="101">
        <f t="shared" si="2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5"/>
        <v>0</v>
      </c>
      <c r="I197" s="99">
        <f t="shared" si="1"/>
        <v>0</v>
      </c>
      <c r="J197" s="100">
        <f t="shared" si="3"/>
        <v>0</v>
      </c>
      <c r="K197" s="101">
        <f t="shared" si="2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5"/>
        <v>0</v>
      </c>
      <c r="I198" s="99">
        <f t="shared" si="1"/>
        <v>0</v>
      </c>
      <c r="J198" s="100">
        <f t="shared" si="3"/>
        <v>0</v>
      </c>
      <c r="K198" s="101">
        <f t="shared" si="2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5"/>
        <v>0</v>
      </c>
      <c r="I199" s="99">
        <f t="shared" si="1"/>
        <v>0</v>
      </c>
      <c r="J199" s="100">
        <f t="shared" si="3"/>
        <v>0</v>
      </c>
      <c r="K199" s="101">
        <f t="shared" si="2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5"/>
        <v>0</v>
      </c>
      <c r="I200" s="99">
        <f t="shared" si="1"/>
        <v>0</v>
      </c>
      <c r="J200" s="100">
        <f t="shared" si="3"/>
        <v>0</v>
      </c>
      <c r="K200" s="101">
        <f t="shared" si="2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5"/>
        <v>0</v>
      </c>
      <c r="I201" s="99">
        <f t="shared" si="1"/>
        <v>0</v>
      </c>
      <c r="J201" s="100">
        <f t="shared" si="3"/>
        <v>0</v>
      </c>
      <c r="K201" s="101">
        <f t="shared" si="2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5"/>
        <v>0</v>
      </c>
      <c r="I202" s="99">
        <f t="shared" si="1"/>
        <v>0</v>
      </c>
      <c r="J202" s="100">
        <f t="shared" si="3"/>
        <v>0</v>
      </c>
      <c r="K202" s="101">
        <f t="shared" si="2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5"/>
        <v>0</v>
      </c>
      <c r="I203" s="99">
        <f t="shared" si="1"/>
        <v>0</v>
      </c>
      <c r="J203" s="100">
        <f t="shared" si="3"/>
        <v>0</v>
      </c>
      <c r="K203" s="101">
        <f t="shared" si="2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5"/>
        <v>0</v>
      </c>
      <c r="I204" s="99">
        <f t="shared" si="1"/>
        <v>0</v>
      </c>
      <c r="J204" s="100">
        <f t="shared" si="3"/>
        <v>0</v>
      </c>
      <c r="K204" s="101">
        <f t="shared" si="2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5"/>
        <v>0</v>
      </c>
      <c r="I205" s="99">
        <f t="shared" si="1"/>
        <v>0</v>
      </c>
      <c r="J205" s="100">
        <f t="shared" si="3"/>
        <v>0</v>
      </c>
      <c r="K205" s="101">
        <f t="shared" si="2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5"/>
        <v>0</v>
      </c>
      <c r="I206" s="99">
        <f t="shared" si="1"/>
        <v>0</v>
      </c>
      <c r="J206" s="100">
        <f t="shared" si="3"/>
        <v>0</v>
      </c>
      <c r="K206" s="101">
        <f t="shared" si="2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5"/>
        <v>0</v>
      </c>
      <c r="I207" s="99">
        <f t="shared" si="1"/>
        <v>0</v>
      </c>
      <c r="J207" s="100">
        <f t="shared" si="3"/>
        <v>0</v>
      </c>
      <c r="K207" s="101">
        <f t="shared" si="2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5"/>
        <v>0</v>
      </c>
      <c r="I208" s="99">
        <f t="shared" si="1"/>
        <v>0</v>
      </c>
      <c r="J208" s="100">
        <f t="shared" si="3"/>
        <v>0</v>
      </c>
      <c r="K208" s="101">
        <f t="shared" si="2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5"/>
        <v>0</v>
      </c>
      <c r="I209" s="99">
        <f t="shared" si="1"/>
        <v>0</v>
      </c>
      <c r="J209" s="100">
        <f t="shared" si="3"/>
        <v>0</v>
      </c>
      <c r="K209" s="101">
        <f t="shared" si="2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5"/>
        <v>0</v>
      </c>
      <c r="I210" s="99">
        <f t="shared" si="1"/>
        <v>0</v>
      </c>
      <c r="J210" s="100">
        <f t="shared" si="3"/>
        <v>0</v>
      </c>
      <c r="K210" s="101">
        <f t="shared" si="2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5"/>
        <v>0</v>
      </c>
      <c r="I211" s="99">
        <f t="shared" si="1"/>
        <v>0</v>
      </c>
      <c r="J211" s="100">
        <f t="shared" si="3"/>
        <v>0</v>
      </c>
      <c r="K211" s="101">
        <f t="shared" si="2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5"/>
        <v>0</v>
      </c>
      <c r="I212" s="99">
        <f t="shared" si="1"/>
        <v>0</v>
      </c>
      <c r="J212" s="100">
        <f t="shared" si="3"/>
        <v>0</v>
      </c>
      <c r="K212" s="101">
        <f t="shared" si="2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5"/>
        <v>0</v>
      </c>
      <c r="I213" s="99">
        <f t="shared" si="1"/>
        <v>0</v>
      </c>
      <c r="J213" s="100">
        <f t="shared" si="3"/>
        <v>0</v>
      </c>
      <c r="K213" s="101">
        <f t="shared" si="2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5"/>
        <v>0</v>
      </c>
      <c r="I214" s="99">
        <f t="shared" si="1"/>
        <v>0</v>
      </c>
      <c r="J214" s="100">
        <f t="shared" si="3"/>
        <v>0</v>
      </c>
      <c r="K214" s="101">
        <f t="shared" si="2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5"/>
        <v>0</v>
      </c>
      <c r="I215" s="99">
        <f t="shared" si="1"/>
        <v>0</v>
      </c>
      <c r="J215" s="100">
        <f t="shared" si="3"/>
        <v>0</v>
      </c>
      <c r="K215" s="101">
        <f t="shared" si="2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9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28" priority="4" operator="lessThan">
      <formula>"92%"</formula>
    </cfRule>
  </conditionalFormatting>
  <conditionalFormatting sqref="C7:C215">
    <cfRule type="cellIs" dxfId="27" priority="1" operator="lessThan">
      <formula>"90%"</formula>
    </cfRule>
    <cfRule type="cellIs" dxfId="26" priority="2" operator="lessThan">
      <formula>"94%"</formula>
    </cfRule>
  </conditionalFormatting>
  <conditionalFormatting sqref="K1:K853">
    <cfRule type="cellIs" dxfId="25" priority="3" operator="lessThan">
      <formula>0</formula>
    </cfRule>
  </conditionalFormatting>
  <dataValidations count="1">
    <dataValidation type="list" allowBlank="1" sqref="E7:E215" xr:uid="{00000000-0002-0000-0900-000000000000}">
      <formula1>"Weather,Health,Safety,Other"</formula1>
    </dataValidation>
  </dataValidations>
  <printOptions horizontalCentered="1" gridLines="1"/>
  <pageMargins left="0" right="0" top="1.0432357043235705" bottom="0" header="0" footer="0"/>
  <pageSetup scale="68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  <outlinePr summaryBelow="0" summaryRight="0"/>
    <pageSetUpPr fitToPage="1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25.570312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0"/>
      <c r="B1" s="80"/>
      <c r="C1" s="80"/>
      <c r="D1" s="80"/>
      <c r="E1" s="80"/>
      <c r="F1" s="80"/>
      <c r="G1" s="80"/>
      <c r="H1" s="81"/>
      <c r="I1" s="81"/>
      <c r="J1" s="82"/>
      <c r="K1" s="83">
        <f>SUM(K7:K215)</f>
        <v>-443.4704999999974</v>
      </c>
    </row>
    <row r="2" spans="1:11" x14ac:dyDescent="0.25">
      <c r="A2" s="242" t="s">
        <v>262</v>
      </c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449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170567.28699999998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89" t="s">
        <v>222</v>
      </c>
      <c r="I6" s="90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225</v>
      </c>
      <c r="E7" s="96"/>
      <c r="F7" s="96"/>
      <c r="G7" s="97">
        <v>560</v>
      </c>
      <c r="H7" s="98">
        <f t="shared" ref="H7:H215" si="0">G7-(C7*G7)</f>
        <v>0</v>
      </c>
      <c r="I7" s="99">
        <f t="shared" ref="I7:I215" si="1">H7*$H$5</f>
        <v>0</v>
      </c>
      <c r="J7" s="100">
        <v>0</v>
      </c>
      <c r="K7" s="101">
        <f t="shared" ref="K7:K215" si="2">J7-H7</f>
        <v>0</v>
      </c>
    </row>
    <row r="8" spans="1:11" ht="12.75" x14ac:dyDescent="0.2">
      <c r="A8" s="92">
        <v>45517</v>
      </c>
      <c r="B8" s="93" t="s">
        <v>35</v>
      </c>
      <c r="C8" s="94">
        <v>0.99480000000000002</v>
      </c>
      <c r="D8" s="95" t="s">
        <v>225</v>
      </c>
      <c r="E8" s="96"/>
      <c r="F8" s="96"/>
      <c r="G8" s="97">
        <v>581</v>
      </c>
      <c r="H8" s="98">
        <f t="shared" si="0"/>
        <v>3.0212000000000216</v>
      </c>
      <c r="I8" s="99">
        <f t="shared" si="1"/>
        <v>166.16600000000119</v>
      </c>
      <c r="J8" s="100">
        <f t="shared" ref="J8:J215" si="3">G8-(G8*J$3)</f>
        <v>29.050000000000068</v>
      </c>
      <c r="K8" s="101">
        <f t="shared" si="2"/>
        <v>26.028800000000047</v>
      </c>
    </row>
    <row r="9" spans="1:11" ht="12.75" x14ac:dyDescent="0.2">
      <c r="A9" s="92">
        <v>45518</v>
      </c>
      <c r="B9" s="93" t="s">
        <v>37</v>
      </c>
      <c r="C9" s="94">
        <v>0.99150000000000005</v>
      </c>
      <c r="D9" s="95" t="s">
        <v>225</v>
      </c>
      <c r="E9" s="96"/>
      <c r="F9" s="96"/>
      <c r="G9" s="97">
        <v>589</v>
      </c>
      <c r="H9" s="98">
        <f t="shared" si="0"/>
        <v>5.00649999999996</v>
      </c>
      <c r="I9" s="99">
        <f t="shared" si="1"/>
        <v>275.3574999999978</v>
      </c>
      <c r="J9" s="100">
        <f t="shared" si="3"/>
        <v>29.450000000000045</v>
      </c>
      <c r="K9" s="101">
        <f t="shared" si="2"/>
        <v>24.443500000000085</v>
      </c>
    </row>
    <row r="10" spans="1:11" ht="12.75" x14ac:dyDescent="0.2">
      <c r="A10" s="92">
        <v>45519</v>
      </c>
      <c r="B10" s="93" t="s">
        <v>39</v>
      </c>
      <c r="C10" s="94">
        <v>0.98150000000000004</v>
      </c>
      <c r="D10" s="95" t="s">
        <v>225</v>
      </c>
      <c r="E10" s="96"/>
      <c r="F10" s="96"/>
      <c r="G10" s="97">
        <v>594</v>
      </c>
      <c r="H10" s="98">
        <f t="shared" si="0"/>
        <v>10.989000000000033</v>
      </c>
      <c r="I10" s="99">
        <f t="shared" si="1"/>
        <v>604.3950000000018</v>
      </c>
      <c r="J10" s="100">
        <f t="shared" si="3"/>
        <v>29.700000000000045</v>
      </c>
      <c r="K10" s="101">
        <f t="shared" si="2"/>
        <v>18.711000000000013</v>
      </c>
    </row>
    <row r="11" spans="1:11" ht="12.75" x14ac:dyDescent="0.2">
      <c r="A11" s="92">
        <v>45520</v>
      </c>
      <c r="B11" s="93" t="s">
        <v>41</v>
      </c>
      <c r="C11" s="94">
        <v>0.96130000000000004</v>
      </c>
      <c r="D11" s="95" t="s">
        <v>225</v>
      </c>
      <c r="E11" s="96"/>
      <c r="F11" s="96"/>
      <c r="G11" s="97">
        <v>594</v>
      </c>
      <c r="H11" s="98">
        <f t="shared" si="0"/>
        <v>22.987799999999993</v>
      </c>
      <c r="I11" s="99">
        <f t="shared" si="1"/>
        <v>1264.3289999999997</v>
      </c>
      <c r="J11" s="100">
        <f t="shared" si="3"/>
        <v>29.700000000000045</v>
      </c>
      <c r="K11" s="101">
        <f t="shared" si="2"/>
        <v>6.7122000000000526</v>
      </c>
    </row>
    <row r="12" spans="1:11" ht="12.75" x14ac:dyDescent="0.2">
      <c r="A12" s="92">
        <v>45523</v>
      </c>
      <c r="B12" s="93" t="s">
        <v>33</v>
      </c>
      <c r="C12" s="94">
        <v>0.94730000000000003</v>
      </c>
      <c r="D12" s="95" t="s">
        <v>225</v>
      </c>
      <c r="E12" s="96"/>
      <c r="F12" s="96"/>
      <c r="G12" s="97">
        <v>607</v>
      </c>
      <c r="H12" s="98">
        <f t="shared" si="0"/>
        <v>31.988899999999944</v>
      </c>
      <c r="I12" s="99">
        <f t="shared" si="1"/>
        <v>1759.389499999997</v>
      </c>
      <c r="J12" s="100">
        <f t="shared" si="3"/>
        <v>30.350000000000023</v>
      </c>
      <c r="K12" s="101">
        <f t="shared" si="2"/>
        <v>-1.6388999999999214</v>
      </c>
    </row>
    <row r="13" spans="1:11" ht="12.75" x14ac:dyDescent="0.2">
      <c r="A13" s="92">
        <v>45524</v>
      </c>
      <c r="B13" s="93" t="s">
        <v>35</v>
      </c>
      <c r="C13" s="94">
        <v>0.93620000000000003</v>
      </c>
      <c r="D13" s="95" t="s">
        <v>282</v>
      </c>
      <c r="E13" s="96" t="s">
        <v>228</v>
      </c>
      <c r="F13" s="96"/>
      <c r="G13" s="97">
        <v>611</v>
      </c>
      <c r="H13" s="98">
        <f t="shared" si="0"/>
        <v>38.981800000000021</v>
      </c>
      <c r="I13" s="99">
        <f t="shared" si="1"/>
        <v>2143.9990000000012</v>
      </c>
      <c r="J13" s="100">
        <f t="shared" si="3"/>
        <v>30.550000000000068</v>
      </c>
      <c r="K13" s="101">
        <f t="shared" si="2"/>
        <v>-8.4317999999999529</v>
      </c>
    </row>
    <row r="14" spans="1:11" ht="12.75" x14ac:dyDescent="0.2">
      <c r="A14" s="92">
        <v>45525</v>
      </c>
      <c r="B14" s="93" t="s">
        <v>37</v>
      </c>
      <c r="C14" s="94">
        <v>0.93779999999999997</v>
      </c>
      <c r="D14" s="95" t="s">
        <v>301</v>
      </c>
      <c r="E14" s="96"/>
      <c r="F14" s="96"/>
      <c r="G14" s="97">
        <v>611</v>
      </c>
      <c r="H14" s="98">
        <f t="shared" si="0"/>
        <v>38.004199999999969</v>
      </c>
      <c r="I14" s="99">
        <f t="shared" si="1"/>
        <v>2090.2309999999984</v>
      </c>
      <c r="J14" s="100">
        <f t="shared" si="3"/>
        <v>30.550000000000068</v>
      </c>
      <c r="K14" s="101">
        <f t="shared" si="2"/>
        <v>-7.4541999999999007</v>
      </c>
    </row>
    <row r="15" spans="1:11" ht="12.75" x14ac:dyDescent="0.2">
      <c r="A15" s="92">
        <v>45526</v>
      </c>
      <c r="B15" s="93" t="s">
        <v>39</v>
      </c>
      <c r="C15" s="94">
        <v>0.95750000000000002</v>
      </c>
      <c r="D15" s="95" t="s">
        <v>225</v>
      </c>
      <c r="E15" s="96"/>
      <c r="F15" s="96"/>
      <c r="G15" s="97">
        <v>612</v>
      </c>
      <c r="H15" s="98">
        <f t="shared" si="0"/>
        <v>26.009999999999991</v>
      </c>
      <c r="I15" s="99">
        <f t="shared" si="1"/>
        <v>1430.5499999999995</v>
      </c>
      <c r="J15" s="100">
        <f t="shared" si="3"/>
        <v>30.600000000000023</v>
      </c>
      <c r="K15" s="101">
        <f t="shared" si="2"/>
        <v>4.5900000000000318</v>
      </c>
    </row>
    <row r="16" spans="1:11" ht="12.75" x14ac:dyDescent="0.2">
      <c r="A16" s="92">
        <v>45527</v>
      </c>
      <c r="B16" s="93" t="s">
        <v>41</v>
      </c>
      <c r="C16" s="94">
        <v>0.93310000000000004</v>
      </c>
      <c r="D16" s="95" t="s">
        <v>226</v>
      </c>
      <c r="E16" s="96"/>
      <c r="F16" s="96"/>
      <c r="G16" s="97">
        <v>613</v>
      </c>
      <c r="H16" s="98">
        <f t="shared" si="0"/>
        <v>41.009699999999953</v>
      </c>
      <c r="I16" s="99">
        <f t="shared" si="1"/>
        <v>2255.5334999999973</v>
      </c>
      <c r="J16" s="100">
        <f t="shared" si="3"/>
        <v>30.649999999999977</v>
      </c>
      <c r="K16" s="101">
        <f t="shared" si="2"/>
        <v>-10.359699999999975</v>
      </c>
    </row>
    <row r="17" spans="1:11" ht="12.75" x14ac:dyDescent="0.2">
      <c r="A17" s="92">
        <v>45530</v>
      </c>
      <c r="B17" s="93" t="s">
        <v>33</v>
      </c>
      <c r="C17" s="94">
        <v>0.93830000000000002</v>
      </c>
      <c r="D17" s="95" t="s">
        <v>225</v>
      </c>
      <c r="E17" s="96"/>
      <c r="F17" s="96"/>
      <c r="G17" s="97">
        <v>616</v>
      </c>
      <c r="H17" s="98">
        <f t="shared" si="0"/>
        <v>38.007200000000012</v>
      </c>
      <c r="I17" s="99">
        <f t="shared" si="1"/>
        <v>2090.3960000000006</v>
      </c>
      <c r="J17" s="100">
        <f t="shared" si="3"/>
        <v>30.800000000000068</v>
      </c>
      <c r="K17" s="101">
        <f t="shared" si="2"/>
        <v>-7.2071999999999434</v>
      </c>
    </row>
    <row r="18" spans="1:11" ht="12.75" x14ac:dyDescent="0.2">
      <c r="A18" s="92">
        <v>45531</v>
      </c>
      <c r="B18" s="93" t="s">
        <v>35</v>
      </c>
      <c r="C18" s="94">
        <v>0.96930000000000005</v>
      </c>
      <c r="D18" s="95" t="s">
        <v>226</v>
      </c>
      <c r="E18" s="96"/>
      <c r="F18" s="96"/>
      <c r="G18" s="97">
        <v>618</v>
      </c>
      <c r="H18" s="98">
        <f t="shared" si="0"/>
        <v>18.972599999999943</v>
      </c>
      <c r="I18" s="99">
        <f t="shared" si="1"/>
        <v>1043.4929999999968</v>
      </c>
      <c r="J18" s="100">
        <f t="shared" si="3"/>
        <v>30.899999999999977</v>
      </c>
      <c r="K18" s="101">
        <f t="shared" si="2"/>
        <v>11.927400000000034</v>
      </c>
    </row>
    <row r="19" spans="1:11" ht="12.75" x14ac:dyDescent="0.2">
      <c r="A19" s="92">
        <v>45532</v>
      </c>
      <c r="B19" s="93" t="s">
        <v>37</v>
      </c>
      <c r="C19" s="94">
        <v>0.95950000000000002</v>
      </c>
      <c r="D19" s="95" t="s">
        <v>226</v>
      </c>
      <c r="E19" s="96"/>
      <c r="F19" s="102"/>
      <c r="G19" s="97">
        <v>618</v>
      </c>
      <c r="H19" s="98">
        <f t="shared" si="0"/>
        <v>25.028999999999996</v>
      </c>
      <c r="I19" s="99">
        <f t="shared" si="1"/>
        <v>1376.5949999999998</v>
      </c>
      <c r="J19" s="100">
        <f t="shared" si="3"/>
        <v>30.899999999999977</v>
      </c>
      <c r="K19" s="101">
        <f t="shared" si="2"/>
        <v>5.8709999999999809</v>
      </c>
    </row>
    <row r="20" spans="1:11" ht="12.75" x14ac:dyDescent="0.2">
      <c r="A20" s="92">
        <v>45533</v>
      </c>
      <c r="B20" s="93" t="s">
        <v>39</v>
      </c>
      <c r="C20" s="94">
        <v>0.95340000000000003</v>
      </c>
      <c r="D20" s="95" t="s">
        <v>225</v>
      </c>
      <c r="E20" s="96"/>
      <c r="F20" s="96"/>
      <c r="G20" s="97">
        <v>622</v>
      </c>
      <c r="H20" s="98">
        <f t="shared" si="0"/>
        <v>28.985199999999963</v>
      </c>
      <c r="I20" s="99">
        <f t="shared" si="1"/>
        <v>1594.1859999999979</v>
      </c>
      <c r="J20" s="100">
        <f t="shared" si="3"/>
        <v>31.100000000000023</v>
      </c>
      <c r="K20" s="101">
        <f t="shared" si="2"/>
        <v>2.1148000000000593</v>
      </c>
    </row>
    <row r="21" spans="1:11" ht="12.75" x14ac:dyDescent="0.2">
      <c r="A21" s="92">
        <v>45534</v>
      </c>
      <c r="B21" s="93" t="s">
        <v>41</v>
      </c>
      <c r="C21" s="94">
        <v>0.93889999999999996</v>
      </c>
      <c r="D21" s="95" t="s">
        <v>225</v>
      </c>
      <c r="E21" s="96"/>
      <c r="F21" s="96"/>
      <c r="G21" s="97">
        <v>622</v>
      </c>
      <c r="H21" s="98">
        <f t="shared" si="0"/>
        <v>38.004200000000083</v>
      </c>
      <c r="I21" s="99">
        <f t="shared" si="1"/>
        <v>2090.2310000000043</v>
      </c>
      <c r="J21" s="100">
        <f t="shared" si="3"/>
        <v>31.100000000000023</v>
      </c>
      <c r="K21" s="101">
        <f t="shared" si="2"/>
        <v>-6.9042000000000598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0.95650000000000002</v>
      </c>
      <c r="D23" s="95" t="s">
        <v>225</v>
      </c>
      <c r="E23" s="96"/>
      <c r="F23" s="96"/>
      <c r="G23" s="97">
        <v>621</v>
      </c>
      <c r="H23" s="98">
        <f t="shared" si="0"/>
        <v>27.013500000000022</v>
      </c>
      <c r="I23" s="99">
        <f t="shared" si="1"/>
        <v>1485.7425000000012</v>
      </c>
      <c r="J23" s="100">
        <f t="shared" si="3"/>
        <v>31.050000000000068</v>
      </c>
      <c r="K23" s="101">
        <f t="shared" si="2"/>
        <v>4.0365000000000464</v>
      </c>
    </row>
    <row r="24" spans="1:11" ht="12.75" x14ac:dyDescent="0.2">
      <c r="A24" s="92">
        <v>45539</v>
      </c>
      <c r="B24" s="93" t="s">
        <v>37</v>
      </c>
      <c r="C24" s="94">
        <v>0.9647</v>
      </c>
      <c r="D24" s="95" t="s">
        <v>225</v>
      </c>
      <c r="E24" s="96"/>
      <c r="F24" s="96"/>
      <c r="G24" s="97">
        <v>623</v>
      </c>
      <c r="H24" s="98">
        <f t="shared" si="0"/>
        <v>21.991899999999987</v>
      </c>
      <c r="I24" s="99">
        <f t="shared" si="1"/>
        <v>1209.5544999999993</v>
      </c>
      <c r="J24" s="100">
        <f t="shared" si="3"/>
        <v>31.149999999999977</v>
      </c>
      <c r="K24" s="101">
        <f t="shared" si="2"/>
        <v>9.1580999999999904</v>
      </c>
    </row>
    <row r="25" spans="1:11" ht="12.75" x14ac:dyDescent="0.2">
      <c r="A25" s="92">
        <v>45540</v>
      </c>
      <c r="B25" s="93" t="s">
        <v>39</v>
      </c>
      <c r="C25" s="94">
        <v>0.96630000000000005</v>
      </c>
      <c r="D25" s="95" t="s">
        <v>225</v>
      </c>
      <c r="E25" s="96"/>
      <c r="F25" s="96"/>
      <c r="G25" s="97">
        <v>623</v>
      </c>
      <c r="H25" s="98">
        <f t="shared" si="0"/>
        <v>20.995099999999979</v>
      </c>
      <c r="I25" s="99">
        <f t="shared" si="1"/>
        <v>1154.7304999999988</v>
      </c>
      <c r="J25" s="100">
        <f t="shared" si="3"/>
        <v>31.149999999999977</v>
      </c>
      <c r="K25" s="101">
        <f t="shared" si="2"/>
        <v>10.154899999999998</v>
      </c>
    </row>
    <row r="26" spans="1:11" ht="12.75" x14ac:dyDescent="0.2">
      <c r="A26" s="92">
        <v>45541</v>
      </c>
      <c r="B26" s="93" t="s">
        <v>41</v>
      </c>
      <c r="C26" s="94">
        <v>0.94869999999999999</v>
      </c>
      <c r="D26" s="95" t="s">
        <v>225</v>
      </c>
      <c r="E26" s="96"/>
      <c r="F26" s="96"/>
      <c r="G26" s="97">
        <v>624</v>
      </c>
      <c r="H26" s="98">
        <f t="shared" si="0"/>
        <v>32.011200000000031</v>
      </c>
      <c r="I26" s="99">
        <f t="shared" si="1"/>
        <v>1760.6160000000018</v>
      </c>
      <c r="J26" s="100">
        <f t="shared" si="3"/>
        <v>31.200000000000045</v>
      </c>
      <c r="K26" s="101">
        <f t="shared" si="2"/>
        <v>-0.81119999999998527</v>
      </c>
    </row>
    <row r="27" spans="1:11" ht="12.75" x14ac:dyDescent="0.2">
      <c r="A27" s="92">
        <v>45544</v>
      </c>
      <c r="B27" s="93" t="s">
        <v>33</v>
      </c>
      <c r="C27" s="94">
        <v>0.94899999999999995</v>
      </c>
      <c r="D27" s="95" t="s">
        <v>225</v>
      </c>
      <c r="E27" s="96"/>
      <c r="F27" s="96"/>
      <c r="G27" s="97">
        <v>628</v>
      </c>
      <c r="H27" s="98">
        <f t="shared" si="0"/>
        <v>32.02800000000002</v>
      </c>
      <c r="I27" s="99">
        <f t="shared" si="1"/>
        <v>1761.5400000000011</v>
      </c>
      <c r="J27" s="100">
        <f t="shared" si="3"/>
        <v>31.399999999999977</v>
      </c>
      <c r="K27" s="101">
        <f t="shared" si="2"/>
        <v>-0.62800000000004275</v>
      </c>
    </row>
    <row r="28" spans="1:11" ht="12.75" x14ac:dyDescent="0.2">
      <c r="A28" s="92">
        <v>45545</v>
      </c>
      <c r="B28" s="93" t="s">
        <v>35</v>
      </c>
      <c r="C28" s="94">
        <v>0.94899999999999995</v>
      </c>
      <c r="D28" s="95" t="s">
        <v>225</v>
      </c>
      <c r="E28" s="96"/>
      <c r="F28" s="96"/>
      <c r="G28" s="97">
        <v>628</v>
      </c>
      <c r="H28" s="98">
        <f t="shared" si="0"/>
        <v>32.02800000000002</v>
      </c>
      <c r="I28" s="99">
        <f t="shared" si="1"/>
        <v>1761.5400000000011</v>
      </c>
      <c r="J28" s="100">
        <f t="shared" si="3"/>
        <v>31.399999999999977</v>
      </c>
      <c r="K28" s="101">
        <f t="shared" si="2"/>
        <v>-0.62800000000004275</v>
      </c>
    </row>
    <row r="29" spans="1:11" ht="12.75" x14ac:dyDescent="0.2">
      <c r="A29" s="92">
        <v>45546</v>
      </c>
      <c r="B29" s="93" t="s">
        <v>37</v>
      </c>
      <c r="C29" s="94">
        <v>0.95220000000000005</v>
      </c>
      <c r="D29" s="95" t="s">
        <v>225</v>
      </c>
      <c r="E29" s="96"/>
      <c r="F29" s="96"/>
      <c r="G29" s="97">
        <v>628</v>
      </c>
      <c r="H29" s="98">
        <f t="shared" si="0"/>
        <v>30.018399999999929</v>
      </c>
      <c r="I29" s="99">
        <f t="shared" si="1"/>
        <v>1651.0119999999961</v>
      </c>
      <c r="J29" s="100">
        <f t="shared" si="3"/>
        <v>31.399999999999977</v>
      </c>
      <c r="K29" s="101">
        <f t="shared" si="2"/>
        <v>1.3816000000000486</v>
      </c>
    </row>
    <row r="30" spans="1:11" ht="12.75" x14ac:dyDescent="0.2">
      <c r="A30" s="92">
        <v>45547</v>
      </c>
      <c r="B30" s="93" t="s">
        <v>39</v>
      </c>
      <c r="C30" s="94">
        <v>0.96970000000000001</v>
      </c>
      <c r="D30" s="95" t="s">
        <v>225</v>
      </c>
      <c r="E30" s="96"/>
      <c r="F30" s="96"/>
      <c r="G30" s="97">
        <v>627</v>
      </c>
      <c r="H30" s="98">
        <f t="shared" si="0"/>
        <v>18.998100000000022</v>
      </c>
      <c r="I30" s="99">
        <f t="shared" si="1"/>
        <v>1044.8955000000012</v>
      </c>
      <c r="J30" s="100">
        <f t="shared" si="3"/>
        <v>31.350000000000023</v>
      </c>
      <c r="K30" s="101">
        <f t="shared" si="2"/>
        <v>12.351900000000001</v>
      </c>
    </row>
    <row r="31" spans="1:11" ht="12.75" x14ac:dyDescent="0.2">
      <c r="A31" s="92">
        <v>45548</v>
      </c>
      <c r="B31" s="93" t="s">
        <v>41</v>
      </c>
      <c r="C31" s="94">
        <v>0.94420000000000004</v>
      </c>
      <c r="D31" s="95" t="s">
        <v>225</v>
      </c>
      <c r="E31" s="96"/>
      <c r="F31" s="96"/>
      <c r="G31" s="97">
        <v>627</v>
      </c>
      <c r="H31" s="98">
        <f t="shared" si="0"/>
        <v>34.986599999999953</v>
      </c>
      <c r="I31" s="99">
        <f t="shared" si="1"/>
        <v>1924.2629999999974</v>
      </c>
      <c r="J31" s="100">
        <f t="shared" si="3"/>
        <v>31.350000000000023</v>
      </c>
      <c r="K31" s="101">
        <f t="shared" si="2"/>
        <v>-3.6365999999999303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0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0.98250000000000004</v>
      </c>
      <c r="D33" s="95" t="s">
        <v>225</v>
      </c>
      <c r="E33" s="96"/>
      <c r="F33" s="96"/>
      <c r="G33" s="97">
        <v>630</v>
      </c>
      <c r="H33" s="98">
        <f t="shared" si="0"/>
        <v>11.024999999999977</v>
      </c>
      <c r="I33" s="99">
        <f t="shared" si="1"/>
        <v>606.37499999999875</v>
      </c>
      <c r="J33" s="100">
        <f t="shared" si="3"/>
        <v>31.5</v>
      </c>
      <c r="K33" s="101">
        <f t="shared" si="2"/>
        <v>20.475000000000023</v>
      </c>
    </row>
    <row r="34" spans="1:11" ht="12.75" x14ac:dyDescent="0.2">
      <c r="A34" s="92">
        <v>45553</v>
      </c>
      <c r="B34" s="93" t="s">
        <v>37</v>
      </c>
      <c r="C34" s="94">
        <v>0.98250000000000004</v>
      </c>
      <c r="D34" s="95" t="s">
        <v>282</v>
      </c>
      <c r="E34" s="96"/>
      <c r="F34" s="96"/>
      <c r="G34" s="97">
        <v>630</v>
      </c>
      <c r="H34" s="98">
        <f t="shared" si="0"/>
        <v>11.024999999999977</v>
      </c>
      <c r="I34" s="99">
        <f t="shared" si="1"/>
        <v>606.37499999999875</v>
      </c>
      <c r="J34" s="100">
        <f t="shared" si="3"/>
        <v>31.5</v>
      </c>
      <c r="K34" s="101">
        <f t="shared" si="2"/>
        <v>20.475000000000023</v>
      </c>
    </row>
    <row r="35" spans="1:11" ht="12.75" x14ac:dyDescent="0.2">
      <c r="A35" s="92">
        <v>45554</v>
      </c>
      <c r="B35" s="93" t="s">
        <v>39</v>
      </c>
      <c r="C35" s="94">
        <v>0.9667</v>
      </c>
      <c r="D35" s="95" t="s">
        <v>225</v>
      </c>
      <c r="E35" s="96"/>
      <c r="F35" s="96"/>
      <c r="G35" s="97">
        <v>630</v>
      </c>
      <c r="H35" s="98">
        <f t="shared" si="0"/>
        <v>20.979000000000042</v>
      </c>
      <c r="I35" s="99">
        <f t="shared" si="1"/>
        <v>1153.8450000000023</v>
      </c>
      <c r="J35" s="100">
        <f t="shared" si="3"/>
        <v>31.5</v>
      </c>
      <c r="K35" s="101">
        <f t="shared" si="2"/>
        <v>10.520999999999958</v>
      </c>
    </row>
    <row r="36" spans="1:11" ht="12.75" x14ac:dyDescent="0.2">
      <c r="A36" s="92">
        <v>45555</v>
      </c>
      <c r="B36" s="93" t="s">
        <v>41</v>
      </c>
      <c r="C36" s="94">
        <v>0.94130000000000003</v>
      </c>
      <c r="D36" s="95" t="s">
        <v>226</v>
      </c>
      <c r="E36" s="96"/>
      <c r="F36" s="96"/>
      <c r="G36" s="97">
        <v>630</v>
      </c>
      <c r="H36" s="98">
        <f t="shared" si="0"/>
        <v>36.980999999999995</v>
      </c>
      <c r="I36" s="99">
        <f t="shared" si="1"/>
        <v>2033.9549999999997</v>
      </c>
      <c r="J36" s="100">
        <f t="shared" si="3"/>
        <v>31.5</v>
      </c>
      <c r="K36" s="101">
        <f t="shared" si="2"/>
        <v>-5.4809999999999945</v>
      </c>
    </row>
    <row r="37" spans="1:11" ht="12.75" x14ac:dyDescent="0.2">
      <c r="A37" s="92">
        <v>45558</v>
      </c>
      <c r="B37" s="93" t="s">
        <v>33</v>
      </c>
      <c r="C37" s="94">
        <v>0.94289999999999996</v>
      </c>
      <c r="D37" s="95" t="s">
        <v>225</v>
      </c>
      <c r="E37" s="96"/>
      <c r="F37" s="96"/>
      <c r="G37" s="97">
        <v>630</v>
      </c>
      <c r="H37" s="98">
        <f t="shared" si="0"/>
        <v>35.97300000000007</v>
      </c>
      <c r="I37" s="99">
        <f t="shared" si="1"/>
        <v>1978.515000000004</v>
      </c>
      <c r="J37" s="100">
        <f t="shared" si="3"/>
        <v>31.5</v>
      </c>
      <c r="K37" s="101">
        <f t="shared" si="2"/>
        <v>-4.47300000000007</v>
      </c>
    </row>
    <row r="38" spans="1:11" ht="12.75" x14ac:dyDescent="0.2">
      <c r="A38" s="92">
        <v>45559</v>
      </c>
      <c r="B38" s="93" t="s">
        <v>35</v>
      </c>
      <c r="C38" s="94">
        <v>0.9556</v>
      </c>
      <c r="D38" s="95" t="s">
        <v>225</v>
      </c>
      <c r="E38" s="96"/>
      <c r="F38" s="96"/>
      <c r="G38" s="97">
        <v>630</v>
      </c>
      <c r="H38" s="98">
        <f t="shared" si="0"/>
        <v>27.97199999999998</v>
      </c>
      <c r="I38" s="99">
        <f t="shared" si="1"/>
        <v>1538.4599999999989</v>
      </c>
      <c r="J38" s="100">
        <f t="shared" si="3"/>
        <v>31.5</v>
      </c>
      <c r="K38" s="101">
        <f t="shared" si="2"/>
        <v>3.52800000000002</v>
      </c>
    </row>
    <row r="39" spans="1:11" ht="12.75" x14ac:dyDescent="0.2">
      <c r="A39" s="92">
        <v>45560</v>
      </c>
      <c r="B39" s="93" t="s">
        <v>37</v>
      </c>
      <c r="C39" s="94">
        <v>0.95399999999999996</v>
      </c>
      <c r="D39" s="95" t="s">
        <v>225</v>
      </c>
      <c r="E39" s="96"/>
      <c r="F39" s="96"/>
      <c r="G39" s="97">
        <v>630</v>
      </c>
      <c r="H39" s="98">
        <f t="shared" si="0"/>
        <v>28.980000000000018</v>
      </c>
      <c r="I39" s="99">
        <f t="shared" si="1"/>
        <v>1593.900000000001</v>
      </c>
      <c r="J39" s="100">
        <f t="shared" si="3"/>
        <v>31.5</v>
      </c>
      <c r="K39" s="101">
        <f t="shared" si="2"/>
        <v>2.5199999999999818</v>
      </c>
    </row>
    <row r="40" spans="1:11" ht="12.75" x14ac:dyDescent="0.2">
      <c r="A40" s="92">
        <v>45561</v>
      </c>
      <c r="B40" s="93" t="s">
        <v>39</v>
      </c>
      <c r="C40" s="94">
        <v>0.92859999999999998</v>
      </c>
      <c r="D40" s="95" t="s">
        <v>225</v>
      </c>
      <c r="E40" s="96"/>
      <c r="F40" s="96"/>
      <c r="G40" s="97">
        <v>630</v>
      </c>
      <c r="H40" s="98">
        <f t="shared" si="0"/>
        <v>44.981999999999971</v>
      </c>
      <c r="I40" s="99">
        <f t="shared" si="1"/>
        <v>2474.0099999999984</v>
      </c>
      <c r="J40" s="100">
        <f t="shared" si="3"/>
        <v>31.5</v>
      </c>
      <c r="K40" s="101">
        <f t="shared" si="2"/>
        <v>-13.481999999999971</v>
      </c>
    </row>
    <row r="41" spans="1:11" ht="12.75" x14ac:dyDescent="0.2">
      <c r="A41" s="92">
        <v>45562</v>
      </c>
      <c r="B41" s="93" t="s">
        <v>41</v>
      </c>
      <c r="C41" s="94">
        <v>0.95240000000000002</v>
      </c>
      <c r="D41" s="95" t="s">
        <v>225</v>
      </c>
      <c r="E41" s="96"/>
      <c r="F41" s="96"/>
      <c r="G41" s="97">
        <v>630</v>
      </c>
      <c r="H41" s="98">
        <f t="shared" si="0"/>
        <v>29.987999999999943</v>
      </c>
      <c r="I41" s="99">
        <f t="shared" si="1"/>
        <v>1649.339999999997</v>
      </c>
      <c r="J41" s="100">
        <f t="shared" si="3"/>
        <v>31.5</v>
      </c>
      <c r="K41" s="101">
        <f t="shared" si="2"/>
        <v>1.5120000000000573</v>
      </c>
    </row>
    <row r="42" spans="1:11" ht="12.75" x14ac:dyDescent="0.2">
      <c r="A42" s="92">
        <v>45565</v>
      </c>
      <c r="B42" s="93" t="s">
        <v>33</v>
      </c>
      <c r="C42" s="94">
        <v>0.9395</v>
      </c>
      <c r="D42" s="95" t="s">
        <v>225</v>
      </c>
      <c r="E42" s="96"/>
      <c r="F42" s="96"/>
      <c r="G42" s="97">
        <v>628</v>
      </c>
      <c r="H42" s="98">
        <f t="shared" si="0"/>
        <v>37.994000000000028</v>
      </c>
      <c r="I42" s="99">
        <f t="shared" si="1"/>
        <v>2089.6700000000014</v>
      </c>
      <c r="J42" s="100">
        <f t="shared" si="3"/>
        <v>31.399999999999977</v>
      </c>
      <c r="K42" s="101">
        <f t="shared" si="2"/>
        <v>-6.5940000000000509</v>
      </c>
    </row>
    <row r="43" spans="1:11" ht="12.75" x14ac:dyDescent="0.2">
      <c r="A43" s="92">
        <v>45566</v>
      </c>
      <c r="B43" s="93" t="s">
        <v>35</v>
      </c>
      <c r="C43" s="94">
        <v>0.96499999999999997</v>
      </c>
      <c r="D43" s="95" t="s">
        <v>225</v>
      </c>
      <c r="E43" s="96"/>
      <c r="F43" s="96"/>
      <c r="G43" s="97">
        <v>628</v>
      </c>
      <c r="H43" s="98">
        <f t="shared" si="0"/>
        <v>21.980000000000018</v>
      </c>
      <c r="I43" s="99">
        <f t="shared" si="1"/>
        <v>1208.900000000001</v>
      </c>
      <c r="J43" s="100">
        <f t="shared" si="3"/>
        <v>31.399999999999977</v>
      </c>
      <c r="K43" s="101">
        <f t="shared" si="2"/>
        <v>9.4199999999999591</v>
      </c>
    </row>
    <row r="44" spans="1:11" ht="12.75" x14ac:dyDescent="0.2">
      <c r="A44" s="92">
        <v>45567</v>
      </c>
      <c r="B44" s="93" t="s">
        <v>37</v>
      </c>
      <c r="C44" s="94">
        <v>0.95709999999999995</v>
      </c>
      <c r="D44" s="95" t="s">
        <v>225</v>
      </c>
      <c r="E44" s="96"/>
      <c r="F44" s="96"/>
      <c r="G44" s="97">
        <v>629</v>
      </c>
      <c r="H44" s="98">
        <f t="shared" si="0"/>
        <v>26.984100000000012</v>
      </c>
      <c r="I44" s="99">
        <f t="shared" si="1"/>
        <v>1484.1255000000006</v>
      </c>
      <c r="J44" s="100">
        <f t="shared" si="3"/>
        <v>31.450000000000045</v>
      </c>
      <c r="K44" s="101">
        <f t="shared" si="2"/>
        <v>4.4659000000000333</v>
      </c>
    </row>
    <row r="45" spans="1:11" ht="12.75" x14ac:dyDescent="0.2">
      <c r="A45" s="92">
        <v>45568</v>
      </c>
      <c r="B45" s="93" t="s">
        <v>39</v>
      </c>
      <c r="C45" s="94">
        <v>0.94589999999999996</v>
      </c>
      <c r="D45" s="95" t="s">
        <v>226</v>
      </c>
      <c r="E45" s="96"/>
      <c r="F45" s="96"/>
      <c r="G45" s="97">
        <v>629</v>
      </c>
      <c r="H45" s="98">
        <f t="shared" si="0"/>
        <v>34.028900000000021</v>
      </c>
      <c r="I45" s="99">
        <f t="shared" si="1"/>
        <v>1871.5895000000012</v>
      </c>
      <c r="J45" s="100">
        <f t="shared" si="3"/>
        <v>31.450000000000045</v>
      </c>
      <c r="K45" s="101">
        <f t="shared" si="2"/>
        <v>-2.578899999999976</v>
      </c>
    </row>
    <row r="46" spans="1:11" ht="25.5" x14ac:dyDescent="0.2">
      <c r="A46" s="92">
        <v>45569</v>
      </c>
      <c r="B46" s="93" t="s">
        <v>41</v>
      </c>
      <c r="C46" s="94">
        <v>0.93</v>
      </c>
      <c r="D46" s="95" t="s">
        <v>225</v>
      </c>
      <c r="E46" s="96" t="s">
        <v>450</v>
      </c>
      <c r="F46" s="96"/>
      <c r="G46" s="97">
        <v>629</v>
      </c>
      <c r="H46" s="98">
        <f t="shared" si="0"/>
        <v>44.029999999999973</v>
      </c>
      <c r="I46" s="99">
        <f t="shared" si="1"/>
        <v>2421.6499999999987</v>
      </c>
      <c r="J46" s="100">
        <f t="shared" si="3"/>
        <v>31.450000000000045</v>
      </c>
      <c r="K46" s="101">
        <f t="shared" si="2"/>
        <v>-12.579999999999927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0"/>
        <v>0</v>
      </c>
      <c r="I47" s="99">
        <f t="shared" si="1"/>
        <v>0</v>
      </c>
      <c r="J47" s="100">
        <f t="shared" si="3"/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0"/>
        <v>0</v>
      </c>
      <c r="I48" s="99">
        <f t="shared" si="1"/>
        <v>0</v>
      </c>
      <c r="J48" s="100">
        <f t="shared" si="3"/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0"/>
        <v>0</v>
      </c>
      <c r="I49" s="99">
        <f t="shared" si="1"/>
        <v>0</v>
      </c>
      <c r="J49" s="100">
        <f t="shared" si="3"/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0"/>
        <v>0</v>
      </c>
      <c r="I50" s="99">
        <f t="shared" si="1"/>
        <v>0</v>
      </c>
      <c r="J50" s="100">
        <f t="shared" si="3"/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0"/>
        <v>0</v>
      </c>
      <c r="I51" s="99">
        <f t="shared" si="1"/>
        <v>0</v>
      </c>
      <c r="J51" s="100">
        <f t="shared" si="3"/>
        <v>0</v>
      </c>
      <c r="K51" s="101">
        <f t="shared" si="2"/>
        <v>0</v>
      </c>
    </row>
    <row r="52" spans="1:11" ht="12.75" x14ac:dyDescent="0.2">
      <c r="A52" s="92">
        <v>45579</v>
      </c>
      <c r="B52" s="93" t="s">
        <v>33</v>
      </c>
      <c r="C52" s="94">
        <v>0.92220000000000002</v>
      </c>
      <c r="D52" s="95" t="s">
        <v>225</v>
      </c>
      <c r="E52" s="96"/>
      <c r="F52" s="96"/>
      <c r="G52" s="97">
        <v>630</v>
      </c>
      <c r="H52" s="98">
        <f t="shared" si="0"/>
        <v>49.01400000000001</v>
      </c>
      <c r="I52" s="99">
        <f t="shared" si="1"/>
        <v>2695.7700000000004</v>
      </c>
      <c r="J52" s="100">
        <f t="shared" si="3"/>
        <v>31.5</v>
      </c>
      <c r="K52" s="101">
        <f t="shared" si="2"/>
        <v>-17.51400000000001</v>
      </c>
    </row>
    <row r="53" spans="1:11" ht="12.75" x14ac:dyDescent="0.2">
      <c r="A53" s="92">
        <v>45580</v>
      </c>
      <c r="B53" s="93" t="s">
        <v>35</v>
      </c>
      <c r="C53" s="94">
        <v>0.94130000000000003</v>
      </c>
      <c r="D53" s="95" t="s">
        <v>225</v>
      </c>
      <c r="E53" s="96"/>
      <c r="F53" s="96"/>
      <c r="G53" s="97">
        <v>630</v>
      </c>
      <c r="H53" s="98">
        <f t="shared" si="0"/>
        <v>36.980999999999995</v>
      </c>
      <c r="I53" s="99">
        <f t="shared" si="1"/>
        <v>2033.9549999999997</v>
      </c>
      <c r="J53" s="100">
        <f t="shared" si="3"/>
        <v>31.5</v>
      </c>
      <c r="K53" s="101">
        <f t="shared" si="2"/>
        <v>-5.4809999999999945</v>
      </c>
    </row>
    <row r="54" spans="1:11" ht="12.75" x14ac:dyDescent="0.2">
      <c r="A54" s="92">
        <v>45581</v>
      </c>
      <c r="B54" s="93" t="s">
        <v>37</v>
      </c>
      <c r="C54" s="115">
        <v>0.9556</v>
      </c>
      <c r="D54" s="95" t="s">
        <v>226</v>
      </c>
      <c r="E54" s="96"/>
      <c r="F54" s="116"/>
      <c r="G54" s="97">
        <v>630</v>
      </c>
      <c r="H54" s="98">
        <f t="shared" si="0"/>
        <v>27.97199999999998</v>
      </c>
      <c r="I54" s="99">
        <f t="shared" si="1"/>
        <v>1538.4599999999989</v>
      </c>
      <c r="J54" s="100">
        <f t="shared" si="3"/>
        <v>31.5</v>
      </c>
      <c r="K54" s="101">
        <f t="shared" si="2"/>
        <v>3.52800000000002</v>
      </c>
    </row>
    <row r="55" spans="1:11" ht="12.75" x14ac:dyDescent="0.2">
      <c r="A55" s="92">
        <v>45582</v>
      </c>
      <c r="B55" s="93" t="s">
        <v>39</v>
      </c>
      <c r="C55" s="94">
        <v>0.96519999999999995</v>
      </c>
      <c r="D55" s="95" t="s">
        <v>225</v>
      </c>
      <c r="E55" s="96"/>
      <c r="F55" s="96"/>
      <c r="G55" s="97">
        <v>632</v>
      </c>
      <c r="H55" s="98">
        <f t="shared" si="0"/>
        <v>21.993600000000015</v>
      </c>
      <c r="I55" s="99">
        <f t="shared" si="1"/>
        <v>1209.6480000000008</v>
      </c>
      <c r="J55" s="100">
        <f t="shared" si="3"/>
        <v>31.600000000000023</v>
      </c>
      <c r="K55" s="101">
        <f t="shared" si="2"/>
        <v>9.6064000000000078</v>
      </c>
    </row>
    <row r="56" spans="1:11" ht="12.75" x14ac:dyDescent="0.2">
      <c r="A56" s="92">
        <v>45583</v>
      </c>
      <c r="B56" s="93" t="s">
        <v>41</v>
      </c>
      <c r="C56" s="94">
        <v>0.95889999999999997</v>
      </c>
      <c r="D56" s="95" t="s">
        <v>225</v>
      </c>
      <c r="E56" s="96"/>
      <c r="F56" s="96"/>
      <c r="G56" s="97">
        <v>633</v>
      </c>
      <c r="H56" s="98">
        <f t="shared" si="0"/>
        <v>26.016300000000001</v>
      </c>
      <c r="I56" s="99">
        <f t="shared" si="1"/>
        <v>1430.8965000000001</v>
      </c>
      <c r="J56" s="100">
        <f t="shared" si="3"/>
        <v>31.649999999999977</v>
      </c>
      <c r="K56" s="101">
        <f t="shared" si="2"/>
        <v>5.6336999999999762</v>
      </c>
    </row>
    <row r="57" spans="1:11" ht="12.75" x14ac:dyDescent="0.2">
      <c r="A57" s="92">
        <v>45586</v>
      </c>
      <c r="B57" s="93" t="s">
        <v>33</v>
      </c>
      <c r="C57" s="94">
        <v>0.94159999999999999</v>
      </c>
      <c r="D57" s="95" t="s">
        <v>225</v>
      </c>
      <c r="E57" s="96"/>
      <c r="F57" s="96"/>
      <c r="G57" s="97">
        <v>634</v>
      </c>
      <c r="H57" s="98">
        <f t="shared" si="0"/>
        <v>37.025600000000054</v>
      </c>
      <c r="I57" s="99">
        <f t="shared" si="1"/>
        <v>2036.4080000000031</v>
      </c>
      <c r="J57" s="100">
        <f t="shared" si="3"/>
        <v>31.700000000000045</v>
      </c>
      <c r="K57" s="101">
        <f t="shared" si="2"/>
        <v>-5.3256000000000085</v>
      </c>
    </row>
    <row r="58" spans="1:11" ht="12.75" x14ac:dyDescent="0.2">
      <c r="A58" s="92">
        <v>45587</v>
      </c>
      <c r="B58" s="93" t="s">
        <v>35</v>
      </c>
      <c r="C58" s="94">
        <v>0.96209999999999996</v>
      </c>
      <c r="D58" s="95" t="s">
        <v>225</v>
      </c>
      <c r="E58" s="96"/>
      <c r="F58" s="96"/>
      <c r="G58" s="97">
        <v>634</v>
      </c>
      <c r="H58" s="98">
        <f t="shared" si="0"/>
        <v>24.028599999999983</v>
      </c>
      <c r="I58" s="99">
        <f t="shared" si="1"/>
        <v>1321.572999999999</v>
      </c>
      <c r="J58" s="100">
        <f t="shared" si="3"/>
        <v>31.700000000000045</v>
      </c>
      <c r="K58" s="101">
        <f t="shared" si="2"/>
        <v>7.6714000000000624</v>
      </c>
    </row>
    <row r="59" spans="1:11" ht="12.75" x14ac:dyDescent="0.2">
      <c r="A59" s="92">
        <v>45588</v>
      </c>
      <c r="B59" s="93" t="s">
        <v>37</v>
      </c>
      <c r="C59" s="94">
        <v>0.9637</v>
      </c>
      <c r="D59" s="95" t="s">
        <v>225</v>
      </c>
      <c r="E59" s="96"/>
      <c r="F59" s="96"/>
      <c r="G59" s="97">
        <v>634</v>
      </c>
      <c r="H59" s="98">
        <f t="shared" si="0"/>
        <v>23.01419999999996</v>
      </c>
      <c r="I59" s="99">
        <f t="shared" si="1"/>
        <v>1265.7809999999977</v>
      </c>
      <c r="J59" s="100">
        <f t="shared" si="3"/>
        <v>31.700000000000045</v>
      </c>
      <c r="K59" s="101">
        <f t="shared" si="2"/>
        <v>8.6858000000000857</v>
      </c>
    </row>
    <row r="60" spans="1:11" ht="12.75" x14ac:dyDescent="0.2">
      <c r="A60" s="92">
        <v>45589</v>
      </c>
      <c r="B60" s="93" t="s">
        <v>39</v>
      </c>
      <c r="C60" s="94">
        <v>0.96379999999999999</v>
      </c>
      <c r="D60" s="95" t="s">
        <v>225</v>
      </c>
      <c r="E60" s="96"/>
      <c r="F60" s="96"/>
      <c r="G60" s="97">
        <v>635</v>
      </c>
      <c r="H60" s="98">
        <f t="shared" si="0"/>
        <v>22.986999999999966</v>
      </c>
      <c r="I60" s="99">
        <f t="shared" si="1"/>
        <v>1264.284999999998</v>
      </c>
      <c r="J60" s="100">
        <f t="shared" si="3"/>
        <v>31.75</v>
      </c>
      <c r="K60" s="101">
        <f t="shared" si="2"/>
        <v>8.7630000000000337</v>
      </c>
    </row>
    <row r="61" spans="1:11" ht="12.75" x14ac:dyDescent="0.2">
      <c r="A61" s="92">
        <v>45590</v>
      </c>
      <c r="B61" s="93" t="s">
        <v>41</v>
      </c>
      <c r="C61" s="94">
        <v>0.94489999999999996</v>
      </c>
      <c r="D61" s="95" t="s">
        <v>225</v>
      </c>
      <c r="E61" s="96"/>
      <c r="F61" s="96"/>
      <c r="G61" s="97">
        <v>635</v>
      </c>
      <c r="H61" s="98">
        <f t="shared" si="0"/>
        <v>34.988500000000045</v>
      </c>
      <c r="I61" s="99">
        <f t="shared" si="1"/>
        <v>1924.3675000000026</v>
      </c>
      <c r="J61" s="100">
        <f t="shared" si="3"/>
        <v>31.75</v>
      </c>
      <c r="K61" s="101">
        <f t="shared" si="2"/>
        <v>-3.2385000000000446</v>
      </c>
    </row>
    <row r="62" spans="1:11" ht="12.75" x14ac:dyDescent="0.2">
      <c r="A62" s="92">
        <v>45593</v>
      </c>
      <c r="B62" s="93" t="s">
        <v>33</v>
      </c>
      <c r="C62" s="94">
        <v>0.93689999999999996</v>
      </c>
      <c r="D62" s="95" t="s">
        <v>225</v>
      </c>
      <c r="E62" s="96"/>
      <c r="F62" s="96"/>
      <c r="G62" s="97">
        <v>634</v>
      </c>
      <c r="H62" s="98">
        <f t="shared" si="0"/>
        <v>40.005400000000009</v>
      </c>
      <c r="I62" s="99">
        <f t="shared" si="1"/>
        <v>2200.2970000000005</v>
      </c>
      <c r="J62" s="100">
        <f t="shared" si="3"/>
        <v>31.700000000000045</v>
      </c>
      <c r="K62" s="101">
        <f t="shared" si="2"/>
        <v>-8.3053999999999633</v>
      </c>
    </row>
    <row r="63" spans="1:11" ht="12.75" x14ac:dyDescent="0.2">
      <c r="A63" s="92">
        <v>45594</v>
      </c>
      <c r="B63" s="93" t="s">
        <v>35</v>
      </c>
      <c r="C63" s="94">
        <v>0.9496</v>
      </c>
      <c r="D63" s="95" t="s">
        <v>225</v>
      </c>
      <c r="E63" s="96"/>
      <c r="F63" s="96"/>
      <c r="G63" s="97">
        <v>634</v>
      </c>
      <c r="H63" s="98">
        <f t="shared" si="0"/>
        <v>31.953600000000051</v>
      </c>
      <c r="I63" s="99">
        <f t="shared" si="1"/>
        <v>1757.4480000000028</v>
      </c>
      <c r="J63" s="100">
        <f t="shared" si="3"/>
        <v>31.700000000000045</v>
      </c>
      <c r="K63" s="101">
        <f t="shared" si="2"/>
        <v>-0.25360000000000582</v>
      </c>
    </row>
    <row r="64" spans="1:11" ht="12.75" x14ac:dyDescent="0.2">
      <c r="A64" s="92">
        <v>45595</v>
      </c>
      <c r="B64" s="93" t="s">
        <v>37</v>
      </c>
      <c r="C64" s="94">
        <v>0.95909999999999995</v>
      </c>
      <c r="D64" s="95" t="s">
        <v>226</v>
      </c>
      <c r="E64" s="96"/>
      <c r="F64" s="96"/>
      <c r="G64" s="97">
        <v>634</v>
      </c>
      <c r="H64" s="98">
        <f t="shared" si="0"/>
        <v>25.930600000000027</v>
      </c>
      <c r="I64" s="99">
        <f t="shared" si="1"/>
        <v>1426.1830000000014</v>
      </c>
      <c r="J64" s="100">
        <f t="shared" si="3"/>
        <v>31.700000000000045</v>
      </c>
      <c r="K64" s="101">
        <f t="shared" si="2"/>
        <v>5.7694000000000187</v>
      </c>
    </row>
    <row r="65" spans="1:11" ht="12.75" x14ac:dyDescent="0.2">
      <c r="A65" s="92">
        <v>45596</v>
      </c>
      <c r="B65" s="93" t="s">
        <v>39</v>
      </c>
      <c r="C65" s="94">
        <v>0.95120000000000005</v>
      </c>
      <c r="D65" s="95" t="s">
        <v>226</v>
      </c>
      <c r="E65" s="96"/>
      <c r="F65" s="96"/>
      <c r="G65" s="97">
        <v>636</v>
      </c>
      <c r="H65" s="98">
        <f t="shared" si="0"/>
        <v>31.036799999999971</v>
      </c>
      <c r="I65" s="99">
        <f t="shared" si="1"/>
        <v>1707.0239999999985</v>
      </c>
      <c r="J65" s="100">
        <f t="shared" si="3"/>
        <v>31.800000000000068</v>
      </c>
      <c r="K65" s="101">
        <f t="shared" si="2"/>
        <v>0.76320000000009713</v>
      </c>
    </row>
    <row r="66" spans="1:11" ht="12.75" x14ac:dyDescent="0.2">
      <c r="A66" s="92">
        <v>45597</v>
      </c>
      <c r="B66" s="93" t="s">
        <v>41</v>
      </c>
      <c r="C66" s="94">
        <v>0.88660000000000005</v>
      </c>
      <c r="D66" s="95" t="s">
        <v>225</v>
      </c>
      <c r="E66" s="96" t="s">
        <v>228</v>
      </c>
      <c r="F66" s="96"/>
      <c r="G66" s="97">
        <v>635</v>
      </c>
      <c r="H66" s="98">
        <f t="shared" si="0"/>
        <v>72.009000000000015</v>
      </c>
      <c r="I66" s="99">
        <f t="shared" si="1"/>
        <v>3960.4950000000008</v>
      </c>
      <c r="J66" s="100">
        <f t="shared" si="3"/>
        <v>31.75</v>
      </c>
      <c r="K66" s="101">
        <f t="shared" si="2"/>
        <v>-40.259000000000015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0"/>
        <v>0</v>
      </c>
      <c r="I67" s="99">
        <f t="shared" si="1"/>
        <v>0</v>
      </c>
      <c r="J67" s="100">
        <f t="shared" si="3"/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0"/>
        <v>0</v>
      </c>
      <c r="I68" s="99">
        <f t="shared" si="1"/>
        <v>0</v>
      </c>
      <c r="J68" s="100">
        <f t="shared" si="3"/>
        <v>0</v>
      </c>
      <c r="K68" s="101">
        <f t="shared" si="2"/>
        <v>0</v>
      </c>
    </row>
    <row r="69" spans="1:11" ht="12.75" x14ac:dyDescent="0.2">
      <c r="A69" s="92">
        <v>45602</v>
      </c>
      <c r="B69" s="93" t="s">
        <v>37</v>
      </c>
      <c r="C69" s="94">
        <v>0.97</v>
      </c>
      <c r="D69" s="95" t="s">
        <v>282</v>
      </c>
      <c r="E69" s="96"/>
      <c r="F69" s="96"/>
      <c r="G69" s="97">
        <v>634</v>
      </c>
      <c r="H69" s="98">
        <f t="shared" si="0"/>
        <v>19.019999999999982</v>
      </c>
      <c r="I69" s="99">
        <f t="shared" si="1"/>
        <v>1046.099999999999</v>
      </c>
      <c r="J69" s="100">
        <f t="shared" si="3"/>
        <v>31.700000000000045</v>
      </c>
      <c r="K69" s="101">
        <f t="shared" si="2"/>
        <v>12.680000000000064</v>
      </c>
    </row>
    <row r="70" spans="1:11" ht="12.75" x14ac:dyDescent="0.2">
      <c r="A70" s="92">
        <v>45603</v>
      </c>
      <c r="B70" s="93" t="s">
        <v>39</v>
      </c>
      <c r="C70" s="94">
        <v>0.97789999999999999</v>
      </c>
      <c r="D70" s="102" t="s">
        <v>226</v>
      </c>
      <c r="E70" s="96"/>
      <c r="F70" s="96"/>
      <c r="G70" s="97">
        <v>634</v>
      </c>
      <c r="H70" s="98">
        <f t="shared" si="0"/>
        <v>14.011399999999981</v>
      </c>
      <c r="I70" s="99">
        <f t="shared" si="1"/>
        <v>770.62699999999893</v>
      </c>
      <c r="J70" s="100">
        <f t="shared" si="3"/>
        <v>31.700000000000045</v>
      </c>
      <c r="K70" s="101">
        <f t="shared" si="2"/>
        <v>17.688600000000065</v>
      </c>
    </row>
    <row r="71" spans="1:11" ht="12.75" x14ac:dyDescent="0.2">
      <c r="A71" s="92">
        <v>45604</v>
      </c>
      <c r="B71" s="93" t="s">
        <v>41</v>
      </c>
      <c r="C71" s="94">
        <v>0.95430000000000004</v>
      </c>
      <c r="D71" s="102" t="s">
        <v>225</v>
      </c>
      <c r="E71" s="96"/>
      <c r="F71" s="96"/>
      <c r="G71" s="97">
        <v>634</v>
      </c>
      <c r="H71" s="98">
        <f t="shared" si="0"/>
        <v>28.973799999999983</v>
      </c>
      <c r="I71" s="99">
        <f t="shared" si="1"/>
        <v>1593.5589999999991</v>
      </c>
      <c r="J71" s="100">
        <f t="shared" si="3"/>
        <v>31.700000000000045</v>
      </c>
      <c r="K71" s="101">
        <f t="shared" si="2"/>
        <v>2.7262000000000626</v>
      </c>
    </row>
    <row r="72" spans="1:11" ht="12.75" x14ac:dyDescent="0.2">
      <c r="A72" s="92">
        <v>45607</v>
      </c>
      <c r="B72" s="93" t="s">
        <v>33</v>
      </c>
      <c r="C72" s="94">
        <v>0.93859999999999999</v>
      </c>
      <c r="D72" s="102" t="s">
        <v>225</v>
      </c>
      <c r="E72" s="96"/>
      <c r="F72" s="96"/>
      <c r="G72" s="97">
        <v>635</v>
      </c>
      <c r="H72" s="98">
        <f t="shared" si="0"/>
        <v>38.989000000000033</v>
      </c>
      <c r="I72" s="99">
        <f t="shared" si="1"/>
        <v>2144.3950000000018</v>
      </c>
      <c r="J72" s="100">
        <f t="shared" si="3"/>
        <v>31.75</v>
      </c>
      <c r="K72" s="101">
        <f t="shared" si="2"/>
        <v>-7.2390000000000327</v>
      </c>
    </row>
    <row r="73" spans="1:11" ht="12.75" x14ac:dyDescent="0.2">
      <c r="A73" s="92">
        <v>45608</v>
      </c>
      <c r="B73" s="93" t="s">
        <v>35</v>
      </c>
      <c r="C73" s="94">
        <v>0.96540000000000004</v>
      </c>
      <c r="D73" s="95" t="s">
        <v>226</v>
      </c>
      <c r="E73" s="96"/>
      <c r="F73" s="96"/>
      <c r="G73" s="97">
        <v>635</v>
      </c>
      <c r="H73" s="98">
        <f t="shared" si="0"/>
        <v>21.971000000000004</v>
      </c>
      <c r="I73" s="99">
        <f t="shared" si="1"/>
        <v>1208.4050000000002</v>
      </c>
      <c r="J73" s="100">
        <f t="shared" si="3"/>
        <v>31.75</v>
      </c>
      <c r="K73" s="101">
        <f t="shared" si="2"/>
        <v>9.7789999999999964</v>
      </c>
    </row>
    <row r="74" spans="1:11" ht="12.75" x14ac:dyDescent="0.2">
      <c r="A74" s="92">
        <v>45609</v>
      </c>
      <c r="B74" s="93" t="s">
        <v>37</v>
      </c>
      <c r="C74" s="94">
        <v>0.96220000000000006</v>
      </c>
      <c r="D74" s="95" t="s">
        <v>226</v>
      </c>
      <c r="E74" s="96"/>
      <c r="F74" s="96"/>
      <c r="G74" s="97">
        <v>635</v>
      </c>
      <c r="H74" s="98">
        <f t="shared" si="0"/>
        <v>24.002999999999929</v>
      </c>
      <c r="I74" s="99">
        <f t="shared" si="1"/>
        <v>1320.1649999999961</v>
      </c>
      <c r="J74" s="100">
        <f t="shared" si="3"/>
        <v>31.75</v>
      </c>
      <c r="K74" s="101">
        <f t="shared" si="2"/>
        <v>7.7470000000000709</v>
      </c>
    </row>
    <row r="75" spans="1:11" ht="12.75" x14ac:dyDescent="0.2">
      <c r="A75" s="92">
        <v>45610</v>
      </c>
      <c r="B75" s="93" t="s">
        <v>39</v>
      </c>
      <c r="C75" s="94">
        <v>0.96699999999999997</v>
      </c>
      <c r="D75" s="95" t="s">
        <v>226</v>
      </c>
      <c r="E75" s="96"/>
      <c r="F75" s="96"/>
      <c r="G75" s="97">
        <v>637</v>
      </c>
      <c r="H75" s="98">
        <f t="shared" si="0"/>
        <v>21.021000000000072</v>
      </c>
      <c r="I75" s="99">
        <f t="shared" si="1"/>
        <v>1156.1550000000038</v>
      </c>
      <c r="J75" s="100">
        <f t="shared" si="3"/>
        <v>31.850000000000023</v>
      </c>
      <c r="K75" s="101">
        <f t="shared" si="2"/>
        <v>10.828999999999951</v>
      </c>
    </row>
    <row r="76" spans="1:11" ht="12.75" x14ac:dyDescent="0.2">
      <c r="A76" s="92">
        <v>45611</v>
      </c>
      <c r="B76" s="93" t="s">
        <v>41</v>
      </c>
      <c r="C76" s="94">
        <v>0.93559999999999999</v>
      </c>
      <c r="D76" s="95" t="s">
        <v>226</v>
      </c>
      <c r="E76" s="96"/>
      <c r="F76" s="96"/>
      <c r="G76" s="97">
        <v>637</v>
      </c>
      <c r="H76" s="98">
        <f t="shared" si="0"/>
        <v>41.022799999999961</v>
      </c>
      <c r="I76" s="99">
        <f t="shared" si="1"/>
        <v>2256.2539999999981</v>
      </c>
      <c r="J76" s="100">
        <f t="shared" si="3"/>
        <v>31.850000000000023</v>
      </c>
      <c r="K76" s="101">
        <f t="shared" si="2"/>
        <v>-9.1727999999999383</v>
      </c>
    </row>
    <row r="77" spans="1:11" ht="12.75" x14ac:dyDescent="0.2">
      <c r="A77" s="92">
        <v>45614</v>
      </c>
      <c r="B77" s="93" t="s">
        <v>33</v>
      </c>
      <c r="C77" s="94">
        <v>0.93389999999999995</v>
      </c>
      <c r="D77" s="95" t="s">
        <v>226</v>
      </c>
      <c r="E77" s="96"/>
      <c r="F77" s="96"/>
      <c r="G77" s="97">
        <v>635</v>
      </c>
      <c r="H77" s="98">
        <f t="shared" si="0"/>
        <v>41.973500000000058</v>
      </c>
      <c r="I77" s="99">
        <f t="shared" si="1"/>
        <v>2308.5425000000032</v>
      </c>
      <c r="J77" s="100">
        <f t="shared" si="3"/>
        <v>31.75</v>
      </c>
      <c r="K77" s="101">
        <f t="shared" si="2"/>
        <v>-10.223500000000058</v>
      </c>
    </row>
    <row r="78" spans="1:11" ht="12.75" x14ac:dyDescent="0.2">
      <c r="A78" s="92">
        <v>45615</v>
      </c>
      <c r="B78" s="93" t="s">
        <v>35</v>
      </c>
      <c r="C78" s="94">
        <v>0.94169999999999998</v>
      </c>
      <c r="D78" s="95" t="s">
        <v>282</v>
      </c>
      <c r="E78" s="96"/>
      <c r="F78" s="96"/>
      <c r="G78" s="97">
        <v>635</v>
      </c>
      <c r="H78" s="98">
        <f t="shared" si="0"/>
        <v>37.02049999999997</v>
      </c>
      <c r="I78" s="99">
        <f t="shared" si="1"/>
        <v>2036.1274999999982</v>
      </c>
      <c r="J78" s="100">
        <f t="shared" si="3"/>
        <v>31.75</v>
      </c>
      <c r="K78" s="101">
        <f t="shared" si="2"/>
        <v>-5.27049999999997</v>
      </c>
    </row>
    <row r="79" spans="1:11" ht="12.75" x14ac:dyDescent="0.2">
      <c r="A79" s="92">
        <v>45616</v>
      </c>
      <c r="B79" s="93" t="s">
        <v>37</v>
      </c>
      <c r="C79" s="94">
        <v>0.93859999999999999</v>
      </c>
      <c r="D79" s="95" t="s">
        <v>226</v>
      </c>
      <c r="E79" s="96"/>
      <c r="F79" s="96"/>
      <c r="G79" s="97">
        <v>635</v>
      </c>
      <c r="H79" s="98">
        <f t="shared" si="0"/>
        <v>38.989000000000033</v>
      </c>
      <c r="I79" s="99">
        <f t="shared" si="1"/>
        <v>2144.3950000000018</v>
      </c>
      <c r="J79" s="100">
        <f t="shared" si="3"/>
        <v>31.75</v>
      </c>
      <c r="K79" s="101">
        <f t="shared" si="2"/>
        <v>-7.2390000000000327</v>
      </c>
    </row>
    <row r="80" spans="1:11" ht="12.75" x14ac:dyDescent="0.2">
      <c r="A80" s="92">
        <v>45617</v>
      </c>
      <c r="B80" s="93" t="s">
        <v>39</v>
      </c>
      <c r="C80" s="94">
        <v>0.94489999999999996</v>
      </c>
      <c r="D80" s="95" t="s">
        <v>226</v>
      </c>
      <c r="E80" s="96"/>
      <c r="F80" s="96"/>
      <c r="G80" s="97">
        <v>635</v>
      </c>
      <c r="H80" s="98">
        <f t="shared" si="0"/>
        <v>34.988500000000045</v>
      </c>
      <c r="I80" s="99">
        <f t="shared" si="1"/>
        <v>1924.3675000000026</v>
      </c>
      <c r="J80" s="100">
        <f t="shared" si="3"/>
        <v>31.75</v>
      </c>
      <c r="K80" s="101">
        <f t="shared" si="2"/>
        <v>-3.2385000000000446</v>
      </c>
    </row>
    <row r="81" spans="1:11" ht="12.75" x14ac:dyDescent="0.2">
      <c r="A81" s="92">
        <v>45618</v>
      </c>
      <c r="B81" s="93" t="s">
        <v>41</v>
      </c>
      <c r="C81" s="94">
        <v>0.88190000000000002</v>
      </c>
      <c r="D81" s="95" t="s">
        <v>227</v>
      </c>
      <c r="E81" s="96" t="s">
        <v>451</v>
      </c>
      <c r="F81" s="96"/>
      <c r="G81" s="97">
        <v>635</v>
      </c>
      <c r="H81" s="98">
        <f t="shared" si="0"/>
        <v>74.99350000000004</v>
      </c>
      <c r="I81" s="99">
        <f t="shared" si="1"/>
        <v>4124.6425000000017</v>
      </c>
      <c r="J81" s="100">
        <f t="shared" si="3"/>
        <v>31.75</v>
      </c>
      <c r="K81" s="101">
        <f t="shared" si="2"/>
        <v>-43.24350000000004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0"/>
        <v>0</v>
      </c>
      <c r="I82" s="99">
        <f t="shared" si="1"/>
        <v>0</v>
      </c>
      <c r="J82" s="100">
        <f t="shared" si="3"/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0"/>
        <v>0</v>
      </c>
      <c r="I83" s="99">
        <f t="shared" si="1"/>
        <v>0</v>
      </c>
      <c r="J83" s="100">
        <f t="shared" si="3"/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0"/>
        <v>0</v>
      </c>
      <c r="I84" s="99">
        <f t="shared" si="1"/>
        <v>0</v>
      </c>
      <c r="J84" s="100">
        <f t="shared" si="3"/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0"/>
        <v>0</v>
      </c>
      <c r="I85" s="99">
        <f t="shared" si="1"/>
        <v>0</v>
      </c>
      <c r="J85" s="100">
        <f t="shared" si="3"/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0"/>
        <v>0</v>
      </c>
      <c r="I86" s="99">
        <f t="shared" si="1"/>
        <v>0</v>
      </c>
      <c r="J86" s="100">
        <f t="shared" si="3"/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0.92889999999999995</v>
      </c>
      <c r="D87" s="95" t="s">
        <v>226</v>
      </c>
      <c r="E87" s="96"/>
      <c r="F87" s="96"/>
      <c r="G87" s="97">
        <v>634</v>
      </c>
      <c r="H87" s="98">
        <f t="shared" si="0"/>
        <v>45.077400000000011</v>
      </c>
      <c r="I87" s="99">
        <f t="shared" si="1"/>
        <v>2479.2570000000005</v>
      </c>
      <c r="J87" s="100">
        <f t="shared" si="3"/>
        <v>31.700000000000045</v>
      </c>
      <c r="K87" s="101">
        <f t="shared" si="2"/>
        <v>-13.377399999999966</v>
      </c>
    </row>
    <row r="88" spans="1:11" ht="12.75" x14ac:dyDescent="0.2">
      <c r="A88" s="92">
        <v>45629</v>
      </c>
      <c r="B88" s="93" t="s">
        <v>35</v>
      </c>
      <c r="C88" s="94">
        <v>0.95109999999999995</v>
      </c>
      <c r="D88" s="95" t="s">
        <v>225</v>
      </c>
      <c r="E88" s="96"/>
      <c r="F88" s="96"/>
      <c r="G88" s="97">
        <v>634</v>
      </c>
      <c r="H88" s="98">
        <f t="shared" si="0"/>
        <v>31.002600000000029</v>
      </c>
      <c r="I88" s="99">
        <f t="shared" si="1"/>
        <v>1705.1430000000016</v>
      </c>
      <c r="J88" s="100">
        <f t="shared" si="3"/>
        <v>31.700000000000045</v>
      </c>
      <c r="K88" s="101">
        <f t="shared" si="2"/>
        <v>0.69740000000001601</v>
      </c>
    </row>
    <row r="89" spans="1:11" ht="12.75" x14ac:dyDescent="0.2">
      <c r="A89" s="92">
        <v>45630</v>
      </c>
      <c r="B89" s="93" t="s">
        <v>37</v>
      </c>
      <c r="C89" s="94">
        <v>0.95899999999999996</v>
      </c>
      <c r="D89" s="95" t="s">
        <v>225</v>
      </c>
      <c r="E89" s="96"/>
      <c r="F89" s="96"/>
      <c r="G89" s="97">
        <v>634</v>
      </c>
      <c r="H89" s="98">
        <f t="shared" si="0"/>
        <v>25.994000000000028</v>
      </c>
      <c r="I89" s="99">
        <f t="shared" si="1"/>
        <v>1429.6700000000014</v>
      </c>
      <c r="J89" s="100">
        <f t="shared" si="3"/>
        <v>31.700000000000045</v>
      </c>
      <c r="K89" s="101">
        <f t="shared" si="2"/>
        <v>5.7060000000000173</v>
      </c>
    </row>
    <row r="90" spans="1:11" ht="12.75" x14ac:dyDescent="0.2">
      <c r="A90" s="92">
        <v>45631</v>
      </c>
      <c r="B90" s="93" t="s">
        <v>39</v>
      </c>
      <c r="C90" s="94">
        <v>0.98419999999999996</v>
      </c>
      <c r="D90" s="95" t="s">
        <v>282</v>
      </c>
      <c r="E90" s="96"/>
      <c r="F90" s="96"/>
      <c r="G90" s="97">
        <v>634</v>
      </c>
      <c r="H90" s="98">
        <f t="shared" si="0"/>
        <v>10.017200000000003</v>
      </c>
      <c r="I90" s="99">
        <f t="shared" si="1"/>
        <v>550.94600000000014</v>
      </c>
      <c r="J90" s="100">
        <f t="shared" si="3"/>
        <v>31.700000000000045</v>
      </c>
      <c r="K90" s="101">
        <f t="shared" si="2"/>
        <v>21.682800000000043</v>
      </c>
    </row>
    <row r="91" spans="1:11" ht="12.75" x14ac:dyDescent="0.2">
      <c r="A91" s="92">
        <v>45632</v>
      </c>
      <c r="B91" s="93" t="s">
        <v>41</v>
      </c>
      <c r="C91" s="94">
        <v>0.94950000000000001</v>
      </c>
      <c r="D91" s="95" t="s">
        <v>225</v>
      </c>
      <c r="E91" s="96"/>
      <c r="F91" s="96"/>
      <c r="G91" s="97">
        <v>634</v>
      </c>
      <c r="H91" s="98">
        <f t="shared" si="0"/>
        <v>32.016999999999939</v>
      </c>
      <c r="I91" s="99">
        <f t="shared" si="1"/>
        <v>1760.9349999999968</v>
      </c>
      <c r="J91" s="100">
        <f t="shared" si="3"/>
        <v>31.700000000000045</v>
      </c>
      <c r="K91" s="101">
        <f t="shared" si="2"/>
        <v>-0.31699999999989359</v>
      </c>
    </row>
    <row r="92" spans="1:11" ht="12.75" x14ac:dyDescent="0.2">
      <c r="A92" s="92">
        <v>45635</v>
      </c>
      <c r="B92" s="93" t="s">
        <v>33</v>
      </c>
      <c r="C92" s="94">
        <v>0.93889999999999996</v>
      </c>
      <c r="D92" s="95" t="s">
        <v>225</v>
      </c>
      <c r="E92" s="96"/>
      <c r="F92" s="96"/>
      <c r="G92" s="97">
        <v>638</v>
      </c>
      <c r="H92" s="98">
        <f t="shared" si="0"/>
        <v>38.981800000000021</v>
      </c>
      <c r="I92" s="99">
        <f t="shared" si="1"/>
        <v>2143.9990000000012</v>
      </c>
      <c r="J92" s="100">
        <f t="shared" si="3"/>
        <v>31.899999999999977</v>
      </c>
      <c r="K92" s="101">
        <f t="shared" si="2"/>
        <v>-7.0818000000000438</v>
      </c>
    </row>
    <row r="93" spans="1:11" ht="12.75" x14ac:dyDescent="0.2">
      <c r="A93" s="92">
        <v>45636</v>
      </c>
      <c r="B93" s="93" t="s">
        <v>35</v>
      </c>
      <c r="C93" s="94">
        <v>0.96079999999999999</v>
      </c>
      <c r="D93" s="95" t="s">
        <v>226</v>
      </c>
      <c r="E93" s="96"/>
      <c r="F93" s="96"/>
      <c r="G93" s="97">
        <v>638</v>
      </c>
      <c r="H93" s="98">
        <f t="shared" si="0"/>
        <v>25.009599999999978</v>
      </c>
      <c r="I93" s="99">
        <f t="shared" si="1"/>
        <v>1375.5279999999989</v>
      </c>
      <c r="J93" s="100">
        <f t="shared" si="3"/>
        <v>31.899999999999977</v>
      </c>
      <c r="K93" s="101">
        <f t="shared" si="2"/>
        <v>6.8903999999999996</v>
      </c>
    </row>
    <row r="94" spans="1:11" ht="12.75" x14ac:dyDescent="0.2">
      <c r="A94" s="92">
        <v>45637</v>
      </c>
      <c r="B94" s="93" t="s">
        <v>37</v>
      </c>
      <c r="C94" s="94">
        <v>0.93420000000000003</v>
      </c>
      <c r="D94" s="95" t="s">
        <v>225</v>
      </c>
      <c r="E94" s="96"/>
      <c r="F94" s="96"/>
      <c r="G94" s="97">
        <v>638</v>
      </c>
      <c r="H94" s="98">
        <f t="shared" si="0"/>
        <v>41.980400000000031</v>
      </c>
      <c r="I94" s="99">
        <f t="shared" si="1"/>
        <v>2308.9220000000018</v>
      </c>
      <c r="J94" s="100">
        <f t="shared" si="3"/>
        <v>31.899999999999977</v>
      </c>
      <c r="K94" s="101">
        <f t="shared" si="2"/>
        <v>-10.080400000000054</v>
      </c>
    </row>
    <row r="95" spans="1:11" ht="12.75" x14ac:dyDescent="0.2">
      <c r="A95" s="92">
        <v>45638</v>
      </c>
      <c r="B95" s="93" t="s">
        <v>39</v>
      </c>
      <c r="C95" s="94">
        <v>0.93569999999999998</v>
      </c>
      <c r="D95" s="95" t="s">
        <v>226</v>
      </c>
      <c r="E95" s="96"/>
      <c r="F95" s="96"/>
      <c r="G95" s="97">
        <v>638</v>
      </c>
      <c r="H95" s="98">
        <f t="shared" si="0"/>
        <v>41.023400000000038</v>
      </c>
      <c r="I95" s="99">
        <f t="shared" si="1"/>
        <v>2256.2870000000021</v>
      </c>
      <c r="J95" s="100">
        <f t="shared" si="3"/>
        <v>31.899999999999977</v>
      </c>
      <c r="K95" s="101">
        <f t="shared" si="2"/>
        <v>-9.1234000000000606</v>
      </c>
    </row>
    <row r="96" spans="1:11" ht="12.75" x14ac:dyDescent="0.2">
      <c r="A96" s="92">
        <v>45639</v>
      </c>
      <c r="B96" s="93" t="s">
        <v>41</v>
      </c>
      <c r="C96" s="94">
        <v>0.93100000000000005</v>
      </c>
      <c r="D96" s="95" t="s">
        <v>226</v>
      </c>
      <c r="E96" s="96"/>
      <c r="F96" s="96"/>
      <c r="G96" s="97">
        <v>638</v>
      </c>
      <c r="H96" s="98">
        <f t="shared" si="0"/>
        <v>44.021999999999935</v>
      </c>
      <c r="I96" s="99">
        <f t="shared" si="1"/>
        <v>2421.2099999999964</v>
      </c>
      <c r="J96" s="100">
        <f t="shared" si="3"/>
        <v>31.899999999999977</v>
      </c>
      <c r="K96" s="101">
        <f t="shared" si="2"/>
        <v>-12.121999999999957</v>
      </c>
    </row>
    <row r="97" spans="1:11" ht="12.75" x14ac:dyDescent="0.2">
      <c r="A97" s="92">
        <v>45642</v>
      </c>
      <c r="B97" s="93" t="s">
        <v>33</v>
      </c>
      <c r="C97" s="94">
        <v>0.92630000000000001</v>
      </c>
      <c r="D97" s="95" t="s">
        <v>226</v>
      </c>
      <c r="E97" s="96"/>
      <c r="F97" s="96"/>
      <c r="G97" s="97">
        <v>638</v>
      </c>
      <c r="H97" s="98">
        <f t="shared" si="0"/>
        <v>47.020599999999945</v>
      </c>
      <c r="I97" s="99">
        <f t="shared" si="1"/>
        <v>2586.1329999999971</v>
      </c>
      <c r="J97" s="100">
        <f t="shared" si="3"/>
        <v>31.899999999999977</v>
      </c>
      <c r="K97" s="101">
        <f t="shared" si="2"/>
        <v>-15.120599999999968</v>
      </c>
    </row>
    <row r="98" spans="1:11" ht="12.75" x14ac:dyDescent="0.2">
      <c r="A98" s="92">
        <v>45643</v>
      </c>
      <c r="B98" s="93" t="s">
        <v>35</v>
      </c>
      <c r="C98" s="94">
        <v>0.94989999999999997</v>
      </c>
      <c r="D98" s="95" t="s">
        <v>226</v>
      </c>
      <c r="E98" s="96"/>
      <c r="F98" s="96"/>
      <c r="G98" s="97">
        <v>639</v>
      </c>
      <c r="H98" s="98">
        <f t="shared" si="0"/>
        <v>32.013900000000035</v>
      </c>
      <c r="I98" s="99">
        <f t="shared" si="1"/>
        <v>1760.764500000002</v>
      </c>
      <c r="J98" s="100">
        <f t="shared" si="3"/>
        <v>31.950000000000045</v>
      </c>
      <c r="K98" s="101">
        <f t="shared" si="2"/>
        <v>-6.3899999999989632E-2</v>
      </c>
    </row>
    <row r="99" spans="1:11" ht="12.75" x14ac:dyDescent="0.2">
      <c r="A99" s="92">
        <v>45644</v>
      </c>
      <c r="B99" s="93" t="s">
        <v>37</v>
      </c>
      <c r="C99" s="94">
        <v>0.9577</v>
      </c>
      <c r="D99" s="95" t="s">
        <v>225</v>
      </c>
      <c r="E99" s="96"/>
      <c r="F99" s="96"/>
      <c r="G99" s="97">
        <v>638</v>
      </c>
      <c r="H99" s="98">
        <f t="shared" si="0"/>
        <v>26.98739999999998</v>
      </c>
      <c r="I99" s="99">
        <f t="shared" si="1"/>
        <v>1484.3069999999989</v>
      </c>
      <c r="J99" s="100">
        <f t="shared" si="3"/>
        <v>31.899999999999977</v>
      </c>
      <c r="K99" s="101">
        <f t="shared" si="2"/>
        <v>4.9125999999999976</v>
      </c>
    </row>
    <row r="100" spans="1:11" ht="12.75" x14ac:dyDescent="0.2">
      <c r="A100" s="92">
        <v>45645</v>
      </c>
      <c r="B100" s="93" t="s">
        <v>39</v>
      </c>
      <c r="C100" s="94">
        <v>0.95140000000000002</v>
      </c>
      <c r="D100" s="95" t="s">
        <v>226</v>
      </c>
      <c r="E100" s="96"/>
      <c r="F100" s="96"/>
      <c r="G100" s="97">
        <v>638</v>
      </c>
      <c r="H100" s="98">
        <f t="shared" si="0"/>
        <v>31.006799999999998</v>
      </c>
      <c r="I100" s="99">
        <f t="shared" si="1"/>
        <v>1705.3739999999998</v>
      </c>
      <c r="J100" s="100">
        <f t="shared" si="3"/>
        <v>31.899999999999977</v>
      </c>
      <c r="K100" s="101">
        <f t="shared" si="2"/>
        <v>0.8931999999999789</v>
      </c>
    </row>
    <row r="101" spans="1:11" ht="25.5" x14ac:dyDescent="0.2">
      <c r="A101" s="92">
        <v>45646</v>
      </c>
      <c r="B101" s="93" t="s">
        <v>41</v>
      </c>
      <c r="C101" s="94">
        <v>0.90600000000000003</v>
      </c>
      <c r="D101" s="95" t="s">
        <v>226</v>
      </c>
      <c r="E101" s="96"/>
      <c r="F101" s="96" t="s">
        <v>452</v>
      </c>
      <c r="G101" s="97">
        <v>638</v>
      </c>
      <c r="H101" s="98">
        <f t="shared" si="0"/>
        <v>59.97199999999998</v>
      </c>
      <c r="I101" s="99">
        <f t="shared" si="1"/>
        <v>3298.4599999999991</v>
      </c>
      <c r="J101" s="100">
        <f t="shared" si="3"/>
        <v>31.899999999999977</v>
      </c>
      <c r="K101" s="101">
        <f t="shared" si="2"/>
        <v>-28.072000000000003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0"/>
        <v>0</v>
      </c>
      <c r="I102" s="99">
        <f t="shared" si="1"/>
        <v>0</v>
      </c>
      <c r="J102" s="100">
        <f t="shared" si="3"/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0"/>
        <v>0</v>
      </c>
      <c r="I103" s="99">
        <f t="shared" si="1"/>
        <v>0</v>
      </c>
      <c r="J103" s="100">
        <f t="shared" si="3"/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0"/>
        <v>0</v>
      </c>
      <c r="I104" s="99">
        <f t="shared" si="1"/>
        <v>0</v>
      </c>
      <c r="J104" s="100">
        <f t="shared" si="3"/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0"/>
        <v>0</v>
      </c>
      <c r="I105" s="99">
        <f t="shared" si="1"/>
        <v>0</v>
      </c>
      <c r="J105" s="100">
        <f t="shared" si="3"/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0"/>
        <v>0</v>
      </c>
      <c r="I106" s="99">
        <f t="shared" si="1"/>
        <v>0</v>
      </c>
      <c r="J106" s="100">
        <f t="shared" si="3"/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0"/>
        <v>0</v>
      </c>
      <c r="I107" s="99">
        <f t="shared" si="1"/>
        <v>0</v>
      </c>
      <c r="J107" s="100">
        <f t="shared" si="3"/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0"/>
        <v>0</v>
      </c>
      <c r="I108" s="99">
        <f t="shared" si="1"/>
        <v>0</v>
      </c>
      <c r="J108" s="100">
        <f t="shared" si="3"/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0"/>
        <v>0</v>
      </c>
      <c r="I109" s="99">
        <f t="shared" si="1"/>
        <v>0</v>
      </c>
      <c r="J109" s="100">
        <f t="shared" si="3"/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0"/>
        <v>0</v>
      </c>
      <c r="I110" s="99">
        <f t="shared" si="1"/>
        <v>0</v>
      </c>
      <c r="J110" s="100">
        <f t="shared" si="3"/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0"/>
        <v>0</v>
      </c>
      <c r="I111" s="99">
        <f t="shared" si="1"/>
        <v>0</v>
      </c>
      <c r="J111" s="100">
        <f t="shared" si="3"/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0"/>
        <v>0</v>
      </c>
      <c r="I112" s="99">
        <f t="shared" si="1"/>
        <v>0</v>
      </c>
      <c r="J112" s="100">
        <f t="shared" si="3"/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0"/>
        <v>0</v>
      </c>
      <c r="I113" s="99">
        <f t="shared" si="1"/>
        <v>0</v>
      </c>
      <c r="J113" s="100">
        <f t="shared" si="3"/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0.93520000000000003</v>
      </c>
      <c r="D114" s="95" t="s">
        <v>226</v>
      </c>
      <c r="E114" s="96"/>
      <c r="F114" s="96"/>
      <c r="G114" s="97">
        <v>633</v>
      </c>
      <c r="H114" s="98">
        <f t="shared" si="0"/>
        <v>41.018399999999929</v>
      </c>
      <c r="I114" s="99">
        <f t="shared" si="1"/>
        <v>2256.0119999999961</v>
      </c>
      <c r="J114" s="100">
        <f t="shared" si="3"/>
        <v>31.649999999999977</v>
      </c>
      <c r="K114" s="101">
        <f t="shared" si="2"/>
        <v>-9.3683999999999514</v>
      </c>
    </row>
    <row r="115" spans="1:11" ht="12.75" x14ac:dyDescent="0.2">
      <c r="A115" s="92">
        <v>45666</v>
      </c>
      <c r="B115" s="93" t="s">
        <v>39</v>
      </c>
      <c r="C115" s="94">
        <v>0.89700000000000002</v>
      </c>
      <c r="D115" s="95" t="s">
        <v>227</v>
      </c>
      <c r="E115" s="96" t="s">
        <v>246</v>
      </c>
      <c r="F115" s="96"/>
      <c r="G115" s="97">
        <v>631</v>
      </c>
      <c r="H115" s="98">
        <f t="shared" si="0"/>
        <v>64.992999999999938</v>
      </c>
      <c r="I115" s="99">
        <f t="shared" si="1"/>
        <v>3574.6149999999966</v>
      </c>
      <c r="J115" s="100">
        <f t="shared" si="3"/>
        <v>31.550000000000068</v>
      </c>
      <c r="K115" s="101">
        <f t="shared" si="2"/>
        <v>-33.44299999999987</v>
      </c>
    </row>
    <row r="116" spans="1:11" ht="12.75" x14ac:dyDescent="0.2">
      <c r="A116" s="92">
        <v>45667</v>
      </c>
      <c r="B116" s="93" t="s">
        <v>41</v>
      </c>
      <c r="C116" s="94">
        <v>0.88429999999999997</v>
      </c>
      <c r="D116" s="95" t="s">
        <v>453</v>
      </c>
      <c r="E116" s="96" t="s">
        <v>454</v>
      </c>
      <c r="F116" s="96"/>
      <c r="G116" s="97">
        <v>631</v>
      </c>
      <c r="H116" s="98">
        <f t="shared" si="0"/>
        <v>73.006700000000023</v>
      </c>
      <c r="I116" s="99">
        <f t="shared" si="1"/>
        <v>4015.3685000000014</v>
      </c>
      <c r="J116" s="100">
        <f t="shared" si="3"/>
        <v>31.550000000000068</v>
      </c>
      <c r="K116" s="101">
        <f t="shared" si="2"/>
        <v>-41.456699999999955</v>
      </c>
    </row>
    <row r="117" spans="1:11" ht="12.75" x14ac:dyDescent="0.2">
      <c r="A117" s="92">
        <v>45670</v>
      </c>
      <c r="B117" s="93" t="s">
        <v>33</v>
      </c>
      <c r="C117" s="94">
        <v>0.93659999999999999</v>
      </c>
      <c r="D117" s="95" t="s">
        <v>225</v>
      </c>
      <c r="E117" s="96"/>
      <c r="F117" s="96"/>
      <c r="G117" s="97">
        <v>631</v>
      </c>
      <c r="H117" s="98">
        <f t="shared" si="0"/>
        <v>40.005400000000009</v>
      </c>
      <c r="I117" s="99">
        <f t="shared" si="1"/>
        <v>2200.2970000000005</v>
      </c>
      <c r="J117" s="100">
        <f t="shared" si="3"/>
        <v>31.550000000000068</v>
      </c>
      <c r="K117" s="101">
        <f t="shared" si="2"/>
        <v>-8.4553999999999405</v>
      </c>
    </row>
    <row r="118" spans="1:11" ht="12.75" x14ac:dyDescent="0.2">
      <c r="A118" s="92">
        <v>45671</v>
      </c>
      <c r="B118" s="93" t="s">
        <v>35</v>
      </c>
      <c r="C118" s="94">
        <v>0.9556</v>
      </c>
      <c r="D118" s="95" t="s">
        <v>225</v>
      </c>
      <c r="E118" s="96"/>
      <c r="F118" s="96"/>
      <c r="G118" s="97">
        <v>631</v>
      </c>
      <c r="H118" s="98">
        <f t="shared" si="0"/>
        <v>28.016399999999976</v>
      </c>
      <c r="I118" s="99">
        <f t="shared" si="1"/>
        <v>1540.9019999999987</v>
      </c>
      <c r="J118" s="100">
        <f t="shared" si="3"/>
        <v>31.550000000000068</v>
      </c>
      <c r="K118" s="101">
        <f t="shared" si="2"/>
        <v>3.5336000000000922</v>
      </c>
    </row>
    <row r="119" spans="1:11" ht="12.75" x14ac:dyDescent="0.2">
      <c r="A119" s="92">
        <v>45672</v>
      </c>
      <c r="B119" s="93" t="s">
        <v>37</v>
      </c>
      <c r="C119" s="94">
        <v>0.95740000000000003</v>
      </c>
      <c r="D119" s="95" t="s">
        <v>225</v>
      </c>
      <c r="E119" s="96"/>
      <c r="F119" s="96"/>
      <c r="G119" s="97">
        <v>634</v>
      </c>
      <c r="H119" s="98">
        <f t="shared" si="0"/>
        <v>27.008399999999938</v>
      </c>
      <c r="I119" s="99">
        <f t="shared" si="1"/>
        <v>1485.4619999999966</v>
      </c>
      <c r="J119" s="100">
        <f t="shared" si="3"/>
        <v>31.700000000000045</v>
      </c>
      <c r="K119" s="101">
        <f t="shared" si="2"/>
        <v>4.6916000000001077</v>
      </c>
    </row>
    <row r="120" spans="1:11" ht="12.75" x14ac:dyDescent="0.2">
      <c r="A120" s="92">
        <v>45673</v>
      </c>
      <c r="B120" s="93" t="s">
        <v>39</v>
      </c>
      <c r="C120" s="94">
        <v>0.95740000000000003</v>
      </c>
      <c r="D120" s="95" t="s">
        <v>226</v>
      </c>
      <c r="E120" s="96"/>
      <c r="F120" s="96"/>
      <c r="G120" s="97">
        <v>634</v>
      </c>
      <c r="H120" s="98">
        <f t="shared" si="0"/>
        <v>27.008399999999938</v>
      </c>
      <c r="I120" s="99">
        <f t="shared" si="1"/>
        <v>1485.4619999999966</v>
      </c>
      <c r="J120" s="100">
        <f t="shared" si="3"/>
        <v>31.700000000000045</v>
      </c>
      <c r="K120" s="101">
        <f t="shared" si="2"/>
        <v>4.6916000000001077</v>
      </c>
    </row>
    <row r="121" spans="1:11" ht="12.75" x14ac:dyDescent="0.2">
      <c r="A121" s="92">
        <v>45674</v>
      </c>
      <c r="B121" s="93" t="s">
        <v>41</v>
      </c>
      <c r="C121" s="94">
        <v>0.93520000000000003</v>
      </c>
      <c r="D121" s="95" t="s">
        <v>225</v>
      </c>
      <c r="E121" s="96"/>
      <c r="F121" s="96"/>
      <c r="G121" s="97">
        <v>633</v>
      </c>
      <c r="H121" s="98">
        <f t="shared" si="0"/>
        <v>41.018399999999929</v>
      </c>
      <c r="I121" s="99">
        <f t="shared" si="1"/>
        <v>2256.0119999999961</v>
      </c>
      <c r="J121" s="100">
        <f t="shared" si="3"/>
        <v>31.649999999999977</v>
      </c>
      <c r="K121" s="101">
        <f t="shared" si="2"/>
        <v>-9.3683999999999514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0"/>
        <v>0</v>
      </c>
      <c r="I122" s="99">
        <f t="shared" si="1"/>
        <v>0</v>
      </c>
      <c r="J122" s="100">
        <f t="shared" si="3"/>
        <v>0</v>
      </c>
      <c r="K122" s="101">
        <f t="shared" si="2"/>
        <v>0</v>
      </c>
    </row>
    <row r="123" spans="1:11" ht="12.75" x14ac:dyDescent="0.2">
      <c r="A123" s="92">
        <v>45678</v>
      </c>
      <c r="B123" s="93" t="s">
        <v>35</v>
      </c>
      <c r="C123" s="94"/>
      <c r="D123" s="95"/>
      <c r="E123" s="96"/>
      <c r="F123" s="96"/>
      <c r="H123" s="98">
        <f t="shared" si="0"/>
        <v>0</v>
      </c>
      <c r="I123" s="99">
        <f t="shared" si="1"/>
        <v>0</v>
      </c>
      <c r="J123" s="100">
        <f t="shared" si="3"/>
        <v>0</v>
      </c>
      <c r="K123" s="101">
        <f t="shared" si="2"/>
        <v>0</v>
      </c>
    </row>
    <row r="124" spans="1:11" ht="12.75" x14ac:dyDescent="0.2">
      <c r="A124" s="92">
        <v>45679</v>
      </c>
      <c r="B124" s="93" t="s">
        <v>37</v>
      </c>
      <c r="C124" s="94"/>
      <c r="D124" s="95"/>
      <c r="E124" s="96"/>
      <c r="F124" s="96"/>
      <c r="H124" s="98">
        <f t="shared" si="0"/>
        <v>0</v>
      </c>
      <c r="I124" s="99">
        <f t="shared" si="1"/>
        <v>0</v>
      </c>
      <c r="J124" s="100">
        <f t="shared" si="3"/>
        <v>0</v>
      </c>
      <c r="K124" s="101">
        <f t="shared" si="2"/>
        <v>0</v>
      </c>
    </row>
    <row r="125" spans="1:11" ht="12.75" x14ac:dyDescent="0.2">
      <c r="A125" s="92">
        <v>45680</v>
      </c>
      <c r="B125" s="93" t="s">
        <v>39</v>
      </c>
      <c r="C125" s="94">
        <v>0.8357</v>
      </c>
      <c r="D125" s="95" t="s">
        <v>453</v>
      </c>
      <c r="E125" s="96" t="s">
        <v>246</v>
      </c>
      <c r="F125" s="96"/>
      <c r="G125" s="97">
        <v>633</v>
      </c>
      <c r="H125" s="98">
        <f t="shared" si="0"/>
        <v>104.00189999999998</v>
      </c>
      <c r="I125" s="99">
        <f t="shared" si="1"/>
        <v>5720.1044999999986</v>
      </c>
      <c r="J125" s="100">
        <f t="shared" si="3"/>
        <v>31.649999999999977</v>
      </c>
      <c r="K125" s="101">
        <f t="shared" si="2"/>
        <v>-72.351900000000001</v>
      </c>
    </row>
    <row r="126" spans="1:11" ht="12.75" x14ac:dyDescent="0.2">
      <c r="A126" s="92">
        <v>45681</v>
      </c>
      <c r="B126" s="93" t="s">
        <v>41</v>
      </c>
      <c r="C126" s="94">
        <v>0.89419999999999999</v>
      </c>
      <c r="D126" s="95" t="s">
        <v>453</v>
      </c>
      <c r="E126" s="96" t="s">
        <v>228</v>
      </c>
      <c r="F126" s="96"/>
      <c r="G126" s="97">
        <v>633</v>
      </c>
      <c r="H126" s="98">
        <f t="shared" si="0"/>
        <v>66.971400000000017</v>
      </c>
      <c r="I126" s="99">
        <f t="shared" si="1"/>
        <v>3683.427000000001</v>
      </c>
      <c r="J126" s="100">
        <f t="shared" si="3"/>
        <v>31.649999999999977</v>
      </c>
      <c r="K126" s="101">
        <f t="shared" si="2"/>
        <v>-35.32140000000004</v>
      </c>
    </row>
    <row r="127" spans="1:11" ht="12.75" x14ac:dyDescent="0.2">
      <c r="A127" s="92">
        <v>45684</v>
      </c>
      <c r="B127" s="93" t="s">
        <v>33</v>
      </c>
      <c r="C127" s="94">
        <v>0.93359999999999999</v>
      </c>
      <c r="D127" s="95"/>
      <c r="E127" s="96"/>
      <c r="F127" s="96"/>
      <c r="G127" s="97">
        <v>634</v>
      </c>
      <c r="H127" s="98">
        <f t="shared" si="0"/>
        <v>42.097600000000057</v>
      </c>
      <c r="I127" s="99">
        <f t="shared" si="1"/>
        <v>2315.3680000000031</v>
      </c>
      <c r="J127" s="100">
        <f t="shared" si="3"/>
        <v>31.700000000000045</v>
      </c>
      <c r="K127" s="101">
        <f t="shared" si="2"/>
        <v>-10.397600000000011</v>
      </c>
    </row>
    <row r="128" spans="1:11" ht="12.75" x14ac:dyDescent="0.2">
      <c r="A128" s="92">
        <v>45685</v>
      </c>
      <c r="B128" s="93" t="s">
        <v>35</v>
      </c>
      <c r="C128" s="94">
        <v>0.9335</v>
      </c>
      <c r="D128" s="95"/>
      <c r="E128" s="96"/>
      <c r="F128" s="96"/>
      <c r="G128" s="97">
        <v>632</v>
      </c>
      <c r="H128" s="98">
        <f t="shared" si="0"/>
        <v>42.02800000000002</v>
      </c>
      <c r="I128" s="99">
        <f t="shared" si="1"/>
        <v>2311.5400000000009</v>
      </c>
      <c r="J128" s="100">
        <f t="shared" si="3"/>
        <v>31.600000000000023</v>
      </c>
      <c r="K128" s="101">
        <f t="shared" si="2"/>
        <v>-10.427999999999997</v>
      </c>
    </row>
    <row r="129" spans="1:11" ht="12.75" x14ac:dyDescent="0.2">
      <c r="A129" s="92">
        <v>45686</v>
      </c>
      <c r="B129" s="93" t="s">
        <v>37</v>
      </c>
      <c r="C129" s="94">
        <v>0.92720000000000002</v>
      </c>
      <c r="D129" s="95"/>
      <c r="E129" s="96"/>
      <c r="F129" s="96"/>
      <c r="G129" s="97">
        <v>632</v>
      </c>
      <c r="H129" s="98">
        <f t="shared" si="0"/>
        <v>46.009599999999978</v>
      </c>
      <c r="I129" s="99">
        <f t="shared" si="1"/>
        <v>2530.5279999999989</v>
      </c>
      <c r="J129" s="100">
        <f t="shared" si="3"/>
        <v>31.600000000000023</v>
      </c>
      <c r="K129" s="101">
        <f t="shared" si="2"/>
        <v>-14.409599999999955</v>
      </c>
    </row>
    <row r="130" spans="1:11" ht="12.75" x14ac:dyDescent="0.2">
      <c r="A130" s="92">
        <v>45687</v>
      </c>
      <c r="B130" s="93" t="s">
        <v>39</v>
      </c>
      <c r="C130" s="94">
        <v>0.95089999999999997</v>
      </c>
      <c r="D130" s="95"/>
      <c r="E130" s="96"/>
      <c r="F130" s="96"/>
      <c r="G130" s="97">
        <v>632</v>
      </c>
      <c r="H130" s="98">
        <f t="shared" si="0"/>
        <v>31.031200000000013</v>
      </c>
      <c r="I130" s="99">
        <f t="shared" si="1"/>
        <v>1706.7160000000008</v>
      </c>
      <c r="J130" s="100">
        <f t="shared" si="3"/>
        <v>31.600000000000023</v>
      </c>
      <c r="K130" s="101">
        <f t="shared" si="2"/>
        <v>0.56880000000001019</v>
      </c>
    </row>
    <row r="131" spans="1:11" ht="12.75" x14ac:dyDescent="0.2">
      <c r="A131" s="92">
        <v>45688</v>
      </c>
      <c r="B131" s="93" t="s">
        <v>41</v>
      </c>
      <c r="C131" s="94">
        <v>0.94450000000000001</v>
      </c>
      <c r="D131" s="95"/>
      <c r="E131" s="96"/>
      <c r="F131" s="96"/>
      <c r="G131" s="97">
        <v>631</v>
      </c>
      <c r="H131" s="98">
        <f t="shared" si="0"/>
        <v>35.02049999999997</v>
      </c>
      <c r="I131" s="99">
        <f t="shared" si="1"/>
        <v>1926.1274999999982</v>
      </c>
      <c r="J131" s="100">
        <f t="shared" si="3"/>
        <v>31.550000000000068</v>
      </c>
      <c r="K131" s="101">
        <f t="shared" si="2"/>
        <v>-3.4704999999999018</v>
      </c>
    </row>
    <row r="132" spans="1:11" ht="12.75" x14ac:dyDescent="0.2">
      <c r="A132" s="92">
        <v>45691</v>
      </c>
      <c r="B132" s="93" t="s">
        <v>33</v>
      </c>
      <c r="C132" s="94">
        <v>0.77969999999999995</v>
      </c>
      <c r="D132" s="95" t="s">
        <v>453</v>
      </c>
      <c r="E132" s="96" t="s">
        <v>455</v>
      </c>
      <c r="F132" s="96"/>
      <c r="G132" s="97">
        <v>631</v>
      </c>
      <c r="H132" s="98">
        <f t="shared" si="0"/>
        <v>139.00930000000005</v>
      </c>
      <c r="I132" s="99">
        <f t="shared" si="1"/>
        <v>7645.5115000000033</v>
      </c>
      <c r="J132" s="100">
        <f t="shared" si="3"/>
        <v>31.550000000000068</v>
      </c>
      <c r="K132" s="101">
        <f t="shared" si="2"/>
        <v>-107.45929999999998</v>
      </c>
    </row>
    <row r="133" spans="1:11" ht="12.75" x14ac:dyDescent="0.2">
      <c r="A133" s="92">
        <v>45692</v>
      </c>
      <c r="B133" s="93" t="s">
        <v>35</v>
      </c>
      <c r="C133" s="94">
        <v>0.96030000000000004</v>
      </c>
      <c r="D133" s="95" t="s">
        <v>226</v>
      </c>
      <c r="E133" s="96"/>
      <c r="F133" s="96"/>
      <c r="G133" s="97">
        <v>630</v>
      </c>
      <c r="H133" s="98">
        <f t="shared" si="0"/>
        <v>25.010999999999967</v>
      </c>
      <c r="I133" s="99">
        <f t="shared" si="1"/>
        <v>1375.6049999999982</v>
      </c>
      <c r="J133" s="100">
        <f t="shared" si="3"/>
        <v>31.5</v>
      </c>
      <c r="K133" s="101">
        <f t="shared" si="2"/>
        <v>6.4890000000000327</v>
      </c>
    </row>
    <row r="134" spans="1:11" ht="12.75" x14ac:dyDescent="0.2">
      <c r="A134" s="92">
        <v>45693</v>
      </c>
      <c r="B134" s="93" t="s">
        <v>37</v>
      </c>
      <c r="C134" s="94">
        <v>0.97460000000000002</v>
      </c>
      <c r="D134" s="95" t="s">
        <v>226</v>
      </c>
      <c r="E134" s="96"/>
      <c r="F134" s="96"/>
      <c r="G134" s="97">
        <v>630</v>
      </c>
      <c r="H134" s="98">
        <f t="shared" si="0"/>
        <v>16.001999999999953</v>
      </c>
      <c r="I134" s="99">
        <f t="shared" si="1"/>
        <v>880.1099999999974</v>
      </c>
      <c r="J134" s="100">
        <f t="shared" si="3"/>
        <v>31.5</v>
      </c>
      <c r="K134" s="101">
        <f t="shared" si="2"/>
        <v>15.498000000000047</v>
      </c>
    </row>
    <row r="135" spans="1:11" ht="12.75" x14ac:dyDescent="0.2">
      <c r="A135" s="92">
        <v>45694</v>
      </c>
      <c r="B135" s="93" t="s">
        <v>39</v>
      </c>
      <c r="C135" s="94">
        <v>0.96030000000000004</v>
      </c>
      <c r="D135" s="95" t="s">
        <v>226</v>
      </c>
      <c r="E135" s="96"/>
      <c r="F135" s="96"/>
      <c r="G135" s="97">
        <v>629</v>
      </c>
      <c r="H135" s="98">
        <f t="shared" si="0"/>
        <v>24.971299999999928</v>
      </c>
      <c r="I135" s="99">
        <f t="shared" si="1"/>
        <v>1373.4214999999961</v>
      </c>
      <c r="J135" s="100">
        <f t="shared" si="3"/>
        <v>31.450000000000045</v>
      </c>
      <c r="K135" s="101">
        <f t="shared" si="2"/>
        <v>6.4787000000001171</v>
      </c>
    </row>
    <row r="136" spans="1:11" ht="12.75" x14ac:dyDescent="0.2">
      <c r="A136" s="92">
        <v>45695</v>
      </c>
      <c r="B136" s="93" t="s">
        <v>41</v>
      </c>
      <c r="C136" s="94">
        <v>0.94120000000000004</v>
      </c>
      <c r="D136" s="95" t="s">
        <v>226</v>
      </c>
      <c r="E136" s="96"/>
      <c r="F136" s="96"/>
      <c r="G136" s="97">
        <v>629</v>
      </c>
      <c r="H136" s="98">
        <f t="shared" si="0"/>
        <v>36.985199999999963</v>
      </c>
      <c r="I136" s="99">
        <f t="shared" si="1"/>
        <v>2034.1859999999979</v>
      </c>
      <c r="J136" s="100">
        <f t="shared" si="3"/>
        <v>31.450000000000045</v>
      </c>
      <c r="K136" s="101">
        <f t="shared" si="2"/>
        <v>-5.535199999999918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0"/>
        <v>0</v>
      </c>
      <c r="I137" s="99">
        <f t="shared" si="1"/>
        <v>0</v>
      </c>
      <c r="J137" s="100">
        <f t="shared" si="3"/>
        <v>0</v>
      </c>
      <c r="K137" s="101">
        <f t="shared" si="2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0"/>
        <v>0</v>
      </c>
      <c r="I138" s="99">
        <f t="shared" si="1"/>
        <v>0</v>
      </c>
      <c r="J138" s="100">
        <f t="shared" si="3"/>
        <v>0</v>
      </c>
      <c r="K138" s="101">
        <f t="shared" si="2"/>
        <v>0</v>
      </c>
    </row>
    <row r="139" spans="1:11" ht="12.75" x14ac:dyDescent="0.2">
      <c r="A139" s="92">
        <v>45700</v>
      </c>
      <c r="B139" s="93" t="s">
        <v>37</v>
      </c>
      <c r="C139" s="94">
        <v>0.9476</v>
      </c>
      <c r="D139" s="95" t="s">
        <v>226</v>
      </c>
      <c r="E139" s="96"/>
      <c r="F139" s="96"/>
      <c r="G139" s="97">
        <v>630</v>
      </c>
      <c r="H139" s="98">
        <f t="shared" si="0"/>
        <v>33.012000000000057</v>
      </c>
      <c r="I139" s="99">
        <f t="shared" si="1"/>
        <v>1815.660000000003</v>
      </c>
      <c r="J139" s="100">
        <f t="shared" si="3"/>
        <v>31.5</v>
      </c>
      <c r="K139" s="101">
        <f t="shared" si="2"/>
        <v>-1.5120000000000573</v>
      </c>
    </row>
    <row r="140" spans="1:11" ht="12.75" x14ac:dyDescent="0.2">
      <c r="A140" s="92">
        <v>45701</v>
      </c>
      <c r="B140" s="93" t="s">
        <v>39</v>
      </c>
      <c r="C140" s="94">
        <v>0.96830000000000005</v>
      </c>
      <c r="D140" s="95" t="s">
        <v>226</v>
      </c>
      <c r="E140" s="96"/>
      <c r="F140" s="96"/>
      <c r="G140" s="97">
        <v>630</v>
      </c>
      <c r="H140" s="98">
        <f t="shared" si="0"/>
        <v>19.971000000000004</v>
      </c>
      <c r="I140" s="99">
        <f t="shared" si="1"/>
        <v>1098.4050000000002</v>
      </c>
      <c r="J140" s="100">
        <f t="shared" si="3"/>
        <v>31.5</v>
      </c>
      <c r="K140" s="101">
        <f t="shared" si="2"/>
        <v>11.528999999999996</v>
      </c>
    </row>
    <row r="141" spans="1:11" ht="12.75" x14ac:dyDescent="0.2">
      <c r="A141" s="92">
        <v>45702</v>
      </c>
      <c r="B141" s="93" t="s">
        <v>41</v>
      </c>
      <c r="C141" s="94">
        <v>0.94750000000000001</v>
      </c>
      <c r="D141" s="95" t="s">
        <v>226</v>
      </c>
      <c r="E141" s="96"/>
      <c r="F141" s="96"/>
      <c r="G141" s="97">
        <v>629</v>
      </c>
      <c r="H141" s="98">
        <f t="shared" si="0"/>
        <v>33.022500000000036</v>
      </c>
      <c r="I141" s="99">
        <f t="shared" si="1"/>
        <v>1816.237500000002</v>
      </c>
      <c r="J141" s="100">
        <f t="shared" si="3"/>
        <v>31.450000000000045</v>
      </c>
      <c r="K141" s="101">
        <f t="shared" si="2"/>
        <v>-1.5724999999999909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0"/>
        <v>0</v>
      </c>
      <c r="I142" s="99">
        <f t="shared" si="1"/>
        <v>0</v>
      </c>
      <c r="J142" s="100">
        <f t="shared" si="3"/>
        <v>0</v>
      </c>
      <c r="K142" s="101">
        <f t="shared" si="2"/>
        <v>0</v>
      </c>
    </row>
    <row r="143" spans="1:11" ht="12.75" x14ac:dyDescent="0.2">
      <c r="A143" s="92">
        <v>45706</v>
      </c>
      <c r="B143" s="93" t="s">
        <v>35</v>
      </c>
      <c r="C143" s="94">
        <v>0.96509999999999996</v>
      </c>
      <c r="D143" s="95" t="s">
        <v>226</v>
      </c>
      <c r="E143" s="96"/>
      <c r="F143" s="96"/>
      <c r="G143" s="97">
        <v>630</v>
      </c>
      <c r="H143" s="98">
        <f t="shared" si="0"/>
        <v>21.98700000000008</v>
      </c>
      <c r="I143" s="99">
        <f t="shared" si="1"/>
        <v>1209.2850000000044</v>
      </c>
      <c r="J143" s="100">
        <f t="shared" si="3"/>
        <v>31.5</v>
      </c>
      <c r="K143" s="101">
        <f t="shared" si="2"/>
        <v>9.51299999999992</v>
      </c>
    </row>
    <row r="144" spans="1:11" ht="12.75" x14ac:dyDescent="0.2">
      <c r="A144" s="92">
        <v>45707</v>
      </c>
      <c r="B144" s="93" t="s">
        <v>37</v>
      </c>
      <c r="C144" s="94">
        <v>0.97299999999999998</v>
      </c>
      <c r="D144" s="95" t="s">
        <v>226</v>
      </c>
      <c r="E144" s="96"/>
      <c r="F144" s="96"/>
      <c r="G144" s="97">
        <v>630</v>
      </c>
      <c r="H144" s="98">
        <f t="shared" si="0"/>
        <v>17.009999999999991</v>
      </c>
      <c r="I144" s="99">
        <f t="shared" si="1"/>
        <v>935.5499999999995</v>
      </c>
      <c r="J144" s="100">
        <f t="shared" si="3"/>
        <v>31.5</v>
      </c>
      <c r="K144" s="101">
        <f t="shared" si="2"/>
        <v>14.490000000000009</v>
      </c>
    </row>
    <row r="145" spans="1:11" ht="12.75" x14ac:dyDescent="0.2">
      <c r="A145" s="92">
        <v>45708</v>
      </c>
      <c r="B145" s="93" t="s">
        <v>39</v>
      </c>
      <c r="C145" s="94">
        <v>0.87460000000000004</v>
      </c>
      <c r="D145" s="95" t="s">
        <v>453</v>
      </c>
      <c r="E145" s="96" t="s">
        <v>246</v>
      </c>
      <c r="F145" s="96"/>
      <c r="G145" s="97">
        <v>630</v>
      </c>
      <c r="H145" s="98">
        <f t="shared" si="0"/>
        <v>79.001999999999953</v>
      </c>
      <c r="I145" s="99">
        <f t="shared" si="1"/>
        <v>4345.1099999999969</v>
      </c>
      <c r="J145" s="100">
        <f t="shared" si="3"/>
        <v>31.5</v>
      </c>
      <c r="K145" s="101">
        <f t="shared" si="2"/>
        <v>-47.501999999999953</v>
      </c>
    </row>
    <row r="146" spans="1:11" ht="12.75" x14ac:dyDescent="0.2">
      <c r="A146" s="92">
        <v>45709</v>
      </c>
      <c r="B146" s="93" t="s">
        <v>41</v>
      </c>
      <c r="C146" s="94">
        <v>0.92679999999999996</v>
      </c>
      <c r="D146" s="95" t="s">
        <v>226</v>
      </c>
      <c r="E146" s="96"/>
      <c r="F146" s="96"/>
      <c r="G146" s="97">
        <v>630</v>
      </c>
      <c r="H146" s="98">
        <f t="shared" si="0"/>
        <v>46.115999999999985</v>
      </c>
      <c r="I146" s="99">
        <f t="shared" si="1"/>
        <v>2536.3799999999992</v>
      </c>
      <c r="J146" s="100">
        <f t="shared" si="3"/>
        <v>31.5</v>
      </c>
      <c r="K146" s="101">
        <f t="shared" si="2"/>
        <v>-14.615999999999985</v>
      </c>
    </row>
    <row r="147" spans="1:11" ht="12.75" x14ac:dyDescent="0.2">
      <c r="A147" s="92">
        <v>45712</v>
      </c>
      <c r="B147" s="93" t="s">
        <v>33</v>
      </c>
      <c r="C147" s="94">
        <v>0.9153</v>
      </c>
      <c r="D147" s="95" t="s">
        <v>282</v>
      </c>
      <c r="E147" s="96"/>
      <c r="F147" s="96"/>
      <c r="G147" s="97">
        <v>626</v>
      </c>
      <c r="H147" s="98">
        <f t="shared" si="0"/>
        <v>53.022199999999998</v>
      </c>
      <c r="I147" s="99">
        <f t="shared" si="1"/>
        <v>2916.221</v>
      </c>
      <c r="J147" s="100">
        <f t="shared" si="3"/>
        <v>31.300000000000068</v>
      </c>
      <c r="K147" s="101">
        <f t="shared" si="2"/>
        <v>-21.72219999999993</v>
      </c>
    </row>
    <row r="148" spans="1:11" ht="12.75" x14ac:dyDescent="0.2">
      <c r="A148" s="92">
        <v>45713</v>
      </c>
      <c r="B148" s="93" t="s">
        <v>35</v>
      </c>
      <c r="C148" s="94">
        <v>0.94730000000000003</v>
      </c>
      <c r="D148" s="95" t="s">
        <v>225</v>
      </c>
      <c r="E148" s="96"/>
      <c r="F148" s="96"/>
      <c r="G148" s="97">
        <v>626</v>
      </c>
      <c r="H148" s="98">
        <f t="shared" si="0"/>
        <v>32.990199999999959</v>
      </c>
      <c r="I148" s="99">
        <f t="shared" si="1"/>
        <v>1814.4609999999977</v>
      </c>
      <c r="J148" s="100">
        <f t="shared" si="3"/>
        <v>31.300000000000068</v>
      </c>
      <c r="K148" s="101">
        <f t="shared" si="2"/>
        <v>-1.6901999999998907</v>
      </c>
    </row>
    <row r="149" spans="1:11" ht="12.75" x14ac:dyDescent="0.2">
      <c r="A149" s="92">
        <v>45714</v>
      </c>
      <c r="B149" s="93" t="s">
        <v>37</v>
      </c>
      <c r="C149" s="94">
        <v>0.94089999999999996</v>
      </c>
      <c r="D149" s="95" t="s">
        <v>226</v>
      </c>
      <c r="E149" s="96"/>
      <c r="F149" s="96"/>
      <c r="G149" s="97">
        <v>626</v>
      </c>
      <c r="H149" s="98">
        <f t="shared" si="0"/>
        <v>36.996600000000058</v>
      </c>
      <c r="I149" s="99">
        <f t="shared" si="1"/>
        <v>2034.8130000000033</v>
      </c>
      <c r="J149" s="100">
        <f t="shared" si="3"/>
        <v>31.300000000000068</v>
      </c>
      <c r="K149" s="101">
        <f t="shared" si="2"/>
        <v>-5.6965999999999894</v>
      </c>
    </row>
    <row r="150" spans="1:11" ht="12.75" x14ac:dyDescent="0.2">
      <c r="A150" s="92">
        <v>45715</v>
      </c>
      <c r="B150" s="93" t="s">
        <v>39</v>
      </c>
      <c r="C150" s="94">
        <v>0.95530000000000004</v>
      </c>
      <c r="D150" s="95" t="s">
        <v>282</v>
      </c>
      <c r="E150" s="96"/>
      <c r="F150" s="96"/>
      <c r="G150" s="97">
        <v>626</v>
      </c>
      <c r="H150" s="98">
        <f t="shared" si="0"/>
        <v>27.982199999999921</v>
      </c>
      <c r="I150" s="99">
        <f t="shared" si="1"/>
        <v>1539.0209999999956</v>
      </c>
      <c r="J150" s="100">
        <f t="shared" si="3"/>
        <v>31.300000000000068</v>
      </c>
      <c r="K150" s="101">
        <f t="shared" si="2"/>
        <v>3.3178000000001475</v>
      </c>
    </row>
    <row r="151" spans="1:11" ht="12.75" x14ac:dyDescent="0.2">
      <c r="A151" s="92">
        <v>45716</v>
      </c>
      <c r="B151" s="93" t="s">
        <v>41</v>
      </c>
      <c r="C151" s="94">
        <v>0.92490000000000006</v>
      </c>
      <c r="D151" s="95" t="s">
        <v>225</v>
      </c>
      <c r="E151" s="96"/>
      <c r="F151" s="96"/>
      <c r="G151" s="97">
        <v>626</v>
      </c>
      <c r="H151" s="98">
        <f t="shared" si="0"/>
        <v>47.01260000000002</v>
      </c>
      <c r="I151" s="99">
        <f t="shared" si="1"/>
        <v>2585.6930000000011</v>
      </c>
      <c r="J151" s="100">
        <f t="shared" si="3"/>
        <v>31.300000000000068</v>
      </c>
      <c r="K151" s="101">
        <f t="shared" si="2"/>
        <v>-15.712599999999952</v>
      </c>
    </row>
    <row r="152" spans="1:11" ht="12.75" x14ac:dyDescent="0.2">
      <c r="A152" s="92">
        <v>45719</v>
      </c>
      <c r="B152" s="93" t="s">
        <v>33</v>
      </c>
      <c r="C152" s="94">
        <v>0.94089999999999996</v>
      </c>
      <c r="D152" s="95" t="s">
        <v>226</v>
      </c>
      <c r="E152" s="96"/>
      <c r="F152" s="96"/>
      <c r="G152" s="97">
        <v>625</v>
      </c>
      <c r="H152" s="98">
        <f t="shared" si="0"/>
        <v>36.9375</v>
      </c>
      <c r="I152" s="99">
        <f t="shared" si="1"/>
        <v>2031.5625</v>
      </c>
      <c r="J152" s="100">
        <f t="shared" si="3"/>
        <v>31.25</v>
      </c>
      <c r="K152" s="101">
        <f t="shared" si="2"/>
        <v>-5.6875</v>
      </c>
    </row>
    <row r="153" spans="1:11" ht="25.5" x14ac:dyDescent="0.2">
      <c r="A153" s="92">
        <v>45720</v>
      </c>
      <c r="B153" s="93" t="s">
        <v>35</v>
      </c>
      <c r="C153" s="94">
        <v>0.8448</v>
      </c>
      <c r="D153" s="95" t="s">
        <v>453</v>
      </c>
      <c r="E153" s="96" t="s">
        <v>456</v>
      </c>
      <c r="F153" s="96"/>
      <c r="G153" s="97">
        <v>625</v>
      </c>
      <c r="H153" s="98">
        <f t="shared" si="0"/>
        <v>97</v>
      </c>
      <c r="I153" s="99">
        <f t="shared" si="1"/>
        <v>5335</v>
      </c>
      <c r="J153" s="100">
        <f t="shared" si="3"/>
        <v>31.25</v>
      </c>
      <c r="K153" s="101">
        <f t="shared" si="2"/>
        <v>-65.75</v>
      </c>
    </row>
    <row r="154" spans="1:11" ht="12.75" x14ac:dyDescent="0.2">
      <c r="A154" s="92">
        <v>45721</v>
      </c>
      <c r="B154" s="93" t="s">
        <v>37</v>
      </c>
      <c r="C154" s="94">
        <v>0.97109999999999996</v>
      </c>
      <c r="D154" s="95" t="s">
        <v>226</v>
      </c>
      <c r="E154" s="96"/>
      <c r="F154" s="96"/>
      <c r="G154" s="97">
        <v>622</v>
      </c>
      <c r="H154" s="98">
        <f t="shared" si="0"/>
        <v>17.975800000000049</v>
      </c>
      <c r="I154" s="99">
        <f t="shared" si="1"/>
        <v>988.66900000000271</v>
      </c>
      <c r="J154" s="100">
        <f t="shared" si="3"/>
        <v>31.100000000000023</v>
      </c>
      <c r="K154" s="101">
        <f t="shared" si="2"/>
        <v>13.124199999999973</v>
      </c>
    </row>
    <row r="155" spans="1:11" ht="12.75" x14ac:dyDescent="0.2">
      <c r="A155" s="92">
        <v>45722</v>
      </c>
      <c r="B155" s="93" t="s">
        <v>39</v>
      </c>
      <c r="C155" s="94">
        <v>0.95509999999999995</v>
      </c>
      <c r="D155" s="95" t="s">
        <v>226</v>
      </c>
      <c r="E155" s="96"/>
      <c r="F155" s="96"/>
      <c r="G155" s="97">
        <v>623</v>
      </c>
      <c r="H155" s="98">
        <f t="shared" si="0"/>
        <v>27.972700000000032</v>
      </c>
      <c r="I155" s="99">
        <f t="shared" si="1"/>
        <v>1538.4985000000017</v>
      </c>
      <c r="J155" s="100">
        <f t="shared" si="3"/>
        <v>31.149999999999977</v>
      </c>
      <c r="K155" s="101">
        <f t="shared" si="2"/>
        <v>3.1772999999999456</v>
      </c>
    </row>
    <row r="156" spans="1:11" ht="12.75" x14ac:dyDescent="0.2">
      <c r="A156" s="92">
        <v>45723</v>
      </c>
      <c r="B156" s="93" t="s">
        <v>41</v>
      </c>
      <c r="C156" s="94">
        <v>0.94389999999999996</v>
      </c>
      <c r="D156" s="95" t="s">
        <v>226</v>
      </c>
      <c r="E156" s="96"/>
      <c r="F156" s="96"/>
      <c r="G156" s="97">
        <v>624</v>
      </c>
      <c r="H156" s="98">
        <f t="shared" si="0"/>
        <v>35.006399999999985</v>
      </c>
      <c r="I156" s="99">
        <f t="shared" si="1"/>
        <v>1925.3519999999992</v>
      </c>
      <c r="J156" s="100">
        <f t="shared" si="3"/>
        <v>31.200000000000045</v>
      </c>
      <c r="K156" s="101">
        <f t="shared" si="2"/>
        <v>-3.8063999999999396</v>
      </c>
    </row>
    <row r="157" spans="1:11" ht="12.75" x14ac:dyDescent="0.2">
      <c r="A157" s="123">
        <v>45726</v>
      </c>
      <c r="B157" s="124" t="s">
        <v>33</v>
      </c>
      <c r="C157" s="94">
        <v>0.92630000000000001</v>
      </c>
      <c r="D157" s="95" t="s">
        <v>226</v>
      </c>
      <c r="E157" s="96"/>
      <c r="F157" s="96"/>
      <c r="G157" s="97">
        <v>624</v>
      </c>
      <c r="H157" s="98">
        <f t="shared" si="0"/>
        <v>45.988799999999969</v>
      </c>
      <c r="I157" s="99">
        <f t="shared" si="1"/>
        <v>2529.3839999999982</v>
      </c>
      <c r="J157" s="100">
        <f t="shared" si="3"/>
        <v>31.200000000000045</v>
      </c>
      <c r="K157" s="101">
        <f t="shared" si="2"/>
        <v>-14.788799999999924</v>
      </c>
    </row>
    <row r="158" spans="1:11" ht="12.75" x14ac:dyDescent="0.2">
      <c r="A158" s="123">
        <v>45727</v>
      </c>
      <c r="B158" s="124" t="s">
        <v>35</v>
      </c>
      <c r="C158" s="94">
        <v>0.96950000000000003</v>
      </c>
      <c r="D158" s="95" t="s">
        <v>282</v>
      </c>
      <c r="E158" s="96"/>
      <c r="F158" s="96"/>
      <c r="G158" s="97">
        <v>623</v>
      </c>
      <c r="H158" s="98">
        <f t="shared" si="0"/>
        <v>19.001499999999965</v>
      </c>
      <c r="I158" s="99">
        <f t="shared" si="1"/>
        <v>1045.0824999999982</v>
      </c>
      <c r="J158" s="100">
        <f t="shared" si="3"/>
        <v>31.149999999999977</v>
      </c>
      <c r="K158" s="101">
        <f t="shared" si="2"/>
        <v>12.148500000000013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0"/>
        <v>0</v>
      </c>
      <c r="I159" s="99">
        <f t="shared" si="1"/>
        <v>0</v>
      </c>
      <c r="J159" s="100">
        <f t="shared" si="3"/>
        <v>0</v>
      </c>
      <c r="K159" s="101">
        <f t="shared" si="2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0"/>
        <v>0</v>
      </c>
      <c r="I160" s="99">
        <f t="shared" si="1"/>
        <v>0</v>
      </c>
      <c r="J160" s="100">
        <f t="shared" si="3"/>
        <v>0</v>
      </c>
      <c r="K160" s="101">
        <f t="shared" si="2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0"/>
        <v>0</v>
      </c>
      <c r="I161" s="99">
        <f t="shared" si="1"/>
        <v>0</v>
      </c>
      <c r="J161" s="100">
        <f t="shared" si="3"/>
        <v>0</v>
      </c>
      <c r="K161" s="101">
        <f t="shared" si="2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0"/>
        <v>0</v>
      </c>
      <c r="I162" s="99">
        <f t="shared" si="1"/>
        <v>0</v>
      </c>
      <c r="J162" s="100">
        <f t="shared" si="3"/>
        <v>0</v>
      </c>
      <c r="K162" s="101">
        <f t="shared" si="2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0"/>
        <v>0</v>
      </c>
      <c r="I163" s="99">
        <f t="shared" si="1"/>
        <v>0</v>
      </c>
      <c r="J163" s="100">
        <f t="shared" si="3"/>
        <v>0</v>
      </c>
      <c r="K163" s="101">
        <f t="shared" si="2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0"/>
        <v>0</v>
      </c>
      <c r="I164" s="99">
        <f t="shared" si="1"/>
        <v>0</v>
      </c>
      <c r="J164" s="100">
        <f t="shared" si="3"/>
        <v>0</v>
      </c>
      <c r="K164" s="101">
        <f t="shared" si="2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0"/>
        <v>0</v>
      </c>
      <c r="I165" s="99">
        <f t="shared" si="1"/>
        <v>0</v>
      </c>
      <c r="J165" s="100">
        <f t="shared" si="3"/>
        <v>0</v>
      </c>
      <c r="K165" s="101">
        <f t="shared" si="2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0"/>
        <v>0</v>
      </c>
      <c r="I166" s="99">
        <f t="shared" si="1"/>
        <v>0</v>
      </c>
      <c r="J166" s="100">
        <f t="shared" si="3"/>
        <v>0</v>
      </c>
      <c r="K166" s="101">
        <f t="shared" si="2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0"/>
        <v>0</v>
      </c>
      <c r="I167" s="99">
        <f t="shared" si="1"/>
        <v>0</v>
      </c>
      <c r="J167" s="100">
        <f t="shared" si="3"/>
        <v>0</v>
      </c>
      <c r="K167" s="101">
        <f t="shared" si="2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0"/>
        <v>0</v>
      </c>
      <c r="I168" s="99">
        <f t="shared" si="1"/>
        <v>0</v>
      </c>
      <c r="J168" s="100">
        <f t="shared" si="3"/>
        <v>0</v>
      </c>
      <c r="K168" s="101">
        <f t="shared" si="2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0"/>
        <v>0</v>
      </c>
      <c r="I169" s="99">
        <f t="shared" si="1"/>
        <v>0</v>
      </c>
      <c r="J169" s="100">
        <f t="shared" si="3"/>
        <v>0</v>
      </c>
      <c r="K169" s="101">
        <f t="shared" si="2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0"/>
        <v>0</v>
      </c>
      <c r="I170" s="99">
        <f t="shared" si="1"/>
        <v>0</v>
      </c>
      <c r="J170" s="100">
        <f t="shared" si="3"/>
        <v>0</v>
      </c>
      <c r="K170" s="101">
        <f t="shared" si="2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0"/>
        <v>0</v>
      </c>
      <c r="I171" s="99">
        <f t="shared" si="1"/>
        <v>0</v>
      </c>
      <c r="J171" s="100">
        <f t="shared" si="3"/>
        <v>0</v>
      </c>
      <c r="K171" s="101">
        <f t="shared" si="2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0"/>
        <v>0</v>
      </c>
      <c r="I172" s="99">
        <f t="shared" si="1"/>
        <v>0</v>
      </c>
      <c r="J172" s="100">
        <f t="shared" si="3"/>
        <v>0</v>
      </c>
      <c r="K172" s="101">
        <f t="shared" si="2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0"/>
        <v>0</v>
      </c>
      <c r="I173" s="99">
        <f t="shared" si="1"/>
        <v>0</v>
      </c>
      <c r="J173" s="100">
        <f t="shared" si="3"/>
        <v>0</v>
      </c>
      <c r="K173" s="101">
        <f t="shared" si="2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0"/>
        <v>0</v>
      </c>
      <c r="I174" s="99">
        <f t="shared" si="1"/>
        <v>0</v>
      </c>
      <c r="J174" s="100">
        <f t="shared" si="3"/>
        <v>0</v>
      </c>
      <c r="K174" s="101">
        <f t="shared" si="2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0"/>
        <v>0</v>
      </c>
      <c r="I175" s="99">
        <f t="shared" si="1"/>
        <v>0</v>
      </c>
      <c r="J175" s="100">
        <f t="shared" si="3"/>
        <v>0</v>
      </c>
      <c r="K175" s="101">
        <f t="shared" si="2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0"/>
        <v>0</v>
      </c>
      <c r="I176" s="99">
        <f t="shared" si="1"/>
        <v>0</v>
      </c>
      <c r="J176" s="100">
        <f t="shared" si="3"/>
        <v>0</v>
      </c>
      <c r="K176" s="101">
        <f t="shared" si="2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0"/>
        <v>0</v>
      </c>
      <c r="I177" s="99">
        <f t="shared" si="1"/>
        <v>0</v>
      </c>
      <c r="J177" s="100">
        <f t="shared" si="3"/>
        <v>0</v>
      </c>
      <c r="K177" s="101">
        <f t="shared" si="2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0"/>
        <v>0</v>
      </c>
      <c r="I178" s="99">
        <f t="shared" si="1"/>
        <v>0</v>
      </c>
      <c r="J178" s="100">
        <f t="shared" si="3"/>
        <v>0</v>
      </c>
      <c r="K178" s="101">
        <f t="shared" si="2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0"/>
        <v>0</v>
      </c>
      <c r="I179" s="99">
        <f t="shared" si="1"/>
        <v>0</v>
      </c>
      <c r="J179" s="100">
        <f t="shared" si="3"/>
        <v>0</v>
      </c>
      <c r="K179" s="101">
        <f t="shared" si="2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0"/>
        <v>0</v>
      </c>
      <c r="I180" s="99">
        <f t="shared" si="1"/>
        <v>0</v>
      </c>
      <c r="J180" s="100">
        <f t="shared" si="3"/>
        <v>0</v>
      </c>
      <c r="K180" s="101">
        <f t="shared" si="2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0"/>
        <v>0</v>
      </c>
      <c r="I181" s="99">
        <f t="shared" si="1"/>
        <v>0</v>
      </c>
      <c r="J181" s="100">
        <f t="shared" si="3"/>
        <v>0</v>
      </c>
      <c r="K181" s="101">
        <f t="shared" si="2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0"/>
        <v>0</v>
      </c>
      <c r="I182" s="99">
        <f t="shared" si="1"/>
        <v>0</v>
      </c>
      <c r="J182" s="100">
        <f t="shared" si="3"/>
        <v>0</v>
      </c>
      <c r="K182" s="101">
        <f t="shared" si="2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0"/>
        <v>0</v>
      </c>
      <c r="I183" s="99">
        <f t="shared" si="1"/>
        <v>0</v>
      </c>
      <c r="J183" s="100">
        <f t="shared" si="3"/>
        <v>0</v>
      </c>
      <c r="K183" s="101">
        <f t="shared" si="2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0"/>
        <v>0</v>
      </c>
      <c r="I184" s="99">
        <f t="shared" si="1"/>
        <v>0</v>
      </c>
      <c r="J184" s="100">
        <f t="shared" si="3"/>
        <v>0</v>
      </c>
      <c r="K184" s="101">
        <f t="shared" si="2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0"/>
        <v>0</v>
      </c>
      <c r="I185" s="99">
        <f t="shared" si="1"/>
        <v>0</v>
      </c>
      <c r="J185" s="100">
        <f t="shared" si="3"/>
        <v>0</v>
      </c>
      <c r="K185" s="101">
        <f t="shared" si="2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0"/>
        <v>0</v>
      </c>
      <c r="I186" s="99">
        <f t="shared" si="1"/>
        <v>0</v>
      </c>
      <c r="J186" s="100">
        <f t="shared" si="3"/>
        <v>0</v>
      </c>
      <c r="K186" s="101">
        <f t="shared" si="2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0"/>
        <v>0</v>
      </c>
      <c r="I187" s="99">
        <f t="shared" si="1"/>
        <v>0</v>
      </c>
      <c r="J187" s="100">
        <f t="shared" si="3"/>
        <v>0</v>
      </c>
      <c r="K187" s="101">
        <f t="shared" si="2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0"/>
        <v>0</v>
      </c>
      <c r="I188" s="99">
        <f t="shared" si="1"/>
        <v>0</v>
      </c>
      <c r="J188" s="100">
        <f t="shared" si="3"/>
        <v>0</v>
      </c>
      <c r="K188" s="101">
        <f t="shared" si="2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0"/>
        <v>0</v>
      </c>
      <c r="I189" s="99">
        <f t="shared" si="1"/>
        <v>0</v>
      </c>
      <c r="J189" s="100">
        <f t="shared" si="3"/>
        <v>0</v>
      </c>
      <c r="K189" s="101">
        <f t="shared" si="2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0"/>
        <v>0</v>
      </c>
      <c r="I190" s="99">
        <f t="shared" si="1"/>
        <v>0</v>
      </c>
      <c r="J190" s="100">
        <f t="shared" si="3"/>
        <v>0</v>
      </c>
      <c r="K190" s="101">
        <f t="shared" si="2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0"/>
        <v>0</v>
      </c>
      <c r="I191" s="99">
        <f t="shared" si="1"/>
        <v>0</v>
      </c>
      <c r="J191" s="100">
        <f t="shared" si="3"/>
        <v>0</v>
      </c>
      <c r="K191" s="101">
        <f t="shared" si="2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0"/>
        <v>0</v>
      </c>
      <c r="I192" s="99">
        <f t="shared" si="1"/>
        <v>0</v>
      </c>
      <c r="J192" s="100">
        <f t="shared" si="3"/>
        <v>0</v>
      </c>
      <c r="K192" s="101">
        <f t="shared" si="2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0"/>
        <v>0</v>
      </c>
      <c r="I193" s="99">
        <f t="shared" si="1"/>
        <v>0</v>
      </c>
      <c r="J193" s="100">
        <f t="shared" si="3"/>
        <v>0</v>
      </c>
      <c r="K193" s="101">
        <f t="shared" si="2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0"/>
        <v>0</v>
      </c>
      <c r="I194" s="99">
        <f t="shared" si="1"/>
        <v>0</v>
      </c>
      <c r="J194" s="100">
        <f t="shared" si="3"/>
        <v>0</v>
      </c>
      <c r="K194" s="101">
        <f t="shared" si="2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0"/>
        <v>0</v>
      </c>
      <c r="I195" s="99">
        <f t="shared" si="1"/>
        <v>0</v>
      </c>
      <c r="J195" s="100">
        <f t="shared" si="3"/>
        <v>0</v>
      </c>
      <c r="K195" s="101">
        <f t="shared" si="2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0"/>
        <v>0</v>
      </c>
      <c r="I196" s="99">
        <f t="shared" si="1"/>
        <v>0</v>
      </c>
      <c r="J196" s="100">
        <f t="shared" si="3"/>
        <v>0</v>
      </c>
      <c r="K196" s="101">
        <f t="shared" si="2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0"/>
        <v>0</v>
      </c>
      <c r="I197" s="99">
        <f t="shared" si="1"/>
        <v>0</v>
      </c>
      <c r="J197" s="100">
        <f t="shared" si="3"/>
        <v>0</v>
      </c>
      <c r="K197" s="101">
        <f t="shared" si="2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0"/>
        <v>0</v>
      </c>
      <c r="I198" s="99">
        <f t="shared" si="1"/>
        <v>0</v>
      </c>
      <c r="J198" s="100">
        <f t="shared" si="3"/>
        <v>0</v>
      </c>
      <c r="K198" s="101">
        <f t="shared" si="2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0"/>
        <v>0</v>
      </c>
      <c r="I199" s="99">
        <f t="shared" si="1"/>
        <v>0</v>
      </c>
      <c r="J199" s="100">
        <f t="shared" si="3"/>
        <v>0</v>
      </c>
      <c r="K199" s="101">
        <f t="shared" si="2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0"/>
        <v>0</v>
      </c>
      <c r="I200" s="99">
        <f t="shared" si="1"/>
        <v>0</v>
      </c>
      <c r="J200" s="100">
        <f t="shared" si="3"/>
        <v>0</v>
      </c>
      <c r="K200" s="101">
        <f t="shared" si="2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0"/>
        <v>0</v>
      </c>
      <c r="I201" s="99">
        <f t="shared" si="1"/>
        <v>0</v>
      </c>
      <c r="J201" s="100">
        <f t="shared" si="3"/>
        <v>0</v>
      </c>
      <c r="K201" s="101">
        <f t="shared" si="2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0"/>
        <v>0</v>
      </c>
      <c r="I202" s="99">
        <f t="shared" si="1"/>
        <v>0</v>
      </c>
      <c r="J202" s="100">
        <f t="shared" si="3"/>
        <v>0</v>
      </c>
      <c r="K202" s="101">
        <f t="shared" si="2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0"/>
        <v>0</v>
      </c>
      <c r="I203" s="99">
        <f t="shared" si="1"/>
        <v>0</v>
      </c>
      <c r="J203" s="100">
        <f t="shared" si="3"/>
        <v>0</v>
      </c>
      <c r="K203" s="101">
        <f t="shared" si="2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0"/>
        <v>0</v>
      </c>
      <c r="I204" s="99">
        <f t="shared" si="1"/>
        <v>0</v>
      </c>
      <c r="J204" s="100">
        <f t="shared" si="3"/>
        <v>0</v>
      </c>
      <c r="K204" s="101">
        <f t="shared" si="2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0"/>
        <v>0</v>
      </c>
      <c r="I205" s="99">
        <f t="shared" si="1"/>
        <v>0</v>
      </c>
      <c r="J205" s="100">
        <f t="shared" si="3"/>
        <v>0</v>
      </c>
      <c r="K205" s="101">
        <f t="shared" si="2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0"/>
        <v>0</v>
      </c>
      <c r="I206" s="99">
        <f t="shared" si="1"/>
        <v>0</v>
      </c>
      <c r="J206" s="100">
        <f t="shared" si="3"/>
        <v>0</v>
      </c>
      <c r="K206" s="101">
        <f t="shared" si="2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0"/>
        <v>0</v>
      </c>
      <c r="I207" s="99">
        <f t="shared" si="1"/>
        <v>0</v>
      </c>
      <c r="J207" s="100">
        <f t="shared" si="3"/>
        <v>0</v>
      </c>
      <c r="K207" s="101">
        <f t="shared" si="2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0"/>
        <v>0</v>
      </c>
      <c r="I208" s="99">
        <f t="shared" si="1"/>
        <v>0</v>
      </c>
      <c r="J208" s="100">
        <f t="shared" si="3"/>
        <v>0</v>
      </c>
      <c r="K208" s="101">
        <f t="shared" si="2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0"/>
        <v>0</v>
      </c>
      <c r="I209" s="99">
        <f t="shared" si="1"/>
        <v>0</v>
      </c>
      <c r="J209" s="100">
        <f t="shared" si="3"/>
        <v>0</v>
      </c>
      <c r="K209" s="101">
        <f t="shared" si="2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0"/>
        <v>0</v>
      </c>
      <c r="I210" s="99">
        <f t="shared" si="1"/>
        <v>0</v>
      </c>
      <c r="J210" s="100">
        <f t="shared" si="3"/>
        <v>0</v>
      </c>
      <c r="K210" s="101">
        <f t="shared" si="2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0"/>
        <v>0</v>
      </c>
      <c r="I211" s="99">
        <f t="shared" si="1"/>
        <v>0</v>
      </c>
      <c r="J211" s="100">
        <f t="shared" si="3"/>
        <v>0</v>
      </c>
      <c r="K211" s="101">
        <f t="shared" si="2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0"/>
        <v>0</v>
      </c>
      <c r="I212" s="99">
        <f t="shared" si="1"/>
        <v>0</v>
      </c>
      <c r="J212" s="100">
        <f t="shared" si="3"/>
        <v>0</v>
      </c>
      <c r="K212" s="101">
        <f t="shared" si="2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0"/>
        <v>0</v>
      </c>
      <c r="I213" s="99">
        <f t="shared" si="1"/>
        <v>0</v>
      </c>
      <c r="J213" s="100">
        <f t="shared" si="3"/>
        <v>0</v>
      </c>
      <c r="K213" s="101">
        <f t="shared" si="2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0"/>
        <v>0</v>
      </c>
      <c r="I214" s="99">
        <f t="shared" si="1"/>
        <v>0</v>
      </c>
      <c r="J214" s="100">
        <f t="shared" si="3"/>
        <v>0</v>
      </c>
      <c r="K214" s="101">
        <f t="shared" si="2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0"/>
        <v>0</v>
      </c>
      <c r="I215" s="99">
        <f t="shared" si="1"/>
        <v>0</v>
      </c>
      <c r="J215" s="100">
        <f t="shared" si="3"/>
        <v>0</v>
      </c>
      <c r="K215" s="101">
        <f t="shared" si="2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A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1 C7:C215">
    <cfRule type="cellIs" dxfId="24" priority="1" operator="lessThan">
      <formula>"90%"</formula>
    </cfRule>
    <cfRule type="cellIs" dxfId="23" priority="2" operator="lessThan">
      <formula>"94%"</formula>
    </cfRule>
  </conditionalFormatting>
  <conditionalFormatting sqref="C6:C853">
    <cfRule type="cellIs" dxfId="22" priority="4" operator="lessThan">
      <formula>"92%"</formula>
    </cfRule>
  </conditionalFormatting>
  <conditionalFormatting sqref="K1:K853">
    <cfRule type="cellIs" dxfId="21" priority="3" operator="lessThan">
      <formula>0</formula>
    </cfRule>
  </conditionalFormatting>
  <dataValidations count="1">
    <dataValidation type="list" allowBlank="1" sqref="E7:E215" xr:uid="{00000000-0002-0000-0A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73763"/>
    <outlinePr summaryBelow="0" summaryRight="0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0"/>
      <c r="B1" s="80"/>
      <c r="C1" s="80"/>
      <c r="D1" s="80"/>
      <c r="E1" s="80"/>
      <c r="F1" s="80"/>
      <c r="G1" s="80"/>
      <c r="H1" s="81"/>
      <c r="I1" s="81"/>
      <c r="J1" s="82"/>
      <c r="K1" s="134" t="e">
        <f>SUM(K7:K215)</f>
        <v>#REF!</v>
      </c>
    </row>
    <row r="2" spans="1:11" x14ac:dyDescent="0.25">
      <c r="A2" s="242" t="s">
        <v>457</v>
      </c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458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190510.47950000004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89" t="s">
        <v>222</v>
      </c>
      <c r="I6" s="90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225</v>
      </c>
      <c r="E7" s="96"/>
      <c r="F7" s="96"/>
      <c r="G7" s="97">
        <v>524</v>
      </c>
      <c r="H7" s="98">
        <f t="shared" ref="H7:H143" si="0">G7-(C7*G7)</f>
        <v>0</v>
      </c>
      <c r="I7" s="99">
        <f t="shared" ref="I7:I215" si="1">H7*$H$5</f>
        <v>0</v>
      </c>
      <c r="J7" s="100">
        <v>0</v>
      </c>
      <c r="K7" s="101">
        <f t="shared" ref="K7:K215" si="2">J7-H7</f>
        <v>0</v>
      </c>
    </row>
    <row r="8" spans="1:11" ht="12.75" x14ac:dyDescent="0.2">
      <c r="A8" s="92">
        <v>45517</v>
      </c>
      <c r="B8" s="93" t="s">
        <v>35</v>
      </c>
      <c r="C8" s="94">
        <v>0.97599999999999998</v>
      </c>
      <c r="D8" s="95" t="s">
        <v>225</v>
      </c>
      <c r="E8" s="96"/>
      <c r="F8" s="96"/>
      <c r="G8" s="97">
        <v>541</v>
      </c>
      <c r="H8" s="98">
        <f t="shared" si="0"/>
        <v>12.984000000000037</v>
      </c>
      <c r="I8" s="99">
        <f t="shared" si="1"/>
        <v>714.12000000000205</v>
      </c>
      <c r="J8" s="100">
        <f t="shared" ref="J8:J215" si="3">G8-(G8*J$3)</f>
        <v>27.050000000000068</v>
      </c>
      <c r="K8" s="101">
        <f t="shared" si="2"/>
        <v>14.066000000000031</v>
      </c>
    </row>
    <row r="9" spans="1:11" ht="12.75" x14ac:dyDescent="0.2">
      <c r="A9" s="92">
        <v>45518</v>
      </c>
      <c r="B9" s="93" t="s">
        <v>37</v>
      </c>
      <c r="C9" s="94">
        <v>0.98770000000000002</v>
      </c>
      <c r="D9" s="95" t="s">
        <v>225</v>
      </c>
      <c r="E9" s="96"/>
      <c r="F9" s="96"/>
      <c r="G9" s="97">
        <v>571</v>
      </c>
      <c r="H9" s="98">
        <f t="shared" si="0"/>
        <v>7.0232999999999493</v>
      </c>
      <c r="I9" s="99">
        <f t="shared" si="1"/>
        <v>386.28149999999721</v>
      </c>
      <c r="J9" s="100">
        <f t="shared" si="3"/>
        <v>28.550000000000068</v>
      </c>
      <c r="K9" s="101">
        <f t="shared" si="2"/>
        <v>21.526700000000119</v>
      </c>
    </row>
    <row r="10" spans="1:11" ht="12.75" x14ac:dyDescent="0.2">
      <c r="A10" s="92">
        <v>45519</v>
      </c>
      <c r="B10" s="93" t="s">
        <v>39</v>
      </c>
      <c r="C10" s="94">
        <v>0.97260000000000002</v>
      </c>
      <c r="D10" s="95" t="s">
        <v>225</v>
      </c>
      <c r="E10" s="96"/>
      <c r="F10" s="96"/>
      <c r="G10" s="97">
        <v>583</v>
      </c>
      <c r="H10" s="98">
        <f t="shared" si="0"/>
        <v>15.974199999999996</v>
      </c>
      <c r="I10" s="99">
        <f t="shared" si="1"/>
        <v>878.58099999999979</v>
      </c>
      <c r="J10" s="100">
        <f t="shared" si="3"/>
        <v>29.149999999999977</v>
      </c>
      <c r="K10" s="101">
        <f t="shared" si="2"/>
        <v>13.175799999999981</v>
      </c>
    </row>
    <row r="11" spans="1:11" ht="12.75" x14ac:dyDescent="0.2">
      <c r="A11" s="92">
        <v>45520</v>
      </c>
      <c r="B11" s="93" t="s">
        <v>41</v>
      </c>
      <c r="C11" s="94">
        <v>0.95030000000000003</v>
      </c>
      <c r="D11" s="95" t="s">
        <v>225</v>
      </c>
      <c r="E11" s="96"/>
      <c r="F11" s="96"/>
      <c r="G11" s="97">
        <v>583</v>
      </c>
      <c r="H11" s="98">
        <f t="shared" si="0"/>
        <v>28.975099999999998</v>
      </c>
      <c r="I11" s="99">
        <f t="shared" si="1"/>
        <v>1593.6304999999998</v>
      </c>
      <c r="J11" s="100">
        <f t="shared" si="3"/>
        <v>29.149999999999977</v>
      </c>
      <c r="K11" s="101">
        <f t="shared" si="2"/>
        <v>0.17489999999997963</v>
      </c>
    </row>
    <row r="12" spans="1:11" ht="12.75" x14ac:dyDescent="0.2">
      <c r="A12" s="92">
        <v>45523</v>
      </c>
      <c r="B12" s="93" t="s">
        <v>33</v>
      </c>
      <c r="C12" s="94">
        <v>0.95569999999999999</v>
      </c>
      <c r="D12" s="95" t="s">
        <v>225</v>
      </c>
      <c r="E12" s="96"/>
      <c r="F12" s="96"/>
      <c r="G12" s="97">
        <v>587</v>
      </c>
      <c r="H12" s="98">
        <f t="shared" si="0"/>
        <v>26.004099999999994</v>
      </c>
      <c r="I12" s="99">
        <f t="shared" si="1"/>
        <v>1430.2254999999996</v>
      </c>
      <c r="J12" s="100">
        <f t="shared" si="3"/>
        <v>29.350000000000023</v>
      </c>
      <c r="K12" s="101">
        <f t="shared" si="2"/>
        <v>3.3459000000000287</v>
      </c>
    </row>
    <row r="13" spans="1:11" ht="12.75" x14ac:dyDescent="0.2">
      <c r="A13" s="92">
        <v>45524</v>
      </c>
      <c r="B13" s="93" t="s">
        <v>35</v>
      </c>
      <c r="C13" s="94">
        <v>0.95250000000000001</v>
      </c>
      <c r="D13" s="95" t="s">
        <v>225</v>
      </c>
      <c r="E13" s="96"/>
      <c r="F13" s="96"/>
      <c r="G13" s="97">
        <v>589</v>
      </c>
      <c r="H13" s="98">
        <f t="shared" si="0"/>
        <v>27.977499999999964</v>
      </c>
      <c r="I13" s="99">
        <f t="shared" si="1"/>
        <v>1538.762499999998</v>
      </c>
      <c r="J13" s="100">
        <f t="shared" si="3"/>
        <v>29.450000000000045</v>
      </c>
      <c r="K13" s="101">
        <f t="shared" si="2"/>
        <v>1.4725000000000819</v>
      </c>
    </row>
    <row r="14" spans="1:11" ht="12.75" x14ac:dyDescent="0.2">
      <c r="A14" s="92">
        <v>45525</v>
      </c>
      <c r="B14" s="93" t="s">
        <v>37</v>
      </c>
      <c r="C14" s="94">
        <v>0.96950000000000003</v>
      </c>
      <c r="D14" s="95" t="s">
        <v>225</v>
      </c>
      <c r="E14" s="96"/>
      <c r="F14" s="96"/>
      <c r="G14" s="97">
        <v>590</v>
      </c>
      <c r="H14" s="98">
        <f t="shared" si="0"/>
        <v>17.995000000000005</v>
      </c>
      <c r="I14" s="99">
        <f t="shared" si="1"/>
        <v>989.72500000000025</v>
      </c>
      <c r="J14" s="100">
        <f t="shared" si="3"/>
        <v>29.5</v>
      </c>
      <c r="K14" s="101">
        <f t="shared" si="2"/>
        <v>11.504999999999995</v>
      </c>
    </row>
    <row r="15" spans="1:11" ht="12.75" x14ac:dyDescent="0.2">
      <c r="A15" s="92">
        <v>45526</v>
      </c>
      <c r="B15" s="93" t="s">
        <v>39</v>
      </c>
      <c r="C15" s="94">
        <v>0.95109999999999995</v>
      </c>
      <c r="D15" s="95" t="s">
        <v>225</v>
      </c>
      <c r="E15" s="96"/>
      <c r="F15" s="96"/>
      <c r="G15" s="97">
        <v>593</v>
      </c>
      <c r="H15" s="98">
        <f t="shared" si="0"/>
        <v>28.997700000000009</v>
      </c>
      <c r="I15" s="99">
        <f t="shared" si="1"/>
        <v>1594.8735000000006</v>
      </c>
      <c r="J15" s="100">
        <f t="shared" si="3"/>
        <v>29.649999999999977</v>
      </c>
      <c r="K15" s="101">
        <f t="shared" si="2"/>
        <v>0.65229999999996835</v>
      </c>
    </row>
    <row r="16" spans="1:11" ht="12.75" x14ac:dyDescent="0.2">
      <c r="A16" s="92">
        <v>45527</v>
      </c>
      <c r="B16" s="93" t="s">
        <v>41</v>
      </c>
      <c r="C16" s="94">
        <v>0.92220000000000002</v>
      </c>
      <c r="D16" s="95" t="s">
        <v>225</v>
      </c>
      <c r="E16" s="96"/>
      <c r="F16" s="96"/>
      <c r="G16" s="97">
        <v>591</v>
      </c>
      <c r="H16" s="98">
        <f t="shared" si="0"/>
        <v>45.979799999999955</v>
      </c>
      <c r="I16" s="99">
        <f t="shared" si="1"/>
        <v>2528.8889999999974</v>
      </c>
      <c r="J16" s="100">
        <f t="shared" si="3"/>
        <v>29.550000000000068</v>
      </c>
      <c r="K16" s="101">
        <f t="shared" si="2"/>
        <v>-16.429799999999886</v>
      </c>
    </row>
    <row r="17" spans="1:11" ht="12.75" x14ac:dyDescent="0.2">
      <c r="A17" s="92">
        <v>45530</v>
      </c>
      <c r="B17" s="93" t="s">
        <v>33</v>
      </c>
      <c r="C17" s="94">
        <v>0.9546</v>
      </c>
      <c r="D17" s="95" t="s">
        <v>225</v>
      </c>
      <c r="E17" s="96"/>
      <c r="F17" s="96"/>
      <c r="G17" s="97">
        <v>595</v>
      </c>
      <c r="H17" s="98">
        <f t="shared" si="0"/>
        <v>27.013000000000034</v>
      </c>
      <c r="I17" s="99">
        <f t="shared" si="1"/>
        <v>1485.715000000002</v>
      </c>
      <c r="J17" s="100">
        <f t="shared" si="3"/>
        <v>29.75</v>
      </c>
      <c r="K17" s="101">
        <f t="shared" si="2"/>
        <v>2.7369999999999663</v>
      </c>
    </row>
    <row r="18" spans="1:11" ht="12.75" x14ac:dyDescent="0.2">
      <c r="A18" s="92">
        <v>45531</v>
      </c>
      <c r="B18" s="93" t="s">
        <v>35</v>
      </c>
      <c r="C18" s="94">
        <v>0.94289999999999996</v>
      </c>
      <c r="D18" s="95" t="s">
        <v>225</v>
      </c>
      <c r="E18" s="96"/>
      <c r="F18" s="96"/>
      <c r="G18" s="97">
        <v>595</v>
      </c>
      <c r="H18" s="98">
        <f t="shared" si="0"/>
        <v>33.974500000000035</v>
      </c>
      <c r="I18" s="99">
        <f t="shared" si="1"/>
        <v>1868.5975000000019</v>
      </c>
      <c r="J18" s="100">
        <f t="shared" si="3"/>
        <v>29.75</v>
      </c>
      <c r="K18" s="101">
        <f t="shared" si="2"/>
        <v>-4.2245000000000346</v>
      </c>
    </row>
    <row r="19" spans="1:11" ht="12.75" x14ac:dyDescent="0.2">
      <c r="A19" s="92">
        <v>45532</v>
      </c>
      <c r="B19" s="93" t="s">
        <v>37</v>
      </c>
      <c r="C19" s="94">
        <v>0.95299999999999996</v>
      </c>
      <c r="D19" s="95" t="s">
        <v>225</v>
      </c>
      <c r="E19" s="96"/>
      <c r="F19" s="102"/>
      <c r="G19" s="97">
        <v>596</v>
      </c>
      <c r="H19" s="98">
        <f t="shared" si="0"/>
        <v>28.012000000000057</v>
      </c>
      <c r="I19" s="99">
        <f t="shared" si="1"/>
        <v>1540.660000000003</v>
      </c>
      <c r="J19" s="100">
        <f t="shared" si="3"/>
        <v>29.800000000000068</v>
      </c>
      <c r="K19" s="101">
        <f t="shared" si="2"/>
        <v>1.7880000000000109</v>
      </c>
    </row>
    <row r="20" spans="1:11" ht="12.75" x14ac:dyDescent="0.2">
      <c r="A20" s="92">
        <v>45533</v>
      </c>
      <c r="B20" s="93" t="s">
        <v>39</v>
      </c>
      <c r="C20" s="94">
        <v>0.94320000000000004</v>
      </c>
      <c r="D20" s="95" t="s">
        <v>225</v>
      </c>
      <c r="E20" s="96"/>
      <c r="F20" s="96"/>
      <c r="G20" s="97">
        <v>599</v>
      </c>
      <c r="H20" s="98">
        <f t="shared" si="0"/>
        <v>34.023199999999974</v>
      </c>
      <c r="I20" s="99">
        <f t="shared" si="1"/>
        <v>1871.2759999999985</v>
      </c>
      <c r="J20" s="100">
        <f t="shared" si="3"/>
        <v>29.950000000000045</v>
      </c>
      <c r="K20" s="101">
        <f t="shared" si="2"/>
        <v>-4.0731999999999289</v>
      </c>
    </row>
    <row r="21" spans="1:11" ht="12.75" x14ac:dyDescent="0.2">
      <c r="A21" s="92">
        <v>45534</v>
      </c>
      <c r="B21" s="93" t="s">
        <v>41</v>
      </c>
      <c r="C21" s="94">
        <v>0.90480000000000005</v>
      </c>
      <c r="D21" s="95" t="s">
        <v>225</v>
      </c>
      <c r="E21" s="96"/>
      <c r="F21" s="96"/>
      <c r="G21" s="97">
        <v>599</v>
      </c>
      <c r="H21" s="98">
        <f t="shared" si="0"/>
        <v>57.024800000000027</v>
      </c>
      <c r="I21" s="99">
        <f t="shared" si="1"/>
        <v>3136.3640000000014</v>
      </c>
      <c r="J21" s="100">
        <f t="shared" si="3"/>
        <v>29.950000000000045</v>
      </c>
      <c r="K21" s="101">
        <f t="shared" si="2"/>
        <v>-27.074799999999982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0.95330000000000004</v>
      </c>
      <c r="D23" s="95" t="s">
        <v>225</v>
      </c>
      <c r="E23" s="96"/>
      <c r="F23" s="96"/>
      <c r="G23" s="97">
        <v>599</v>
      </c>
      <c r="H23" s="98">
        <f t="shared" si="0"/>
        <v>27.973299999999995</v>
      </c>
      <c r="I23" s="99">
        <f t="shared" si="1"/>
        <v>1538.5314999999996</v>
      </c>
      <c r="J23" s="100">
        <f t="shared" si="3"/>
        <v>29.950000000000045</v>
      </c>
      <c r="K23" s="101">
        <f t="shared" si="2"/>
        <v>1.9767000000000507</v>
      </c>
    </row>
    <row r="24" spans="1:11" ht="12.75" x14ac:dyDescent="0.2">
      <c r="A24" s="92">
        <v>45539</v>
      </c>
      <c r="B24" s="93" t="s">
        <v>37</v>
      </c>
      <c r="C24" s="94">
        <v>0.94499999999999995</v>
      </c>
      <c r="D24" s="95" t="s">
        <v>225</v>
      </c>
      <c r="E24" s="96"/>
      <c r="F24" s="96"/>
      <c r="G24" s="97">
        <v>600</v>
      </c>
      <c r="H24" s="98">
        <f t="shared" si="0"/>
        <v>33</v>
      </c>
      <c r="I24" s="99">
        <f t="shared" si="1"/>
        <v>1815</v>
      </c>
      <c r="J24" s="100">
        <f t="shared" si="3"/>
        <v>30</v>
      </c>
      <c r="K24" s="101">
        <f t="shared" si="2"/>
        <v>-3</v>
      </c>
    </row>
    <row r="25" spans="1:11" ht="12.75" x14ac:dyDescent="0.2">
      <c r="A25" s="92">
        <v>45540</v>
      </c>
      <c r="B25" s="93" t="s">
        <v>39</v>
      </c>
      <c r="C25" s="94">
        <v>0.94</v>
      </c>
      <c r="D25" s="95" t="s">
        <v>225</v>
      </c>
      <c r="E25" s="96"/>
      <c r="F25" s="96"/>
      <c r="G25" s="97">
        <v>600</v>
      </c>
      <c r="H25" s="98">
        <f t="shared" si="0"/>
        <v>36</v>
      </c>
      <c r="I25" s="99">
        <f t="shared" si="1"/>
        <v>1980</v>
      </c>
      <c r="J25" s="100">
        <f t="shared" si="3"/>
        <v>30</v>
      </c>
      <c r="K25" s="101">
        <f t="shared" si="2"/>
        <v>-6</v>
      </c>
    </row>
    <row r="26" spans="1:11" ht="12.75" x14ac:dyDescent="0.2">
      <c r="A26" s="92">
        <v>45541</v>
      </c>
      <c r="B26" s="93" t="s">
        <v>41</v>
      </c>
      <c r="C26" s="94">
        <v>0.93179999999999996</v>
      </c>
      <c r="D26" s="95" t="s">
        <v>225</v>
      </c>
      <c r="E26" s="96"/>
      <c r="F26" s="96"/>
      <c r="G26" s="97">
        <v>601</v>
      </c>
      <c r="H26" s="98">
        <f t="shared" si="0"/>
        <v>40.988200000000006</v>
      </c>
      <c r="I26" s="99">
        <f t="shared" si="1"/>
        <v>2254.3510000000006</v>
      </c>
      <c r="J26" s="100">
        <f t="shared" si="3"/>
        <v>30.050000000000068</v>
      </c>
      <c r="K26" s="101">
        <f t="shared" si="2"/>
        <v>-10.938199999999938</v>
      </c>
    </row>
    <row r="27" spans="1:11" ht="12.75" x14ac:dyDescent="0.2">
      <c r="A27" s="92">
        <v>45544</v>
      </c>
      <c r="B27" s="93" t="s">
        <v>33</v>
      </c>
      <c r="C27" s="94">
        <v>0.95540000000000003</v>
      </c>
      <c r="D27" s="95" t="s">
        <v>225</v>
      </c>
      <c r="E27" s="96"/>
      <c r="F27" s="96"/>
      <c r="G27" s="97">
        <v>605</v>
      </c>
      <c r="H27" s="98">
        <f t="shared" si="0"/>
        <v>26.982999999999947</v>
      </c>
      <c r="I27" s="99">
        <f t="shared" si="1"/>
        <v>1484.0649999999971</v>
      </c>
      <c r="J27" s="100">
        <f t="shared" si="3"/>
        <v>30.25</v>
      </c>
      <c r="K27" s="101">
        <f t="shared" si="2"/>
        <v>3.2670000000000528</v>
      </c>
    </row>
    <row r="28" spans="1:11" ht="12.75" x14ac:dyDescent="0.2">
      <c r="A28" s="92">
        <v>45545</v>
      </c>
      <c r="B28" s="93" t="s">
        <v>35</v>
      </c>
      <c r="C28" s="94">
        <v>0.94089999999999996</v>
      </c>
      <c r="D28" s="95" t="s">
        <v>225</v>
      </c>
      <c r="E28" s="96"/>
      <c r="F28" s="96"/>
      <c r="G28" s="97">
        <v>609</v>
      </c>
      <c r="H28" s="98">
        <f t="shared" si="0"/>
        <v>35.991899999999987</v>
      </c>
      <c r="I28" s="99">
        <f t="shared" si="1"/>
        <v>1979.5544999999993</v>
      </c>
      <c r="J28" s="100">
        <f t="shared" si="3"/>
        <v>30.450000000000045</v>
      </c>
      <c r="K28" s="101">
        <f t="shared" si="2"/>
        <v>-5.5418999999999414</v>
      </c>
    </row>
    <row r="29" spans="1:11" ht="12.75" x14ac:dyDescent="0.2">
      <c r="A29" s="92">
        <v>45546</v>
      </c>
      <c r="B29" s="93" t="s">
        <v>37</v>
      </c>
      <c r="C29" s="94">
        <v>0.92449999999999999</v>
      </c>
      <c r="D29" s="95" t="s">
        <v>225</v>
      </c>
      <c r="E29" s="96"/>
      <c r="F29" s="96"/>
      <c r="G29" s="97">
        <v>609</v>
      </c>
      <c r="H29" s="98">
        <f t="shared" si="0"/>
        <v>45.97950000000003</v>
      </c>
      <c r="I29" s="99">
        <f t="shared" si="1"/>
        <v>2528.8725000000018</v>
      </c>
      <c r="J29" s="100">
        <f t="shared" si="3"/>
        <v>30.450000000000045</v>
      </c>
      <c r="K29" s="101">
        <f t="shared" si="2"/>
        <v>-15.529499999999985</v>
      </c>
    </row>
    <row r="30" spans="1:11" ht="12.75" x14ac:dyDescent="0.2">
      <c r="A30" s="92">
        <v>45547</v>
      </c>
      <c r="B30" s="93" t="s">
        <v>39</v>
      </c>
      <c r="C30" s="94">
        <v>0.94750000000000001</v>
      </c>
      <c r="D30" s="95" t="s">
        <v>225</v>
      </c>
      <c r="E30" s="96"/>
      <c r="F30" s="96"/>
      <c r="G30" s="97">
        <v>609</v>
      </c>
      <c r="H30" s="98">
        <f t="shared" si="0"/>
        <v>31.972499999999968</v>
      </c>
      <c r="I30" s="99">
        <f t="shared" si="1"/>
        <v>1758.4874999999984</v>
      </c>
      <c r="J30" s="100">
        <f t="shared" si="3"/>
        <v>30.450000000000045</v>
      </c>
      <c r="K30" s="101">
        <f t="shared" si="2"/>
        <v>-1.5224999999999227</v>
      </c>
    </row>
    <row r="31" spans="1:11" ht="25.5" x14ac:dyDescent="0.2">
      <c r="A31" s="92">
        <v>45548</v>
      </c>
      <c r="B31" s="93" t="s">
        <v>41</v>
      </c>
      <c r="C31" s="94">
        <v>0.88690000000000002</v>
      </c>
      <c r="D31" s="95" t="s">
        <v>232</v>
      </c>
      <c r="E31" s="96" t="s">
        <v>459</v>
      </c>
      <c r="F31" s="96"/>
      <c r="G31" s="97">
        <v>610</v>
      </c>
      <c r="H31" s="98">
        <f t="shared" si="0"/>
        <v>68.990999999999985</v>
      </c>
      <c r="I31" s="99">
        <f t="shared" si="1"/>
        <v>3794.5049999999992</v>
      </c>
      <c r="J31" s="100">
        <f t="shared" si="3"/>
        <v>30.5</v>
      </c>
      <c r="K31" s="101">
        <f t="shared" si="2"/>
        <v>-38.490999999999985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0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0.94440000000000002</v>
      </c>
      <c r="D33" s="95" t="s">
        <v>225</v>
      </c>
      <c r="E33" s="96"/>
      <c r="F33" s="96"/>
      <c r="G33" s="97">
        <v>611</v>
      </c>
      <c r="H33" s="98">
        <f t="shared" si="0"/>
        <v>33.971599999999967</v>
      </c>
      <c r="I33" s="99">
        <f t="shared" si="1"/>
        <v>1868.4379999999983</v>
      </c>
      <c r="J33" s="100">
        <f t="shared" si="3"/>
        <v>30.550000000000068</v>
      </c>
      <c r="K33" s="101">
        <f t="shared" si="2"/>
        <v>-3.4215999999998985</v>
      </c>
    </row>
    <row r="34" spans="1:11" ht="12.75" x14ac:dyDescent="0.2">
      <c r="A34" s="92">
        <v>45553</v>
      </c>
      <c r="B34" s="93" t="s">
        <v>37</v>
      </c>
      <c r="C34" s="94">
        <v>0.9345</v>
      </c>
      <c r="D34" s="95" t="s">
        <v>225</v>
      </c>
      <c r="E34" s="96"/>
      <c r="F34" s="96"/>
      <c r="G34" s="97">
        <v>611</v>
      </c>
      <c r="H34" s="98">
        <f t="shared" si="0"/>
        <v>40.02049999999997</v>
      </c>
      <c r="I34" s="99">
        <f t="shared" si="1"/>
        <v>2201.1274999999982</v>
      </c>
      <c r="J34" s="100">
        <f t="shared" si="3"/>
        <v>30.550000000000068</v>
      </c>
      <c r="K34" s="101">
        <f t="shared" si="2"/>
        <v>-9.4704999999999018</v>
      </c>
    </row>
    <row r="35" spans="1:11" ht="12.75" x14ac:dyDescent="0.2">
      <c r="A35" s="92">
        <v>45554</v>
      </c>
      <c r="B35" s="93" t="s">
        <v>39</v>
      </c>
      <c r="C35" s="94">
        <v>0.92959999999999998</v>
      </c>
      <c r="D35" s="95" t="s">
        <v>225</v>
      </c>
      <c r="E35" s="96"/>
      <c r="F35" s="96"/>
      <c r="G35" s="97">
        <v>611</v>
      </c>
      <c r="H35" s="98">
        <f t="shared" si="0"/>
        <v>43.014400000000023</v>
      </c>
      <c r="I35" s="99">
        <f t="shared" si="1"/>
        <v>2365.7920000000013</v>
      </c>
      <c r="J35" s="100">
        <f t="shared" si="3"/>
        <v>30.550000000000068</v>
      </c>
      <c r="K35" s="101">
        <f t="shared" si="2"/>
        <v>-12.464399999999955</v>
      </c>
    </row>
    <row r="36" spans="1:11" ht="12.75" x14ac:dyDescent="0.2">
      <c r="A36" s="92">
        <v>45555</v>
      </c>
      <c r="B36" s="93" t="s">
        <v>41</v>
      </c>
      <c r="C36" s="94">
        <v>0.92310000000000003</v>
      </c>
      <c r="D36" s="95" t="s">
        <v>225</v>
      </c>
      <c r="E36" s="96"/>
      <c r="F36" s="96"/>
      <c r="G36" s="97">
        <v>611</v>
      </c>
      <c r="H36" s="98">
        <f t="shared" si="0"/>
        <v>46.985900000000015</v>
      </c>
      <c r="I36" s="99">
        <f t="shared" si="1"/>
        <v>2584.2245000000007</v>
      </c>
      <c r="J36" s="100">
        <f t="shared" si="3"/>
        <v>30.550000000000068</v>
      </c>
      <c r="K36" s="101">
        <f t="shared" si="2"/>
        <v>-16.435899999999947</v>
      </c>
    </row>
    <row r="37" spans="1:11" ht="12.75" x14ac:dyDescent="0.2">
      <c r="A37" s="92">
        <v>45558</v>
      </c>
      <c r="B37" s="93" t="s">
        <v>33</v>
      </c>
      <c r="C37" s="94">
        <v>0.9395</v>
      </c>
      <c r="D37" s="95" t="s">
        <v>282</v>
      </c>
      <c r="E37" s="96"/>
      <c r="F37" s="96"/>
      <c r="G37" s="97">
        <v>612</v>
      </c>
      <c r="H37" s="98">
        <f t="shared" si="0"/>
        <v>37.025999999999954</v>
      </c>
      <c r="I37" s="99">
        <f t="shared" si="1"/>
        <v>2036.4299999999976</v>
      </c>
      <c r="J37" s="100">
        <f t="shared" si="3"/>
        <v>30.600000000000023</v>
      </c>
      <c r="K37" s="101">
        <f t="shared" si="2"/>
        <v>-6.4259999999999309</v>
      </c>
    </row>
    <row r="38" spans="1:11" ht="12.75" x14ac:dyDescent="0.2">
      <c r="A38" s="92">
        <v>45559</v>
      </c>
      <c r="B38" s="93" t="s">
        <v>35</v>
      </c>
      <c r="C38" s="94">
        <v>0.95279999999999998</v>
      </c>
      <c r="D38" s="95" t="s">
        <v>225</v>
      </c>
      <c r="E38" s="96"/>
      <c r="F38" s="96"/>
      <c r="G38" s="97">
        <v>614</v>
      </c>
      <c r="H38" s="98">
        <f t="shared" si="0"/>
        <v>28.980800000000045</v>
      </c>
      <c r="I38" s="99">
        <f t="shared" si="1"/>
        <v>1593.9440000000025</v>
      </c>
      <c r="J38" s="100">
        <f t="shared" si="3"/>
        <v>30.700000000000045</v>
      </c>
      <c r="K38" s="101">
        <f t="shared" si="2"/>
        <v>1.7192000000000007</v>
      </c>
    </row>
    <row r="39" spans="1:11" ht="12.75" x14ac:dyDescent="0.2">
      <c r="A39" s="92">
        <v>45560</v>
      </c>
      <c r="B39" s="93" t="s">
        <v>37</v>
      </c>
      <c r="C39" s="94">
        <v>0.9577</v>
      </c>
      <c r="D39" s="95" t="s">
        <v>225</v>
      </c>
      <c r="E39" s="96"/>
      <c r="F39" s="96"/>
      <c r="G39" s="97">
        <v>614</v>
      </c>
      <c r="H39" s="98">
        <f t="shared" si="0"/>
        <v>25.972200000000043</v>
      </c>
      <c r="I39" s="99">
        <f t="shared" si="1"/>
        <v>1428.4710000000023</v>
      </c>
      <c r="J39" s="100">
        <f t="shared" si="3"/>
        <v>30.700000000000045</v>
      </c>
      <c r="K39" s="101">
        <f t="shared" si="2"/>
        <v>4.727800000000002</v>
      </c>
    </row>
    <row r="40" spans="1:11" ht="12.75" x14ac:dyDescent="0.2">
      <c r="A40" s="92">
        <v>45561</v>
      </c>
      <c r="B40" s="93" t="s">
        <v>39</v>
      </c>
      <c r="C40" s="94">
        <v>0.94140000000000001</v>
      </c>
      <c r="D40" s="95" t="s">
        <v>225</v>
      </c>
      <c r="E40" s="96"/>
      <c r="F40" s="96"/>
      <c r="G40" s="97">
        <v>614</v>
      </c>
      <c r="H40" s="98">
        <f t="shared" si="0"/>
        <v>35.980400000000031</v>
      </c>
      <c r="I40" s="99">
        <f t="shared" si="1"/>
        <v>1978.9220000000018</v>
      </c>
      <c r="J40" s="100">
        <f t="shared" si="3"/>
        <v>30.700000000000045</v>
      </c>
      <c r="K40" s="101">
        <f t="shared" si="2"/>
        <v>-5.280399999999986</v>
      </c>
    </row>
    <row r="41" spans="1:11" ht="12.75" x14ac:dyDescent="0.2">
      <c r="A41" s="92">
        <v>45562</v>
      </c>
      <c r="B41" s="93" t="s">
        <v>41</v>
      </c>
      <c r="C41" s="94">
        <v>0.92510000000000003</v>
      </c>
      <c r="D41" s="95" t="s">
        <v>225</v>
      </c>
      <c r="E41" s="96"/>
      <c r="F41" s="96"/>
      <c r="G41" s="97">
        <v>614</v>
      </c>
      <c r="H41" s="98">
        <f t="shared" si="0"/>
        <v>45.988600000000019</v>
      </c>
      <c r="I41" s="99">
        <f t="shared" si="1"/>
        <v>2529.373000000001</v>
      </c>
      <c r="J41" s="100">
        <f t="shared" si="3"/>
        <v>30.700000000000045</v>
      </c>
      <c r="K41" s="101">
        <f t="shared" si="2"/>
        <v>-15.288599999999974</v>
      </c>
    </row>
    <row r="42" spans="1:11" ht="12.75" x14ac:dyDescent="0.2">
      <c r="A42" s="92">
        <v>45565</v>
      </c>
      <c r="B42" s="93" t="s">
        <v>33</v>
      </c>
      <c r="C42" s="94">
        <v>0.95920000000000005</v>
      </c>
      <c r="D42" s="95" t="s">
        <v>225</v>
      </c>
      <c r="E42" s="96"/>
      <c r="F42" s="96"/>
      <c r="G42" s="97">
        <v>613</v>
      </c>
      <c r="H42" s="98">
        <f t="shared" si="0"/>
        <v>25.010400000000004</v>
      </c>
      <c r="I42" s="99">
        <f t="shared" si="1"/>
        <v>1375.5720000000001</v>
      </c>
      <c r="J42" s="100">
        <f t="shared" si="3"/>
        <v>30.649999999999977</v>
      </c>
      <c r="K42" s="101">
        <f t="shared" si="2"/>
        <v>5.6395999999999731</v>
      </c>
    </row>
    <row r="43" spans="1:11" ht="12.75" x14ac:dyDescent="0.2">
      <c r="A43" s="92">
        <v>45566</v>
      </c>
      <c r="B43" s="93" t="s">
        <v>35</v>
      </c>
      <c r="C43" s="94">
        <v>0.95599999999999996</v>
      </c>
      <c r="D43" s="95" t="s">
        <v>225</v>
      </c>
      <c r="E43" s="96"/>
      <c r="F43" s="96"/>
      <c r="G43" s="97">
        <v>614</v>
      </c>
      <c r="H43" s="98">
        <f t="shared" si="0"/>
        <v>27.016000000000076</v>
      </c>
      <c r="I43" s="99">
        <f t="shared" si="1"/>
        <v>1485.8800000000042</v>
      </c>
      <c r="J43" s="100">
        <f t="shared" si="3"/>
        <v>30.700000000000045</v>
      </c>
      <c r="K43" s="101">
        <f t="shared" si="2"/>
        <v>3.6839999999999691</v>
      </c>
    </row>
    <row r="44" spans="1:11" ht="12.75" x14ac:dyDescent="0.2">
      <c r="A44" s="92">
        <v>45567</v>
      </c>
      <c r="B44" s="93" t="s">
        <v>37</v>
      </c>
      <c r="C44" s="94">
        <v>0.96279999999999999</v>
      </c>
      <c r="D44" s="95" t="s">
        <v>225</v>
      </c>
      <c r="E44" s="96"/>
      <c r="F44" s="96"/>
      <c r="G44" s="97">
        <v>618</v>
      </c>
      <c r="H44" s="98">
        <f t="shared" si="0"/>
        <v>22.989599999999996</v>
      </c>
      <c r="I44" s="99">
        <f t="shared" si="1"/>
        <v>1264.4279999999999</v>
      </c>
      <c r="J44" s="100">
        <f t="shared" si="3"/>
        <v>30.899999999999977</v>
      </c>
      <c r="K44" s="101">
        <f t="shared" si="2"/>
        <v>7.9103999999999814</v>
      </c>
    </row>
    <row r="45" spans="1:11" ht="12.75" x14ac:dyDescent="0.2">
      <c r="A45" s="92">
        <v>45568</v>
      </c>
      <c r="B45" s="93" t="s">
        <v>39</v>
      </c>
      <c r="C45" s="94">
        <v>0.93689999999999996</v>
      </c>
      <c r="D45" s="95" t="s">
        <v>282</v>
      </c>
      <c r="E45" s="96"/>
      <c r="F45" s="96"/>
      <c r="G45" s="97">
        <v>618</v>
      </c>
      <c r="H45" s="98">
        <f t="shared" si="0"/>
        <v>38.995800000000031</v>
      </c>
      <c r="I45" s="99">
        <f t="shared" si="1"/>
        <v>2144.7690000000016</v>
      </c>
      <c r="J45" s="100">
        <f t="shared" si="3"/>
        <v>30.899999999999977</v>
      </c>
      <c r="K45" s="101">
        <f t="shared" si="2"/>
        <v>-8.0958000000000538</v>
      </c>
    </row>
    <row r="46" spans="1:11" ht="12.75" x14ac:dyDescent="0.2">
      <c r="A46" s="92">
        <v>45569</v>
      </c>
      <c r="B46" s="93" t="s">
        <v>41</v>
      </c>
      <c r="C46" s="94">
        <v>0.94650000000000001</v>
      </c>
      <c r="D46" s="95" t="s">
        <v>225</v>
      </c>
      <c r="E46" s="96"/>
      <c r="F46" s="96"/>
      <c r="G46" s="97">
        <v>617</v>
      </c>
      <c r="H46" s="98">
        <f t="shared" si="0"/>
        <v>33.009500000000003</v>
      </c>
      <c r="I46" s="99">
        <f t="shared" si="1"/>
        <v>1815.5225</v>
      </c>
      <c r="J46" s="100">
        <f t="shared" si="3"/>
        <v>30.850000000000023</v>
      </c>
      <c r="K46" s="101">
        <f t="shared" si="2"/>
        <v>-2.15949999999998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0"/>
        <v>0</v>
      </c>
      <c r="I47" s="99">
        <f t="shared" si="1"/>
        <v>0</v>
      </c>
      <c r="J47" s="100">
        <f t="shared" si="3"/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0"/>
        <v>0</v>
      </c>
      <c r="I48" s="99">
        <f t="shared" si="1"/>
        <v>0</v>
      </c>
      <c r="J48" s="100">
        <f t="shared" si="3"/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0"/>
        <v>0</v>
      </c>
      <c r="I49" s="99">
        <f t="shared" si="1"/>
        <v>0</v>
      </c>
      <c r="J49" s="100">
        <f t="shared" si="3"/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0"/>
        <v>0</v>
      </c>
      <c r="I50" s="99">
        <f t="shared" si="1"/>
        <v>0</v>
      </c>
      <c r="J50" s="100">
        <f t="shared" si="3"/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0"/>
        <v>0</v>
      </c>
      <c r="I51" s="99">
        <f t="shared" si="1"/>
        <v>0</v>
      </c>
      <c r="J51" s="100">
        <f t="shared" si="3"/>
        <v>0</v>
      </c>
      <c r="K51" s="101">
        <f t="shared" si="2"/>
        <v>0</v>
      </c>
    </row>
    <row r="52" spans="1:11" ht="25.5" x14ac:dyDescent="0.2">
      <c r="A52" s="92">
        <v>45579</v>
      </c>
      <c r="B52" s="93" t="s">
        <v>33</v>
      </c>
      <c r="C52" s="94">
        <v>0.91439999999999999</v>
      </c>
      <c r="D52" s="95" t="s">
        <v>225</v>
      </c>
      <c r="E52" s="96"/>
      <c r="F52" s="96" t="s">
        <v>460</v>
      </c>
      <c r="G52" s="97">
        <v>619</v>
      </c>
      <c r="H52" s="98">
        <f t="shared" si="0"/>
        <v>52.986400000000003</v>
      </c>
      <c r="I52" s="99">
        <f t="shared" si="1"/>
        <v>2914.2520000000004</v>
      </c>
      <c r="J52" s="100">
        <f t="shared" si="3"/>
        <v>30.950000000000045</v>
      </c>
      <c r="K52" s="101">
        <f t="shared" si="2"/>
        <v>-22.036399999999958</v>
      </c>
    </row>
    <row r="53" spans="1:11" ht="12.75" x14ac:dyDescent="0.2">
      <c r="A53" s="92">
        <v>45580</v>
      </c>
      <c r="B53" s="93" t="s">
        <v>35</v>
      </c>
      <c r="C53" s="94">
        <v>0.96279999999999999</v>
      </c>
      <c r="D53" s="95" t="s">
        <v>225</v>
      </c>
      <c r="E53" s="96"/>
      <c r="F53" s="96"/>
      <c r="G53" s="97">
        <v>618</v>
      </c>
      <c r="H53" s="98">
        <f t="shared" si="0"/>
        <v>22.989599999999996</v>
      </c>
      <c r="I53" s="99">
        <f t="shared" si="1"/>
        <v>1264.4279999999999</v>
      </c>
      <c r="J53" s="100">
        <f t="shared" si="3"/>
        <v>30.899999999999977</v>
      </c>
      <c r="K53" s="101">
        <f t="shared" si="2"/>
        <v>7.9103999999999814</v>
      </c>
    </row>
    <row r="54" spans="1:11" ht="12.75" x14ac:dyDescent="0.2">
      <c r="A54" s="92">
        <v>45581</v>
      </c>
      <c r="B54" s="93" t="s">
        <v>37</v>
      </c>
      <c r="C54" s="115">
        <v>0.90790000000000004</v>
      </c>
      <c r="D54" s="95" t="s">
        <v>225</v>
      </c>
      <c r="E54" s="96"/>
      <c r="F54" s="116"/>
      <c r="G54" s="97">
        <v>619</v>
      </c>
      <c r="H54" s="98">
        <f t="shared" si="0"/>
        <v>57.009900000000016</v>
      </c>
      <c r="I54" s="99">
        <f t="shared" si="1"/>
        <v>3135.5445000000009</v>
      </c>
      <c r="J54" s="100">
        <f t="shared" si="3"/>
        <v>30.950000000000045</v>
      </c>
      <c r="K54" s="101">
        <f t="shared" si="2"/>
        <v>-26.059899999999971</v>
      </c>
    </row>
    <row r="55" spans="1:11" ht="12.75" x14ac:dyDescent="0.2">
      <c r="A55" s="92">
        <v>45582</v>
      </c>
      <c r="B55" s="93" t="s">
        <v>39</v>
      </c>
      <c r="C55" s="94">
        <v>0.93369999999999997</v>
      </c>
      <c r="D55" s="95" t="s">
        <v>225</v>
      </c>
      <c r="E55" s="96"/>
      <c r="F55" s="96"/>
      <c r="G55" s="97">
        <v>618</v>
      </c>
      <c r="H55" s="98">
        <f t="shared" si="0"/>
        <v>40.97339999999997</v>
      </c>
      <c r="I55" s="99">
        <f t="shared" si="1"/>
        <v>2253.5369999999984</v>
      </c>
      <c r="J55" s="100">
        <f t="shared" si="3"/>
        <v>30.899999999999977</v>
      </c>
      <c r="K55" s="101">
        <f t="shared" si="2"/>
        <v>-10.073399999999992</v>
      </c>
    </row>
    <row r="56" spans="1:11" ht="12.75" x14ac:dyDescent="0.2">
      <c r="A56" s="92">
        <v>45583</v>
      </c>
      <c r="B56" s="93" t="s">
        <v>41</v>
      </c>
      <c r="C56" s="94">
        <v>0.91900000000000004</v>
      </c>
      <c r="D56" s="95" t="s">
        <v>225</v>
      </c>
      <c r="E56" s="96"/>
      <c r="F56" s="96"/>
      <c r="G56" s="97">
        <v>617</v>
      </c>
      <c r="H56" s="98">
        <f t="shared" si="0"/>
        <v>49.976999999999975</v>
      </c>
      <c r="I56" s="99">
        <f t="shared" si="1"/>
        <v>2748.7349999999988</v>
      </c>
      <c r="J56" s="100">
        <f t="shared" si="3"/>
        <v>30.850000000000023</v>
      </c>
      <c r="K56" s="101">
        <f t="shared" si="2"/>
        <v>-19.126999999999953</v>
      </c>
    </row>
    <row r="57" spans="1:11" ht="12.75" x14ac:dyDescent="0.2">
      <c r="A57" s="92">
        <v>45586</v>
      </c>
      <c r="B57" s="93" t="s">
        <v>33</v>
      </c>
      <c r="C57" s="94">
        <v>0.93840000000000001</v>
      </c>
      <c r="D57" s="95" t="s">
        <v>225</v>
      </c>
      <c r="E57" s="96"/>
      <c r="F57" s="96"/>
      <c r="G57" s="97">
        <v>617</v>
      </c>
      <c r="H57" s="98">
        <f t="shared" si="0"/>
        <v>38.007200000000012</v>
      </c>
      <c r="I57" s="99">
        <f t="shared" si="1"/>
        <v>2090.3960000000006</v>
      </c>
      <c r="J57" s="100">
        <f t="shared" si="3"/>
        <v>30.850000000000023</v>
      </c>
      <c r="K57" s="101">
        <f t="shared" si="2"/>
        <v>-7.1571999999999889</v>
      </c>
    </row>
    <row r="58" spans="1:11" ht="12.75" x14ac:dyDescent="0.2">
      <c r="A58" s="92">
        <v>45587</v>
      </c>
      <c r="B58" s="93" t="s">
        <v>35</v>
      </c>
      <c r="C58" s="94">
        <v>0.94189999999999996</v>
      </c>
      <c r="D58" s="95" t="s">
        <v>225</v>
      </c>
      <c r="E58" s="96"/>
      <c r="F58" s="96"/>
      <c r="G58" s="97">
        <v>620</v>
      </c>
      <c r="H58" s="98">
        <f t="shared" si="0"/>
        <v>36.022000000000048</v>
      </c>
      <c r="I58" s="99">
        <f t="shared" si="1"/>
        <v>1981.2100000000028</v>
      </c>
      <c r="J58" s="100">
        <f t="shared" si="3"/>
        <v>31</v>
      </c>
      <c r="K58" s="101">
        <f t="shared" si="2"/>
        <v>-5.0220000000000482</v>
      </c>
    </row>
    <row r="59" spans="1:11" ht="12.75" x14ac:dyDescent="0.2">
      <c r="A59" s="92">
        <v>45588</v>
      </c>
      <c r="B59" s="93" t="s">
        <v>37</v>
      </c>
      <c r="C59" s="94">
        <v>0.94030000000000002</v>
      </c>
      <c r="D59" s="95" t="s">
        <v>225</v>
      </c>
      <c r="E59" s="96"/>
      <c r="F59" s="96"/>
      <c r="G59" s="97">
        <v>620</v>
      </c>
      <c r="H59" s="98">
        <f t="shared" si="0"/>
        <v>37.01400000000001</v>
      </c>
      <c r="I59" s="99">
        <f t="shared" si="1"/>
        <v>2035.7700000000004</v>
      </c>
      <c r="J59" s="100">
        <f t="shared" si="3"/>
        <v>31</v>
      </c>
      <c r="K59" s="101">
        <f t="shared" si="2"/>
        <v>-6.01400000000001</v>
      </c>
    </row>
    <row r="60" spans="1:11" ht="12.75" x14ac:dyDescent="0.2">
      <c r="A60" s="92">
        <v>45589</v>
      </c>
      <c r="B60" s="93" t="s">
        <v>39</v>
      </c>
      <c r="C60" s="94">
        <v>0.93059999999999998</v>
      </c>
      <c r="D60" s="95" t="s">
        <v>225</v>
      </c>
      <c r="E60" s="96"/>
      <c r="F60" s="96"/>
      <c r="G60" s="97">
        <v>620</v>
      </c>
      <c r="H60" s="98">
        <f t="shared" si="0"/>
        <v>43.02800000000002</v>
      </c>
      <c r="I60" s="99">
        <f t="shared" si="1"/>
        <v>2366.5400000000009</v>
      </c>
      <c r="J60" s="100">
        <f t="shared" si="3"/>
        <v>31</v>
      </c>
      <c r="K60" s="101">
        <f t="shared" si="2"/>
        <v>-12.02800000000002</v>
      </c>
    </row>
    <row r="61" spans="1:11" ht="12.75" x14ac:dyDescent="0.2">
      <c r="A61" s="92">
        <v>45590</v>
      </c>
      <c r="B61" s="93" t="s">
        <v>41</v>
      </c>
      <c r="C61" s="94">
        <v>0.92579999999999996</v>
      </c>
      <c r="D61" s="95" t="s">
        <v>282</v>
      </c>
      <c r="E61" s="96"/>
      <c r="F61" s="96"/>
      <c r="G61" s="97">
        <v>620</v>
      </c>
      <c r="H61" s="98">
        <f t="shared" si="0"/>
        <v>46.004000000000019</v>
      </c>
      <c r="I61" s="99">
        <f t="shared" si="1"/>
        <v>2530.2200000000012</v>
      </c>
      <c r="J61" s="100">
        <f t="shared" si="3"/>
        <v>31</v>
      </c>
      <c r="K61" s="101">
        <f t="shared" si="2"/>
        <v>-15.004000000000019</v>
      </c>
    </row>
    <row r="62" spans="1:11" ht="12.75" x14ac:dyDescent="0.2">
      <c r="A62" s="92">
        <v>45593</v>
      </c>
      <c r="B62" s="93" t="s">
        <v>33</v>
      </c>
      <c r="C62" s="94">
        <v>0.95009999999999994</v>
      </c>
      <c r="D62" s="95" t="s">
        <v>225</v>
      </c>
      <c r="E62" s="96"/>
      <c r="F62" s="96"/>
      <c r="G62" s="97">
        <v>621</v>
      </c>
      <c r="H62" s="98">
        <f t="shared" si="0"/>
        <v>30.987900000000081</v>
      </c>
      <c r="I62" s="99">
        <f t="shared" si="1"/>
        <v>1704.3345000000045</v>
      </c>
      <c r="J62" s="100">
        <f t="shared" si="3"/>
        <v>31.050000000000068</v>
      </c>
      <c r="K62" s="101">
        <f t="shared" si="2"/>
        <v>6.2099999999986721E-2</v>
      </c>
    </row>
    <row r="63" spans="1:11" ht="12.75" x14ac:dyDescent="0.2">
      <c r="A63" s="92">
        <v>45594</v>
      </c>
      <c r="B63" s="93" t="s">
        <v>35</v>
      </c>
      <c r="C63" s="94">
        <v>0.94020000000000004</v>
      </c>
      <c r="D63" s="95" t="s">
        <v>225</v>
      </c>
      <c r="E63" s="96"/>
      <c r="F63" s="96"/>
      <c r="G63" s="97">
        <v>619</v>
      </c>
      <c r="H63" s="98">
        <f t="shared" si="0"/>
        <v>37.016200000000026</v>
      </c>
      <c r="I63" s="99">
        <f t="shared" si="1"/>
        <v>2035.8910000000014</v>
      </c>
      <c r="J63" s="100">
        <f t="shared" si="3"/>
        <v>30.950000000000045</v>
      </c>
      <c r="K63" s="101">
        <f t="shared" si="2"/>
        <v>-6.0661999999999807</v>
      </c>
    </row>
    <row r="64" spans="1:11" ht="12.75" x14ac:dyDescent="0.2">
      <c r="A64" s="92">
        <v>45595</v>
      </c>
      <c r="B64" s="93" t="s">
        <v>37</v>
      </c>
      <c r="C64" s="94">
        <v>0.95</v>
      </c>
      <c r="D64" s="95" t="s">
        <v>282</v>
      </c>
      <c r="E64" s="96"/>
      <c r="F64" s="96"/>
      <c r="G64" s="97">
        <v>620</v>
      </c>
      <c r="H64" s="98">
        <f t="shared" si="0"/>
        <v>31</v>
      </c>
      <c r="I64" s="99">
        <f t="shared" si="1"/>
        <v>1705</v>
      </c>
      <c r="J64" s="100">
        <f t="shared" si="3"/>
        <v>31</v>
      </c>
      <c r="K64" s="101">
        <f t="shared" si="2"/>
        <v>0</v>
      </c>
    </row>
    <row r="65" spans="1:11" ht="12.75" x14ac:dyDescent="0.2">
      <c r="A65" s="92">
        <v>45596</v>
      </c>
      <c r="B65" s="93" t="s">
        <v>39</v>
      </c>
      <c r="C65" s="94">
        <v>0.93700000000000006</v>
      </c>
      <c r="D65" s="95" t="s">
        <v>282</v>
      </c>
      <c r="E65" s="96"/>
      <c r="F65" s="96"/>
      <c r="G65" s="97">
        <v>619</v>
      </c>
      <c r="H65" s="98">
        <f t="shared" si="0"/>
        <v>38.996999999999957</v>
      </c>
      <c r="I65" s="99">
        <f t="shared" si="1"/>
        <v>2144.8349999999978</v>
      </c>
      <c r="J65" s="100">
        <f t="shared" si="3"/>
        <v>30.950000000000045</v>
      </c>
      <c r="K65" s="101">
        <f t="shared" si="2"/>
        <v>-8.0469999999999118</v>
      </c>
    </row>
    <row r="66" spans="1:11" ht="12.75" x14ac:dyDescent="0.2">
      <c r="A66" s="92">
        <v>45597</v>
      </c>
      <c r="B66" s="93" t="s">
        <v>41</v>
      </c>
      <c r="C66" s="94">
        <v>0.89159999999999995</v>
      </c>
      <c r="D66" s="95" t="s">
        <v>278</v>
      </c>
      <c r="E66" s="96" t="s">
        <v>246</v>
      </c>
      <c r="F66" s="96"/>
      <c r="G66" s="97">
        <v>618</v>
      </c>
      <c r="H66" s="98">
        <f t="shared" si="0"/>
        <v>66.991200000000049</v>
      </c>
      <c r="I66" s="99">
        <f t="shared" si="1"/>
        <v>3684.5160000000028</v>
      </c>
      <c r="J66" s="100">
        <f t="shared" si="3"/>
        <v>30.899999999999977</v>
      </c>
      <c r="K66" s="101">
        <f t="shared" si="2"/>
        <v>-36.091200000000072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0"/>
        <v>0</v>
      </c>
      <c r="I67" s="99">
        <f t="shared" si="1"/>
        <v>0</v>
      </c>
      <c r="J67" s="100">
        <f t="shared" si="3"/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0"/>
        <v>0</v>
      </c>
      <c r="I68" s="99">
        <f t="shared" si="1"/>
        <v>0</v>
      </c>
      <c r="J68" s="100">
        <f t="shared" si="3"/>
        <v>0</v>
      </c>
      <c r="K68" s="101">
        <f t="shared" si="2"/>
        <v>0</v>
      </c>
    </row>
    <row r="69" spans="1:11" ht="12.75" x14ac:dyDescent="0.2">
      <c r="A69" s="92">
        <v>45602</v>
      </c>
      <c r="B69" s="93" t="s">
        <v>37</v>
      </c>
      <c r="C69" s="94">
        <v>0.95109999999999995</v>
      </c>
      <c r="D69" s="95" t="s">
        <v>225</v>
      </c>
      <c r="E69" s="96"/>
      <c r="F69" s="96"/>
      <c r="G69" s="97">
        <v>613</v>
      </c>
      <c r="H69" s="98">
        <f t="shared" si="0"/>
        <v>29.975700000000074</v>
      </c>
      <c r="I69" s="99">
        <f t="shared" si="1"/>
        <v>1648.6635000000042</v>
      </c>
      <c r="J69" s="100">
        <f t="shared" si="3"/>
        <v>30.649999999999977</v>
      </c>
      <c r="K69" s="101">
        <f t="shared" si="2"/>
        <v>0.67429999999990287</v>
      </c>
    </row>
    <row r="70" spans="1:11" ht="12.75" x14ac:dyDescent="0.2">
      <c r="A70" s="92">
        <v>45603</v>
      </c>
      <c r="B70" s="93" t="s">
        <v>39</v>
      </c>
      <c r="C70" s="94">
        <v>0.94940000000000002</v>
      </c>
      <c r="D70" s="102" t="s">
        <v>282</v>
      </c>
      <c r="E70" s="96"/>
      <c r="F70" s="96"/>
      <c r="G70" s="97">
        <v>613</v>
      </c>
      <c r="H70" s="98">
        <f t="shared" si="0"/>
        <v>31.017799999999966</v>
      </c>
      <c r="I70" s="99">
        <f t="shared" si="1"/>
        <v>1705.978999999998</v>
      </c>
      <c r="J70" s="100">
        <f t="shared" si="3"/>
        <v>30.649999999999977</v>
      </c>
      <c r="K70" s="101">
        <f t="shared" si="2"/>
        <v>-0.36779999999998836</v>
      </c>
    </row>
    <row r="71" spans="1:11" ht="12.75" x14ac:dyDescent="0.2">
      <c r="A71" s="92">
        <v>45604</v>
      </c>
      <c r="B71" s="93" t="s">
        <v>41</v>
      </c>
      <c r="C71" s="94">
        <v>0.93010000000000004</v>
      </c>
      <c r="D71" s="102" t="s">
        <v>225</v>
      </c>
      <c r="E71" s="96"/>
      <c r="F71" s="96"/>
      <c r="G71" s="97">
        <v>615</v>
      </c>
      <c r="H71" s="98">
        <f t="shared" si="0"/>
        <v>42.988499999999931</v>
      </c>
      <c r="I71" s="99">
        <f t="shared" si="1"/>
        <v>2364.3674999999962</v>
      </c>
      <c r="J71" s="100">
        <f t="shared" si="3"/>
        <v>30.75</v>
      </c>
      <c r="K71" s="101">
        <f t="shared" si="2"/>
        <v>-12.238499999999931</v>
      </c>
    </row>
    <row r="72" spans="1:11" ht="12.75" x14ac:dyDescent="0.2">
      <c r="A72" s="92">
        <v>45607</v>
      </c>
      <c r="B72" s="93" t="s">
        <v>33</v>
      </c>
      <c r="C72" s="94">
        <v>0.92349999999999999</v>
      </c>
      <c r="D72" s="102" t="s">
        <v>225</v>
      </c>
      <c r="E72" s="96"/>
      <c r="F72" s="96"/>
      <c r="G72" s="97">
        <v>614</v>
      </c>
      <c r="H72" s="98">
        <f t="shared" si="0"/>
        <v>46.971000000000004</v>
      </c>
      <c r="I72" s="99">
        <f t="shared" si="1"/>
        <v>2583.4050000000002</v>
      </c>
      <c r="J72" s="100">
        <f t="shared" si="3"/>
        <v>30.700000000000045</v>
      </c>
      <c r="K72" s="101">
        <f t="shared" si="2"/>
        <v>-16.270999999999958</v>
      </c>
    </row>
    <row r="73" spans="1:11" ht="12.75" x14ac:dyDescent="0.2">
      <c r="A73" s="92">
        <v>45608</v>
      </c>
      <c r="B73" s="93" t="s">
        <v>35</v>
      </c>
      <c r="C73" s="94">
        <v>0.93830000000000002</v>
      </c>
      <c r="D73" s="95" t="s">
        <v>225</v>
      </c>
      <c r="E73" s="96"/>
      <c r="F73" s="96"/>
      <c r="G73" s="97">
        <v>616</v>
      </c>
      <c r="H73" s="98">
        <f t="shared" si="0"/>
        <v>38.007200000000012</v>
      </c>
      <c r="I73" s="99">
        <f t="shared" si="1"/>
        <v>2090.3960000000006</v>
      </c>
      <c r="J73" s="100">
        <f t="shared" si="3"/>
        <v>30.800000000000068</v>
      </c>
      <c r="K73" s="101">
        <f t="shared" si="2"/>
        <v>-7.2071999999999434</v>
      </c>
    </row>
    <row r="74" spans="1:11" ht="12.75" x14ac:dyDescent="0.2">
      <c r="A74" s="92">
        <v>45609</v>
      </c>
      <c r="B74" s="93" t="s">
        <v>37</v>
      </c>
      <c r="C74" s="94">
        <v>0.93969999999999998</v>
      </c>
      <c r="D74" s="95" t="s">
        <v>282</v>
      </c>
      <c r="E74" s="96"/>
      <c r="F74" s="96"/>
      <c r="G74" s="97">
        <v>614</v>
      </c>
      <c r="H74" s="98">
        <f t="shared" si="0"/>
        <v>37.024200000000064</v>
      </c>
      <c r="I74" s="99">
        <f t="shared" si="1"/>
        <v>2036.3310000000035</v>
      </c>
      <c r="J74" s="100">
        <f t="shared" si="3"/>
        <v>30.700000000000045</v>
      </c>
      <c r="K74" s="101">
        <f t="shared" si="2"/>
        <v>-6.3242000000000189</v>
      </c>
    </row>
    <row r="75" spans="1:11" ht="12.75" x14ac:dyDescent="0.2">
      <c r="A75" s="92">
        <v>45610</v>
      </c>
      <c r="B75" s="93" t="s">
        <v>39</v>
      </c>
      <c r="C75" s="94">
        <v>0.93</v>
      </c>
      <c r="D75" s="95" t="s">
        <v>282</v>
      </c>
      <c r="E75" s="96"/>
      <c r="F75" s="96"/>
      <c r="G75" s="97">
        <v>614</v>
      </c>
      <c r="H75" s="98">
        <f t="shared" si="0"/>
        <v>42.980000000000018</v>
      </c>
      <c r="I75" s="99">
        <f t="shared" si="1"/>
        <v>2363.900000000001</v>
      </c>
      <c r="J75" s="100">
        <f t="shared" si="3"/>
        <v>30.700000000000045</v>
      </c>
      <c r="K75" s="101">
        <f t="shared" si="2"/>
        <v>-12.279999999999973</v>
      </c>
    </row>
    <row r="76" spans="1:11" ht="12.75" x14ac:dyDescent="0.2">
      <c r="A76" s="92">
        <v>45611</v>
      </c>
      <c r="B76" s="93" t="s">
        <v>41</v>
      </c>
      <c r="C76" s="94">
        <v>0.93159999999999998</v>
      </c>
      <c r="D76" s="95" t="s">
        <v>225</v>
      </c>
      <c r="E76" s="96"/>
      <c r="F76" s="96"/>
      <c r="G76" s="97">
        <v>614</v>
      </c>
      <c r="H76" s="98">
        <f t="shared" si="0"/>
        <v>41.997600000000034</v>
      </c>
      <c r="I76" s="99">
        <f t="shared" si="1"/>
        <v>2309.8680000000018</v>
      </c>
      <c r="J76" s="100">
        <f t="shared" si="3"/>
        <v>30.700000000000045</v>
      </c>
      <c r="K76" s="101">
        <f t="shared" si="2"/>
        <v>-11.297599999999989</v>
      </c>
    </row>
    <row r="77" spans="1:11" ht="12.75" x14ac:dyDescent="0.2">
      <c r="A77" s="92">
        <v>45614</v>
      </c>
      <c r="B77" s="93" t="s">
        <v>33</v>
      </c>
      <c r="C77" s="94">
        <v>0.95130000000000003</v>
      </c>
      <c r="D77" s="95" t="s">
        <v>225</v>
      </c>
      <c r="E77" s="96"/>
      <c r="F77" s="96"/>
      <c r="G77" s="97">
        <v>616</v>
      </c>
      <c r="H77" s="98">
        <f t="shared" si="0"/>
        <v>29.999199999999973</v>
      </c>
      <c r="I77" s="99">
        <f t="shared" si="1"/>
        <v>1649.9559999999985</v>
      </c>
      <c r="J77" s="100">
        <f t="shared" si="3"/>
        <v>30.800000000000068</v>
      </c>
      <c r="K77" s="101">
        <f t="shared" si="2"/>
        <v>0.80080000000009477</v>
      </c>
    </row>
    <row r="78" spans="1:11" ht="12.75" x14ac:dyDescent="0.2">
      <c r="A78" s="92">
        <v>45615</v>
      </c>
      <c r="B78" s="93" t="s">
        <v>35</v>
      </c>
      <c r="C78" s="94">
        <v>0.94969999999999999</v>
      </c>
      <c r="D78" s="95" t="s">
        <v>225</v>
      </c>
      <c r="E78" s="96"/>
      <c r="F78" s="96"/>
      <c r="G78" s="97">
        <v>616</v>
      </c>
      <c r="H78" s="98">
        <f t="shared" si="0"/>
        <v>30.98479999999995</v>
      </c>
      <c r="I78" s="99">
        <f t="shared" si="1"/>
        <v>1704.1639999999973</v>
      </c>
      <c r="J78" s="100">
        <f t="shared" si="3"/>
        <v>30.800000000000068</v>
      </c>
      <c r="K78" s="101">
        <f t="shared" si="2"/>
        <v>-0.18479999999988195</v>
      </c>
    </row>
    <row r="79" spans="1:11" ht="12.75" x14ac:dyDescent="0.2">
      <c r="A79" s="92">
        <v>45616</v>
      </c>
      <c r="B79" s="93" t="s">
        <v>37</v>
      </c>
      <c r="C79" s="94">
        <v>0.93179999999999996</v>
      </c>
      <c r="D79" s="95" t="s">
        <v>225</v>
      </c>
      <c r="E79" s="96"/>
      <c r="F79" s="96"/>
      <c r="G79" s="97">
        <v>616</v>
      </c>
      <c r="H79" s="98">
        <f t="shared" si="0"/>
        <v>42.011200000000031</v>
      </c>
      <c r="I79" s="99">
        <f t="shared" si="1"/>
        <v>2310.6160000000018</v>
      </c>
      <c r="J79" s="100">
        <f t="shared" si="3"/>
        <v>30.800000000000068</v>
      </c>
      <c r="K79" s="101">
        <f t="shared" si="2"/>
        <v>-11.211199999999963</v>
      </c>
    </row>
    <row r="80" spans="1:11" ht="12.75" x14ac:dyDescent="0.2">
      <c r="A80" s="92">
        <v>45617</v>
      </c>
      <c r="B80" s="93" t="s">
        <v>39</v>
      </c>
      <c r="C80" s="94">
        <v>0.9335</v>
      </c>
      <c r="D80" s="95" t="s">
        <v>225</v>
      </c>
      <c r="E80" s="96"/>
      <c r="F80" s="96"/>
      <c r="G80" s="97">
        <v>617</v>
      </c>
      <c r="H80" s="98">
        <f t="shared" si="0"/>
        <v>41.030499999999961</v>
      </c>
      <c r="I80" s="99">
        <f t="shared" si="1"/>
        <v>2256.677499999998</v>
      </c>
      <c r="J80" s="100">
        <f t="shared" si="3"/>
        <v>30.850000000000023</v>
      </c>
      <c r="K80" s="101">
        <f t="shared" si="2"/>
        <v>-10.180499999999938</v>
      </c>
    </row>
    <row r="81" spans="1:11" ht="12.75" x14ac:dyDescent="0.2">
      <c r="A81" s="92">
        <v>45618</v>
      </c>
      <c r="B81" s="93" t="s">
        <v>41</v>
      </c>
      <c r="C81" s="94">
        <v>0.87519999999999998</v>
      </c>
      <c r="D81" s="95" t="s">
        <v>232</v>
      </c>
      <c r="E81" s="96" t="s">
        <v>414</v>
      </c>
      <c r="F81" s="96"/>
      <c r="G81" s="97">
        <v>617</v>
      </c>
      <c r="H81" s="98">
        <f t="shared" si="0"/>
        <v>77.001600000000053</v>
      </c>
      <c r="I81" s="99">
        <f t="shared" si="1"/>
        <v>4235.0880000000034</v>
      </c>
      <c r="J81" s="100">
        <f t="shared" si="3"/>
        <v>30.850000000000023</v>
      </c>
      <c r="K81" s="101">
        <f t="shared" si="2"/>
        <v>-46.15160000000003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0"/>
        <v>0</v>
      </c>
      <c r="I82" s="99">
        <f t="shared" si="1"/>
        <v>0</v>
      </c>
      <c r="J82" s="100">
        <f t="shared" si="3"/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0"/>
        <v>0</v>
      </c>
      <c r="I83" s="99">
        <f t="shared" si="1"/>
        <v>0</v>
      </c>
      <c r="J83" s="100">
        <f t="shared" si="3"/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0"/>
        <v>0</v>
      </c>
      <c r="I84" s="99">
        <f t="shared" si="1"/>
        <v>0</v>
      </c>
      <c r="J84" s="100">
        <f t="shared" si="3"/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0"/>
        <v>0</v>
      </c>
      <c r="I85" s="99">
        <f t="shared" si="1"/>
        <v>0</v>
      </c>
      <c r="J85" s="100">
        <f t="shared" si="3"/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0"/>
        <v>0</v>
      </c>
      <c r="I86" s="99">
        <f t="shared" si="1"/>
        <v>0</v>
      </c>
      <c r="J86" s="100">
        <f t="shared" si="3"/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0.92689999999999995</v>
      </c>
      <c r="D87" s="95" t="s">
        <v>225</v>
      </c>
      <c r="E87" s="96"/>
      <c r="F87" s="96"/>
      <c r="G87" s="97">
        <v>616</v>
      </c>
      <c r="H87" s="98">
        <f t="shared" si="0"/>
        <v>45.029600000000073</v>
      </c>
      <c r="I87" s="99">
        <f t="shared" si="1"/>
        <v>2476.6280000000042</v>
      </c>
      <c r="J87" s="100">
        <f t="shared" si="3"/>
        <v>30.800000000000068</v>
      </c>
      <c r="K87" s="101">
        <f t="shared" si="2"/>
        <v>-14.229600000000005</v>
      </c>
    </row>
    <row r="88" spans="1:11" ht="12.75" x14ac:dyDescent="0.2">
      <c r="A88" s="92">
        <v>45629</v>
      </c>
      <c r="B88" s="93" t="s">
        <v>35</v>
      </c>
      <c r="C88" s="94">
        <v>0.93510000000000004</v>
      </c>
      <c r="D88" s="95" t="s">
        <v>225</v>
      </c>
      <c r="E88" s="96"/>
      <c r="F88" s="96"/>
      <c r="G88" s="97">
        <v>616</v>
      </c>
      <c r="H88" s="98">
        <f t="shared" si="0"/>
        <v>39.978399999999965</v>
      </c>
      <c r="I88" s="99">
        <f t="shared" si="1"/>
        <v>2198.8119999999981</v>
      </c>
      <c r="J88" s="100">
        <f t="shared" si="3"/>
        <v>30.800000000000068</v>
      </c>
      <c r="K88" s="101">
        <f t="shared" si="2"/>
        <v>-9.1783999999998969</v>
      </c>
    </row>
    <row r="89" spans="1:11" ht="12.75" x14ac:dyDescent="0.2">
      <c r="A89" s="92">
        <v>45630</v>
      </c>
      <c r="B89" s="93" t="s">
        <v>37</v>
      </c>
      <c r="C89" s="94">
        <v>0.94169999999999998</v>
      </c>
      <c r="D89" s="95" t="s">
        <v>225</v>
      </c>
      <c r="E89" s="96"/>
      <c r="F89" s="96"/>
      <c r="G89" s="97">
        <v>618</v>
      </c>
      <c r="H89" s="98">
        <f t="shared" si="0"/>
        <v>36.02940000000001</v>
      </c>
      <c r="I89" s="99">
        <f t="shared" si="1"/>
        <v>1981.6170000000006</v>
      </c>
      <c r="J89" s="100">
        <f t="shared" si="3"/>
        <v>30.899999999999977</v>
      </c>
      <c r="K89" s="101">
        <f t="shared" si="2"/>
        <v>-5.1294000000000324</v>
      </c>
    </row>
    <row r="90" spans="1:11" ht="12.75" x14ac:dyDescent="0.2">
      <c r="A90" s="92">
        <v>45631</v>
      </c>
      <c r="B90" s="93" t="s">
        <v>39</v>
      </c>
      <c r="C90" s="94">
        <v>0.94340000000000002</v>
      </c>
      <c r="D90" s="95" t="s">
        <v>225</v>
      </c>
      <c r="E90" s="96"/>
      <c r="F90" s="96"/>
      <c r="G90" s="97">
        <v>618</v>
      </c>
      <c r="H90" s="98">
        <f t="shared" si="0"/>
        <v>34.978799999999978</v>
      </c>
      <c r="I90" s="99">
        <f t="shared" si="1"/>
        <v>1923.8339999999989</v>
      </c>
      <c r="J90" s="100">
        <f t="shared" si="3"/>
        <v>30.899999999999977</v>
      </c>
      <c r="K90" s="101">
        <f t="shared" si="2"/>
        <v>-4.0788000000000011</v>
      </c>
    </row>
    <row r="91" spans="1:11" ht="12.75" x14ac:dyDescent="0.2">
      <c r="A91" s="92">
        <v>45632</v>
      </c>
      <c r="B91" s="93" t="s">
        <v>41</v>
      </c>
      <c r="C91" s="94">
        <v>0.93369999999999997</v>
      </c>
      <c r="D91" s="95" t="s">
        <v>225</v>
      </c>
      <c r="E91" s="96"/>
      <c r="F91" s="96"/>
      <c r="G91" s="97">
        <v>618</v>
      </c>
      <c r="H91" s="98">
        <f t="shared" si="0"/>
        <v>40.97339999999997</v>
      </c>
      <c r="I91" s="99">
        <f t="shared" si="1"/>
        <v>2253.5369999999984</v>
      </c>
      <c r="J91" s="100">
        <f t="shared" si="3"/>
        <v>30.899999999999977</v>
      </c>
      <c r="K91" s="101">
        <f t="shared" si="2"/>
        <v>-10.073399999999992</v>
      </c>
    </row>
    <row r="92" spans="1:11" ht="12.75" x14ac:dyDescent="0.2">
      <c r="A92" s="92">
        <v>45635</v>
      </c>
      <c r="B92" s="93" t="s">
        <v>33</v>
      </c>
      <c r="C92" s="94">
        <v>0.95950000000000002</v>
      </c>
      <c r="D92" s="95" t="s">
        <v>225</v>
      </c>
      <c r="E92" s="96"/>
      <c r="F92" s="96"/>
      <c r="G92" s="97">
        <v>618</v>
      </c>
      <c r="H92" s="98">
        <f t="shared" si="0"/>
        <v>25.028999999999996</v>
      </c>
      <c r="I92" s="99">
        <f t="shared" si="1"/>
        <v>1376.5949999999998</v>
      </c>
      <c r="J92" s="100">
        <f t="shared" si="3"/>
        <v>30.899999999999977</v>
      </c>
      <c r="K92" s="101">
        <f t="shared" si="2"/>
        <v>5.8709999999999809</v>
      </c>
    </row>
    <row r="93" spans="1:11" ht="12.75" x14ac:dyDescent="0.2">
      <c r="A93" s="92">
        <v>45636</v>
      </c>
      <c r="B93" s="93" t="s">
        <v>35</v>
      </c>
      <c r="C93" s="94">
        <v>0.95950000000000002</v>
      </c>
      <c r="D93" s="95" t="s">
        <v>282</v>
      </c>
      <c r="E93" s="96"/>
      <c r="F93" s="96"/>
      <c r="G93" s="97">
        <v>618</v>
      </c>
      <c r="H93" s="98">
        <f t="shared" si="0"/>
        <v>25.028999999999996</v>
      </c>
      <c r="I93" s="99">
        <f t="shared" si="1"/>
        <v>1376.5949999999998</v>
      </c>
      <c r="J93" s="100">
        <f t="shared" si="3"/>
        <v>30.899999999999977</v>
      </c>
      <c r="K93" s="101">
        <f t="shared" si="2"/>
        <v>5.8709999999999809</v>
      </c>
    </row>
    <row r="94" spans="1:11" ht="12.75" x14ac:dyDescent="0.2">
      <c r="A94" s="92">
        <v>45637</v>
      </c>
      <c r="B94" s="93" t="s">
        <v>37</v>
      </c>
      <c r="C94" s="94">
        <v>0.95169999999999999</v>
      </c>
      <c r="D94" s="95" t="s">
        <v>282</v>
      </c>
      <c r="E94" s="96"/>
      <c r="F94" s="96"/>
      <c r="G94" s="97">
        <v>621</v>
      </c>
      <c r="H94" s="98">
        <f t="shared" si="0"/>
        <v>29.994299999999953</v>
      </c>
      <c r="I94" s="99">
        <f t="shared" si="1"/>
        <v>1649.6864999999975</v>
      </c>
      <c r="J94" s="100">
        <f t="shared" si="3"/>
        <v>31.050000000000068</v>
      </c>
      <c r="K94" s="101">
        <f t="shared" si="2"/>
        <v>1.0557000000001153</v>
      </c>
    </row>
    <row r="95" spans="1:11" ht="12.75" x14ac:dyDescent="0.2">
      <c r="A95" s="92">
        <v>45638</v>
      </c>
      <c r="B95" s="93" t="s">
        <v>39</v>
      </c>
      <c r="C95" s="94">
        <v>0.93559999999999999</v>
      </c>
      <c r="D95" s="95" t="s">
        <v>225</v>
      </c>
      <c r="E95" s="96"/>
      <c r="F95" s="96"/>
      <c r="G95" s="97">
        <v>621</v>
      </c>
      <c r="H95" s="98">
        <f t="shared" si="0"/>
        <v>39.992399999999975</v>
      </c>
      <c r="I95" s="99">
        <f t="shared" si="1"/>
        <v>2199.5819999999985</v>
      </c>
      <c r="J95" s="100">
        <f t="shared" si="3"/>
        <v>31.050000000000068</v>
      </c>
      <c r="K95" s="101">
        <f t="shared" si="2"/>
        <v>-8.9423999999999069</v>
      </c>
    </row>
    <row r="96" spans="1:11" ht="12.75" x14ac:dyDescent="0.2">
      <c r="A96" s="92">
        <v>45639</v>
      </c>
      <c r="B96" s="93" t="s">
        <v>41</v>
      </c>
      <c r="C96" s="94">
        <v>0.92910000000000004</v>
      </c>
      <c r="D96" s="95" t="s">
        <v>225</v>
      </c>
      <c r="E96" s="96"/>
      <c r="F96" s="96"/>
      <c r="G96" s="97">
        <v>621</v>
      </c>
      <c r="H96" s="98">
        <f t="shared" si="0"/>
        <v>44.028900000000021</v>
      </c>
      <c r="I96" s="99">
        <f t="shared" si="1"/>
        <v>2421.589500000001</v>
      </c>
      <c r="J96" s="100">
        <f t="shared" si="3"/>
        <v>31.050000000000068</v>
      </c>
      <c r="K96" s="101">
        <f t="shared" si="2"/>
        <v>-12.978899999999953</v>
      </c>
    </row>
    <row r="97" spans="1:11" ht="12.75" x14ac:dyDescent="0.2">
      <c r="A97" s="92">
        <v>45642</v>
      </c>
      <c r="B97" s="93" t="s">
        <v>33</v>
      </c>
      <c r="C97" s="94">
        <v>0.93559999999999999</v>
      </c>
      <c r="D97" s="95" t="s">
        <v>282</v>
      </c>
      <c r="E97" s="96"/>
      <c r="F97" s="96"/>
      <c r="G97" s="97">
        <v>621</v>
      </c>
      <c r="H97" s="98">
        <f t="shared" si="0"/>
        <v>39.992399999999975</v>
      </c>
      <c r="I97" s="99">
        <f t="shared" si="1"/>
        <v>2199.5819999999985</v>
      </c>
      <c r="J97" s="100">
        <f t="shared" si="3"/>
        <v>31.050000000000068</v>
      </c>
      <c r="K97" s="101">
        <f t="shared" si="2"/>
        <v>-8.9423999999999069</v>
      </c>
    </row>
    <row r="98" spans="1:11" ht="12.75" x14ac:dyDescent="0.2">
      <c r="A98" s="92">
        <v>45643</v>
      </c>
      <c r="B98" s="93" t="s">
        <v>35</v>
      </c>
      <c r="C98" s="94">
        <v>0.95009999999999994</v>
      </c>
      <c r="D98" s="95" t="s">
        <v>225</v>
      </c>
      <c r="E98" s="96"/>
      <c r="F98" s="96"/>
      <c r="G98" s="97">
        <v>621</v>
      </c>
      <c r="H98" s="98">
        <f t="shared" si="0"/>
        <v>30.987900000000081</v>
      </c>
      <c r="I98" s="99">
        <f t="shared" si="1"/>
        <v>1704.3345000000045</v>
      </c>
      <c r="J98" s="100">
        <f t="shared" si="3"/>
        <v>31.050000000000068</v>
      </c>
      <c r="K98" s="101">
        <f t="shared" si="2"/>
        <v>6.2099999999986721E-2</v>
      </c>
    </row>
    <row r="99" spans="1:11" ht="12.75" x14ac:dyDescent="0.2">
      <c r="A99" s="92">
        <v>45644</v>
      </c>
      <c r="B99" s="93" t="s">
        <v>37</v>
      </c>
      <c r="C99" s="94">
        <v>0.95350000000000001</v>
      </c>
      <c r="D99" s="95" t="s">
        <v>282</v>
      </c>
      <c r="E99" s="96"/>
      <c r="F99" s="96"/>
      <c r="G99" s="97">
        <v>623</v>
      </c>
      <c r="H99" s="98">
        <f t="shared" si="0"/>
        <v>28.969500000000039</v>
      </c>
      <c r="I99" s="99">
        <f t="shared" si="1"/>
        <v>1593.322500000002</v>
      </c>
      <c r="J99" s="100">
        <f t="shared" si="3"/>
        <v>31.149999999999977</v>
      </c>
      <c r="K99" s="101">
        <f t="shared" si="2"/>
        <v>2.1804999999999382</v>
      </c>
    </row>
    <row r="100" spans="1:11" ht="12.75" x14ac:dyDescent="0.2">
      <c r="A100" s="92">
        <v>45645</v>
      </c>
      <c r="B100" s="93" t="s">
        <v>39</v>
      </c>
      <c r="C100" s="94">
        <v>0.95499999999999996</v>
      </c>
      <c r="D100" s="95" t="s">
        <v>225</v>
      </c>
      <c r="E100" s="96"/>
      <c r="F100" s="96"/>
      <c r="G100" s="97">
        <v>622</v>
      </c>
      <c r="H100" s="98">
        <f t="shared" si="0"/>
        <v>27.990000000000009</v>
      </c>
      <c r="I100" s="99">
        <f t="shared" si="1"/>
        <v>1539.4500000000005</v>
      </c>
      <c r="J100" s="100">
        <f t="shared" si="3"/>
        <v>31.100000000000023</v>
      </c>
      <c r="K100" s="101">
        <f t="shared" si="2"/>
        <v>3.1100000000000136</v>
      </c>
    </row>
    <row r="101" spans="1:11" ht="12.75" x14ac:dyDescent="0.2">
      <c r="A101" s="92">
        <v>45646</v>
      </c>
      <c r="B101" s="93" t="s">
        <v>41</v>
      </c>
      <c r="C101" s="94">
        <v>0.92279999999999995</v>
      </c>
      <c r="D101" s="95" t="s">
        <v>225</v>
      </c>
      <c r="E101" s="96"/>
      <c r="F101" s="96"/>
      <c r="G101" s="97">
        <v>622</v>
      </c>
      <c r="H101" s="98">
        <f t="shared" si="0"/>
        <v>48.018400000000042</v>
      </c>
      <c r="I101" s="99">
        <f t="shared" si="1"/>
        <v>2641.0120000000024</v>
      </c>
      <c r="J101" s="100">
        <f t="shared" si="3"/>
        <v>31.100000000000023</v>
      </c>
      <c r="K101" s="101">
        <f t="shared" si="2"/>
        <v>-16.91840000000002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0"/>
        <v>0</v>
      </c>
      <c r="I102" s="99">
        <f t="shared" si="1"/>
        <v>0</v>
      </c>
      <c r="J102" s="100">
        <f t="shared" si="3"/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0"/>
        <v>0</v>
      </c>
      <c r="I103" s="99">
        <f t="shared" si="1"/>
        <v>0</v>
      </c>
      <c r="J103" s="100">
        <f t="shared" si="3"/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0"/>
        <v>0</v>
      </c>
      <c r="I104" s="99">
        <f t="shared" si="1"/>
        <v>0</v>
      </c>
      <c r="J104" s="100">
        <f t="shared" si="3"/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0"/>
        <v>0</v>
      </c>
      <c r="I105" s="99">
        <f t="shared" si="1"/>
        <v>0</v>
      </c>
      <c r="J105" s="100">
        <f t="shared" si="3"/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0"/>
        <v>0</v>
      </c>
      <c r="I106" s="99">
        <f t="shared" si="1"/>
        <v>0</v>
      </c>
      <c r="J106" s="100">
        <f t="shared" si="3"/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0"/>
        <v>0</v>
      </c>
      <c r="I107" s="99">
        <f t="shared" si="1"/>
        <v>0</v>
      </c>
      <c r="J107" s="100">
        <f t="shared" si="3"/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0"/>
        <v>0</v>
      </c>
      <c r="I108" s="99">
        <f t="shared" si="1"/>
        <v>0</v>
      </c>
      <c r="J108" s="100">
        <f t="shared" si="3"/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0"/>
        <v>0</v>
      </c>
      <c r="I109" s="99">
        <f t="shared" si="1"/>
        <v>0</v>
      </c>
      <c r="J109" s="100">
        <f t="shared" si="3"/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0"/>
        <v>0</v>
      </c>
      <c r="I110" s="99">
        <f t="shared" si="1"/>
        <v>0</v>
      </c>
      <c r="J110" s="100">
        <f t="shared" si="3"/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0"/>
        <v>0</v>
      </c>
      <c r="I111" s="99">
        <f t="shared" si="1"/>
        <v>0</v>
      </c>
      <c r="J111" s="100">
        <f t="shared" si="3"/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0"/>
        <v>0</v>
      </c>
      <c r="I112" s="99">
        <f t="shared" si="1"/>
        <v>0</v>
      </c>
      <c r="J112" s="100">
        <f t="shared" si="3"/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0"/>
        <v>0</v>
      </c>
      <c r="I113" s="99">
        <f t="shared" si="1"/>
        <v>0</v>
      </c>
      <c r="J113" s="100">
        <f t="shared" si="3"/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0.93410000000000004</v>
      </c>
      <c r="D114" s="95" t="s">
        <v>226</v>
      </c>
      <c r="E114" s="96"/>
      <c r="F114" s="96"/>
      <c r="G114" s="97">
        <v>622</v>
      </c>
      <c r="H114" s="98">
        <f t="shared" si="0"/>
        <v>40.989799999999946</v>
      </c>
      <c r="I114" s="99">
        <f t="shared" si="1"/>
        <v>2254.4389999999971</v>
      </c>
      <c r="J114" s="100">
        <f t="shared" si="3"/>
        <v>31.100000000000023</v>
      </c>
      <c r="K114" s="101">
        <f t="shared" si="2"/>
        <v>-9.8897999999999229</v>
      </c>
    </row>
    <row r="115" spans="1:11" ht="12.75" x14ac:dyDescent="0.2">
      <c r="A115" s="92">
        <v>45666</v>
      </c>
      <c r="B115" s="93" t="s">
        <v>39</v>
      </c>
      <c r="C115" s="94">
        <v>0.92779999999999996</v>
      </c>
      <c r="D115" s="95" t="s">
        <v>461</v>
      </c>
      <c r="E115" s="96"/>
      <c r="F115" s="96"/>
      <c r="G115" s="97">
        <v>623</v>
      </c>
      <c r="H115" s="98">
        <f t="shared" si="0"/>
        <v>44.980599999999981</v>
      </c>
      <c r="I115" s="99">
        <f t="shared" si="1"/>
        <v>2473.9329999999991</v>
      </c>
      <c r="J115" s="100">
        <f t="shared" si="3"/>
        <v>31.149999999999977</v>
      </c>
      <c r="K115" s="101">
        <f t="shared" si="2"/>
        <v>-13.830600000000004</v>
      </c>
    </row>
    <row r="116" spans="1:11" ht="12.75" x14ac:dyDescent="0.2">
      <c r="A116" s="92">
        <v>45667</v>
      </c>
      <c r="B116" s="93" t="s">
        <v>41</v>
      </c>
      <c r="C116" s="94">
        <v>0.92269999999999996</v>
      </c>
      <c r="D116" s="95" t="s">
        <v>292</v>
      </c>
      <c r="E116" s="96"/>
      <c r="F116" s="96"/>
      <c r="G116" s="97">
        <v>621</v>
      </c>
      <c r="H116" s="98">
        <f t="shared" si="0"/>
        <v>48.003299999999967</v>
      </c>
      <c r="I116" s="99">
        <f t="shared" si="1"/>
        <v>2640.1814999999983</v>
      </c>
      <c r="J116" s="100">
        <f t="shared" si="3"/>
        <v>31.050000000000068</v>
      </c>
      <c r="K116" s="101">
        <f t="shared" si="2"/>
        <v>-16.953299999999899</v>
      </c>
    </row>
    <row r="117" spans="1:11" ht="12.75" x14ac:dyDescent="0.2">
      <c r="A117" s="92">
        <v>45670</v>
      </c>
      <c r="B117" s="93" t="s">
        <v>33</v>
      </c>
      <c r="C117" s="94">
        <v>0.9375</v>
      </c>
      <c r="D117" s="95" t="s">
        <v>282</v>
      </c>
      <c r="E117" s="96"/>
      <c r="F117" s="96"/>
      <c r="G117" s="97">
        <v>624</v>
      </c>
      <c r="H117" s="98">
        <f t="shared" si="0"/>
        <v>39</v>
      </c>
      <c r="I117" s="99">
        <f t="shared" si="1"/>
        <v>2145</v>
      </c>
      <c r="J117" s="100">
        <f t="shared" si="3"/>
        <v>31.200000000000045</v>
      </c>
      <c r="K117" s="101">
        <f t="shared" si="2"/>
        <v>-7.7999999999999545</v>
      </c>
    </row>
    <row r="118" spans="1:11" ht="12.75" x14ac:dyDescent="0.2">
      <c r="A118" s="92">
        <v>45671</v>
      </c>
      <c r="B118" s="93" t="s">
        <v>35</v>
      </c>
      <c r="C118" s="94">
        <v>0.94230000000000003</v>
      </c>
      <c r="D118" s="95" t="s">
        <v>282</v>
      </c>
      <c r="E118" s="96"/>
      <c r="F118" s="96"/>
      <c r="G118" s="97">
        <v>624</v>
      </c>
      <c r="H118" s="98">
        <f t="shared" si="0"/>
        <v>36.004799999999932</v>
      </c>
      <c r="I118" s="99">
        <f t="shared" si="1"/>
        <v>1980.2639999999963</v>
      </c>
      <c r="J118" s="100">
        <f t="shared" si="3"/>
        <v>31.200000000000045</v>
      </c>
      <c r="K118" s="101">
        <f t="shared" si="2"/>
        <v>-4.8047999999998865</v>
      </c>
    </row>
    <row r="119" spans="1:11" ht="12.75" x14ac:dyDescent="0.2">
      <c r="A119" s="92">
        <v>45672</v>
      </c>
      <c r="B119" s="93" t="s">
        <v>37</v>
      </c>
      <c r="C119" s="94">
        <v>0.95840000000000003</v>
      </c>
      <c r="D119" s="95" t="s">
        <v>282</v>
      </c>
      <c r="E119" s="96"/>
      <c r="F119" s="96"/>
      <c r="G119" s="97">
        <v>625</v>
      </c>
      <c r="H119" s="98">
        <f t="shared" si="0"/>
        <v>26</v>
      </c>
      <c r="I119" s="99">
        <f t="shared" si="1"/>
        <v>1430</v>
      </c>
      <c r="J119" s="100">
        <f t="shared" si="3"/>
        <v>31.25</v>
      </c>
      <c r="K119" s="101">
        <f t="shared" si="2"/>
        <v>5.25</v>
      </c>
    </row>
    <row r="120" spans="1:11" ht="12.75" x14ac:dyDescent="0.2">
      <c r="A120" s="92">
        <v>45673</v>
      </c>
      <c r="B120" s="93" t="s">
        <v>39</v>
      </c>
      <c r="C120" s="94">
        <v>0.9425</v>
      </c>
      <c r="D120" s="95" t="s">
        <v>282</v>
      </c>
      <c r="E120" s="96"/>
      <c r="F120" s="96"/>
      <c r="G120" s="97">
        <v>626</v>
      </c>
      <c r="H120" s="98">
        <f t="shared" si="0"/>
        <v>35.995000000000005</v>
      </c>
      <c r="I120" s="99">
        <f t="shared" si="1"/>
        <v>1979.7250000000004</v>
      </c>
      <c r="J120" s="100">
        <f t="shared" si="3"/>
        <v>31.300000000000068</v>
      </c>
      <c r="K120" s="101">
        <f t="shared" si="2"/>
        <v>-4.6949999999999363</v>
      </c>
    </row>
    <row r="121" spans="1:11" ht="12.75" x14ac:dyDescent="0.2">
      <c r="A121" s="92">
        <v>45674</v>
      </c>
      <c r="B121" s="93" t="s">
        <v>41</v>
      </c>
      <c r="C121" s="94">
        <v>0.91210000000000002</v>
      </c>
      <c r="D121" s="95" t="s">
        <v>225</v>
      </c>
      <c r="E121" s="96"/>
      <c r="F121" s="96"/>
      <c r="G121" s="97">
        <v>626</v>
      </c>
      <c r="H121" s="98">
        <f t="shared" si="0"/>
        <v>55.025399999999991</v>
      </c>
      <c r="I121" s="99">
        <f t="shared" si="1"/>
        <v>3026.3969999999995</v>
      </c>
      <c r="J121" s="100">
        <f t="shared" si="3"/>
        <v>31.300000000000068</v>
      </c>
      <c r="K121" s="101">
        <f t="shared" si="2"/>
        <v>-23.725399999999922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0"/>
        <v>0</v>
      </c>
      <c r="I122" s="99">
        <f t="shared" si="1"/>
        <v>0</v>
      </c>
      <c r="J122" s="100">
        <f t="shared" si="3"/>
        <v>0</v>
      </c>
      <c r="K122" s="101">
        <f t="shared" si="2"/>
        <v>0</v>
      </c>
    </row>
    <row r="123" spans="1:11" ht="12.75" x14ac:dyDescent="0.2">
      <c r="A123" s="92">
        <v>45678</v>
      </c>
      <c r="B123" s="93" t="s">
        <v>35</v>
      </c>
      <c r="C123" s="94"/>
      <c r="D123" s="95"/>
      <c r="E123" s="96"/>
      <c r="F123" s="96"/>
      <c r="H123" s="98">
        <f t="shared" si="0"/>
        <v>0</v>
      </c>
      <c r="I123" s="99">
        <f t="shared" si="1"/>
        <v>0</v>
      </c>
      <c r="J123" s="100">
        <f t="shared" si="3"/>
        <v>0</v>
      </c>
      <c r="K123" s="101">
        <f t="shared" si="2"/>
        <v>0</v>
      </c>
    </row>
    <row r="124" spans="1:11" ht="12.75" x14ac:dyDescent="0.2">
      <c r="A124" s="92">
        <v>45679</v>
      </c>
      <c r="B124" s="93" t="s">
        <v>37</v>
      </c>
      <c r="C124" s="94"/>
      <c r="D124" s="95"/>
      <c r="E124" s="96"/>
      <c r="F124" s="96"/>
      <c r="H124" s="98">
        <f t="shared" si="0"/>
        <v>0</v>
      </c>
      <c r="I124" s="99">
        <f t="shared" si="1"/>
        <v>0</v>
      </c>
      <c r="J124" s="100">
        <f t="shared" si="3"/>
        <v>0</v>
      </c>
      <c r="K124" s="101">
        <f t="shared" si="2"/>
        <v>0</v>
      </c>
    </row>
    <row r="125" spans="1:11" ht="12.75" x14ac:dyDescent="0.2">
      <c r="A125" s="92">
        <v>45680</v>
      </c>
      <c r="B125" s="93" t="s">
        <v>39</v>
      </c>
      <c r="C125" s="94">
        <v>0.82399999999999995</v>
      </c>
      <c r="D125" s="95" t="s">
        <v>278</v>
      </c>
      <c r="E125" s="96" t="s">
        <v>462</v>
      </c>
      <c r="F125" s="96"/>
      <c r="G125" s="97">
        <v>625</v>
      </c>
      <c r="H125" s="98">
        <f t="shared" si="0"/>
        <v>110</v>
      </c>
      <c r="I125" s="99">
        <f t="shared" si="1"/>
        <v>6050</v>
      </c>
      <c r="J125" s="100">
        <f t="shared" si="3"/>
        <v>31.25</v>
      </c>
      <c r="K125" s="101">
        <f t="shared" si="2"/>
        <v>-78.75</v>
      </c>
    </row>
    <row r="126" spans="1:11" ht="12.75" x14ac:dyDescent="0.2">
      <c r="A126" s="92">
        <v>45681</v>
      </c>
      <c r="B126" s="93" t="s">
        <v>41</v>
      </c>
      <c r="C126" s="94">
        <v>0.91520000000000001</v>
      </c>
      <c r="D126" s="95" t="s">
        <v>225</v>
      </c>
      <c r="E126" s="96"/>
      <c r="F126" s="96"/>
      <c r="G126" s="97">
        <v>625</v>
      </c>
      <c r="H126" s="98">
        <f t="shared" si="0"/>
        <v>53</v>
      </c>
      <c r="I126" s="99">
        <f t="shared" si="1"/>
        <v>2915</v>
      </c>
      <c r="J126" s="100">
        <f t="shared" si="3"/>
        <v>31.25</v>
      </c>
      <c r="K126" s="101">
        <f t="shared" si="2"/>
        <v>-21.75</v>
      </c>
    </row>
    <row r="127" spans="1:11" ht="12.75" x14ac:dyDescent="0.2">
      <c r="A127" s="92">
        <v>45684</v>
      </c>
      <c r="B127" s="93" t="s">
        <v>33</v>
      </c>
      <c r="C127" s="94">
        <v>0.96650000000000003</v>
      </c>
      <c r="D127" s="95" t="s">
        <v>282</v>
      </c>
      <c r="E127" s="96"/>
      <c r="F127" s="96"/>
      <c r="G127" s="97">
        <v>627</v>
      </c>
      <c r="H127" s="98">
        <f t="shared" si="0"/>
        <v>21.004500000000007</v>
      </c>
      <c r="I127" s="99">
        <f t="shared" si="1"/>
        <v>1155.2475000000004</v>
      </c>
      <c r="J127" s="100">
        <f t="shared" si="3"/>
        <v>31.350000000000023</v>
      </c>
      <c r="K127" s="101">
        <f t="shared" si="2"/>
        <v>10.345500000000015</v>
      </c>
    </row>
    <row r="128" spans="1:11" ht="12.75" x14ac:dyDescent="0.2">
      <c r="A128" s="92">
        <v>45685</v>
      </c>
      <c r="B128" s="93" t="s">
        <v>35</v>
      </c>
      <c r="C128" s="94">
        <v>0.95069999999999999</v>
      </c>
      <c r="D128" s="95" t="s">
        <v>282</v>
      </c>
      <c r="E128" s="96"/>
      <c r="F128" s="96"/>
      <c r="G128" s="97">
        <v>629</v>
      </c>
      <c r="H128" s="98">
        <f t="shared" si="0"/>
        <v>31.009699999999953</v>
      </c>
      <c r="I128" s="99">
        <f t="shared" si="1"/>
        <v>1705.5334999999973</v>
      </c>
      <c r="J128" s="100">
        <f t="shared" si="3"/>
        <v>31.450000000000045</v>
      </c>
      <c r="K128" s="101">
        <f t="shared" si="2"/>
        <v>0.44030000000009295</v>
      </c>
    </row>
    <row r="129" spans="1:11" ht="12.75" x14ac:dyDescent="0.2">
      <c r="A129" s="92">
        <v>45686</v>
      </c>
      <c r="B129" s="93" t="s">
        <v>37</v>
      </c>
      <c r="C129" s="94">
        <v>0.93959999999999999</v>
      </c>
      <c r="D129" s="95" t="s">
        <v>282</v>
      </c>
      <c r="E129" s="96"/>
      <c r="F129" s="96"/>
      <c r="G129" s="97">
        <v>629</v>
      </c>
      <c r="H129" s="98">
        <f t="shared" si="0"/>
        <v>37.991600000000062</v>
      </c>
      <c r="I129" s="99">
        <f t="shared" si="1"/>
        <v>2089.5380000000032</v>
      </c>
      <c r="J129" s="100">
        <f t="shared" si="3"/>
        <v>31.450000000000045</v>
      </c>
      <c r="K129" s="101">
        <f t="shared" si="2"/>
        <v>-6.5416000000000167</v>
      </c>
    </row>
    <row r="130" spans="1:11" ht="12.75" x14ac:dyDescent="0.2">
      <c r="A130" s="92">
        <v>45687</v>
      </c>
      <c r="B130" s="93" t="s">
        <v>39</v>
      </c>
      <c r="C130" s="94">
        <v>0.9304</v>
      </c>
      <c r="D130" s="95" t="s">
        <v>225</v>
      </c>
      <c r="E130" s="96"/>
      <c r="F130" s="96"/>
      <c r="G130" s="97">
        <v>632</v>
      </c>
      <c r="H130" s="98">
        <f t="shared" si="0"/>
        <v>43.98720000000003</v>
      </c>
      <c r="I130" s="99">
        <f t="shared" si="1"/>
        <v>2419.2960000000016</v>
      </c>
      <c r="J130" s="100">
        <f t="shared" si="3"/>
        <v>31.600000000000023</v>
      </c>
      <c r="K130" s="101">
        <f t="shared" si="2"/>
        <v>-12.387200000000007</v>
      </c>
    </row>
    <row r="131" spans="1:11" ht="12.75" x14ac:dyDescent="0.2">
      <c r="A131" s="92">
        <v>45688</v>
      </c>
      <c r="B131" s="93" t="s">
        <v>41</v>
      </c>
      <c r="C131" s="94">
        <v>0.91410000000000002</v>
      </c>
      <c r="D131" s="95" t="s">
        <v>282</v>
      </c>
      <c r="E131" s="96"/>
      <c r="F131" s="96"/>
      <c r="H131" s="98">
        <f t="shared" si="0"/>
        <v>0</v>
      </c>
      <c r="I131" s="99">
        <f t="shared" si="1"/>
        <v>0</v>
      </c>
      <c r="J131" s="100">
        <f t="shared" si="3"/>
        <v>0</v>
      </c>
      <c r="K131" s="101">
        <f t="shared" si="2"/>
        <v>0</v>
      </c>
    </row>
    <row r="132" spans="1:11" ht="12.75" x14ac:dyDescent="0.2">
      <c r="A132" s="92">
        <v>45691</v>
      </c>
      <c r="B132" s="93" t="s">
        <v>33</v>
      </c>
      <c r="C132" s="94">
        <v>0.81330000000000002</v>
      </c>
      <c r="D132" s="95" t="s">
        <v>278</v>
      </c>
      <c r="E132" s="96" t="s">
        <v>463</v>
      </c>
      <c r="F132" s="96"/>
      <c r="G132" s="97">
        <v>632</v>
      </c>
      <c r="H132" s="98">
        <f t="shared" si="0"/>
        <v>117.99440000000004</v>
      </c>
      <c r="I132" s="99">
        <f t="shared" si="1"/>
        <v>6489.6920000000027</v>
      </c>
      <c r="J132" s="100">
        <f t="shared" si="3"/>
        <v>31.600000000000023</v>
      </c>
      <c r="K132" s="101">
        <f t="shared" si="2"/>
        <v>-86.394400000000019</v>
      </c>
    </row>
    <row r="133" spans="1:11" ht="12.75" x14ac:dyDescent="0.2">
      <c r="A133" s="92">
        <v>45692</v>
      </c>
      <c r="B133" s="93" t="s">
        <v>35</v>
      </c>
      <c r="C133" s="94">
        <v>0.94930000000000003</v>
      </c>
      <c r="D133" s="95" t="s">
        <v>282</v>
      </c>
      <c r="E133" s="96"/>
      <c r="F133" s="96"/>
      <c r="G133" s="97">
        <v>632</v>
      </c>
      <c r="H133" s="98">
        <f t="shared" si="0"/>
        <v>32.04239999999993</v>
      </c>
      <c r="I133" s="99">
        <f t="shared" si="1"/>
        <v>1762.3319999999962</v>
      </c>
      <c r="J133" s="100">
        <f t="shared" si="3"/>
        <v>31.600000000000023</v>
      </c>
      <c r="K133" s="101">
        <f t="shared" si="2"/>
        <v>-0.44239999999990687</v>
      </c>
    </row>
    <row r="134" spans="1:11" ht="12.75" x14ac:dyDescent="0.2">
      <c r="A134" s="92">
        <v>45693</v>
      </c>
      <c r="B134" s="93" t="s">
        <v>37</v>
      </c>
      <c r="C134" s="94">
        <v>0.95089999999999997</v>
      </c>
      <c r="D134" s="95" t="s">
        <v>225</v>
      </c>
      <c r="E134" s="96"/>
      <c r="F134" s="96"/>
      <c r="G134" s="97">
        <v>631</v>
      </c>
      <c r="H134" s="98">
        <f t="shared" si="0"/>
        <v>30.982100000000059</v>
      </c>
      <c r="I134" s="99">
        <f t="shared" si="1"/>
        <v>1704.0155000000032</v>
      </c>
      <c r="J134" s="100">
        <f t="shared" si="3"/>
        <v>31.550000000000068</v>
      </c>
      <c r="K134" s="101">
        <f t="shared" si="2"/>
        <v>0.56790000000000873</v>
      </c>
    </row>
    <row r="135" spans="1:11" ht="12.75" x14ac:dyDescent="0.2">
      <c r="A135" s="92">
        <v>45694</v>
      </c>
      <c r="B135" s="93" t="s">
        <v>39</v>
      </c>
      <c r="C135" s="94">
        <v>0.91920000000000002</v>
      </c>
      <c r="D135" s="95" t="s">
        <v>225</v>
      </c>
      <c r="E135" s="96"/>
      <c r="F135" s="96"/>
      <c r="G135" s="97">
        <v>631</v>
      </c>
      <c r="H135" s="98">
        <f t="shared" si="0"/>
        <v>50.98479999999995</v>
      </c>
      <c r="I135" s="99">
        <f t="shared" si="1"/>
        <v>2804.163999999997</v>
      </c>
      <c r="J135" s="100">
        <f t="shared" si="3"/>
        <v>31.550000000000068</v>
      </c>
      <c r="K135" s="101">
        <f t="shared" si="2"/>
        <v>-19.434799999999882</v>
      </c>
    </row>
    <row r="136" spans="1:11" ht="12.75" x14ac:dyDescent="0.2">
      <c r="A136" s="92">
        <v>45695</v>
      </c>
      <c r="B136" s="93" t="s">
        <v>41</v>
      </c>
      <c r="C136" s="94">
        <v>0.91600000000000004</v>
      </c>
      <c r="D136" s="95" t="s">
        <v>282</v>
      </c>
      <c r="E136" s="96"/>
      <c r="F136" s="96"/>
      <c r="G136" s="97">
        <v>631</v>
      </c>
      <c r="H136" s="98">
        <f t="shared" si="0"/>
        <v>53.004000000000019</v>
      </c>
      <c r="I136" s="99">
        <f t="shared" si="1"/>
        <v>2915.2200000000012</v>
      </c>
      <c r="J136" s="100">
        <f t="shared" si="3"/>
        <v>31.550000000000068</v>
      </c>
      <c r="K136" s="101">
        <f t="shared" si="2"/>
        <v>-21.453999999999951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0"/>
        <v>0</v>
      </c>
      <c r="I137" s="99">
        <f t="shared" si="1"/>
        <v>0</v>
      </c>
      <c r="J137" s="100">
        <f t="shared" si="3"/>
        <v>0</v>
      </c>
      <c r="K137" s="101">
        <f t="shared" si="2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0"/>
        <v>0</v>
      </c>
      <c r="I138" s="99">
        <f t="shared" si="1"/>
        <v>0</v>
      </c>
      <c r="J138" s="100">
        <f t="shared" si="3"/>
        <v>0</v>
      </c>
      <c r="K138" s="101">
        <f t="shared" si="2"/>
        <v>0</v>
      </c>
    </row>
    <row r="139" spans="1:11" ht="12.75" x14ac:dyDescent="0.2">
      <c r="A139" s="92">
        <v>45700</v>
      </c>
      <c r="B139" s="93" t="s">
        <v>37</v>
      </c>
      <c r="C139" s="94">
        <v>0.95879999999999999</v>
      </c>
      <c r="D139" s="95" t="s">
        <v>282</v>
      </c>
      <c r="E139" s="96"/>
      <c r="F139" s="96"/>
      <c r="G139" s="97">
        <v>631</v>
      </c>
      <c r="H139" s="98">
        <f t="shared" si="0"/>
        <v>25.997200000000021</v>
      </c>
      <c r="I139" s="99">
        <f t="shared" si="1"/>
        <v>1429.8460000000011</v>
      </c>
      <c r="J139" s="100">
        <f t="shared" si="3"/>
        <v>31.550000000000068</v>
      </c>
      <c r="K139" s="101">
        <f t="shared" si="2"/>
        <v>5.5528000000000475</v>
      </c>
    </row>
    <row r="140" spans="1:11" ht="12.75" x14ac:dyDescent="0.2">
      <c r="A140" s="92">
        <v>45701</v>
      </c>
      <c r="B140" s="93" t="s">
        <v>39</v>
      </c>
      <c r="C140" s="94">
        <v>0.91920000000000002</v>
      </c>
      <c r="D140" s="95" t="s">
        <v>282</v>
      </c>
      <c r="E140" s="96"/>
      <c r="F140" s="96"/>
      <c r="G140" s="97">
        <v>631</v>
      </c>
      <c r="H140" s="98">
        <f t="shared" si="0"/>
        <v>50.98479999999995</v>
      </c>
      <c r="I140" s="99">
        <f t="shared" si="1"/>
        <v>2804.163999999997</v>
      </c>
      <c r="J140" s="100">
        <f t="shared" si="3"/>
        <v>31.550000000000068</v>
      </c>
      <c r="K140" s="101">
        <f t="shared" si="2"/>
        <v>-19.434799999999882</v>
      </c>
    </row>
    <row r="141" spans="1:11" ht="12.75" x14ac:dyDescent="0.2">
      <c r="A141" s="92">
        <v>45702</v>
      </c>
      <c r="B141" s="93" t="s">
        <v>41</v>
      </c>
      <c r="C141" s="94">
        <v>0.88149999999999995</v>
      </c>
      <c r="D141" s="95" t="s">
        <v>278</v>
      </c>
      <c r="E141" s="96" t="s">
        <v>464</v>
      </c>
      <c r="F141" s="96"/>
      <c r="G141" s="97">
        <v>633</v>
      </c>
      <c r="H141" s="98">
        <f t="shared" si="0"/>
        <v>75.010499999999979</v>
      </c>
      <c r="I141" s="99">
        <f t="shared" si="1"/>
        <v>4125.5774999999985</v>
      </c>
      <c r="J141" s="100">
        <f t="shared" si="3"/>
        <v>31.649999999999977</v>
      </c>
      <c r="K141" s="101">
        <f t="shared" si="2"/>
        <v>-43.360500000000002</v>
      </c>
    </row>
    <row r="142" spans="1:11" ht="12.75" x14ac:dyDescent="0.2">
      <c r="A142" s="117">
        <v>45705</v>
      </c>
      <c r="B142" s="118" t="s">
        <v>33</v>
      </c>
      <c r="C142" s="94"/>
      <c r="D142" s="120"/>
      <c r="E142" s="121"/>
      <c r="F142" s="121"/>
      <c r="G142" s="122"/>
      <c r="H142" s="98">
        <f t="shared" si="0"/>
        <v>0</v>
      </c>
      <c r="I142" s="99">
        <f t="shared" si="1"/>
        <v>0</v>
      </c>
      <c r="J142" s="100">
        <f t="shared" si="3"/>
        <v>0</v>
      </c>
      <c r="K142" s="101">
        <f t="shared" si="2"/>
        <v>0</v>
      </c>
    </row>
    <row r="143" spans="1:11" ht="12.75" x14ac:dyDescent="0.2">
      <c r="A143" s="92">
        <v>45706</v>
      </c>
      <c r="B143" s="93" t="s">
        <v>35</v>
      </c>
      <c r="C143" s="94">
        <v>0.93330000000000002</v>
      </c>
      <c r="D143" s="95" t="s">
        <v>282</v>
      </c>
      <c r="E143" s="96"/>
      <c r="F143" s="96"/>
      <c r="G143" s="97">
        <v>630</v>
      </c>
      <c r="H143" s="98">
        <f t="shared" si="0"/>
        <v>42.020999999999958</v>
      </c>
      <c r="I143" s="99">
        <f t="shared" si="1"/>
        <v>2311.1549999999979</v>
      </c>
      <c r="J143" s="100">
        <f t="shared" si="3"/>
        <v>31.5</v>
      </c>
      <c r="K143" s="101">
        <f t="shared" si="2"/>
        <v>-10.520999999999958</v>
      </c>
    </row>
    <row r="144" spans="1:11" ht="12.75" x14ac:dyDescent="0.2">
      <c r="A144" s="92">
        <v>45707</v>
      </c>
      <c r="B144" s="93" t="s">
        <v>37</v>
      </c>
      <c r="C144" s="94">
        <v>0.95709999999999995</v>
      </c>
      <c r="D144" s="95" t="s">
        <v>225</v>
      </c>
      <c r="E144" s="96"/>
      <c r="F144" s="96"/>
      <c r="G144" s="97">
        <v>630</v>
      </c>
      <c r="H144" s="98" t="e">
        <f>G144-(#REF!*G144)</f>
        <v>#REF!</v>
      </c>
      <c r="I144" s="99" t="e">
        <f t="shared" si="1"/>
        <v>#REF!</v>
      </c>
      <c r="J144" s="100">
        <f t="shared" si="3"/>
        <v>31.5</v>
      </c>
      <c r="K144" s="101" t="e">
        <f t="shared" si="2"/>
        <v>#REF!</v>
      </c>
    </row>
    <row r="145" spans="1:11" ht="12.75" x14ac:dyDescent="0.2">
      <c r="A145" s="92">
        <v>45708</v>
      </c>
      <c r="B145" s="93" t="s">
        <v>39</v>
      </c>
      <c r="C145" s="151">
        <v>0.84789999999999999</v>
      </c>
      <c r="D145" s="95" t="s">
        <v>278</v>
      </c>
      <c r="E145" s="96" t="s">
        <v>465</v>
      </c>
      <c r="F145" s="96"/>
      <c r="G145" s="97">
        <v>631</v>
      </c>
      <c r="H145" s="98">
        <f>G145-(C144*G145)</f>
        <v>27.069900000000075</v>
      </c>
      <c r="I145" s="99">
        <f t="shared" si="1"/>
        <v>1488.8445000000042</v>
      </c>
      <c r="J145" s="100">
        <f t="shared" si="3"/>
        <v>31.550000000000068</v>
      </c>
      <c r="K145" s="101">
        <f t="shared" si="2"/>
        <v>4.4800999999999931</v>
      </c>
    </row>
    <row r="146" spans="1:11" ht="12.75" x14ac:dyDescent="0.2">
      <c r="A146" s="92">
        <v>45709</v>
      </c>
      <c r="B146" s="93" t="s">
        <v>41</v>
      </c>
      <c r="C146" s="94">
        <v>0.90810000000000002</v>
      </c>
      <c r="D146" s="95" t="s">
        <v>225</v>
      </c>
      <c r="E146" s="96"/>
      <c r="F146" s="96"/>
      <c r="G146" s="97">
        <v>631</v>
      </c>
      <c r="H146" s="98">
        <f t="shared" ref="H146:H215" si="4">G146-(C146*G146)</f>
        <v>57.988899999999944</v>
      </c>
      <c r="I146" s="99">
        <f t="shared" si="1"/>
        <v>3189.389499999997</v>
      </c>
      <c r="J146" s="100">
        <f t="shared" si="3"/>
        <v>31.550000000000068</v>
      </c>
      <c r="K146" s="101">
        <f t="shared" si="2"/>
        <v>-26.438899999999876</v>
      </c>
    </row>
    <row r="147" spans="1:11" ht="12.75" x14ac:dyDescent="0.2">
      <c r="A147" s="92">
        <v>45712</v>
      </c>
      <c r="B147" s="93" t="s">
        <v>33</v>
      </c>
      <c r="C147" s="94">
        <v>0.9304</v>
      </c>
      <c r="D147" s="95" t="s">
        <v>226</v>
      </c>
      <c r="E147" s="96"/>
      <c r="F147" s="96"/>
      <c r="G147" s="97">
        <v>632</v>
      </c>
      <c r="H147" s="98">
        <f t="shared" si="4"/>
        <v>43.98720000000003</v>
      </c>
      <c r="I147" s="99">
        <f t="shared" si="1"/>
        <v>2419.2960000000016</v>
      </c>
      <c r="J147" s="100">
        <f t="shared" si="3"/>
        <v>31.600000000000023</v>
      </c>
      <c r="K147" s="101">
        <f t="shared" si="2"/>
        <v>-12.387200000000007</v>
      </c>
    </row>
    <row r="148" spans="1:11" ht="12.75" x14ac:dyDescent="0.2">
      <c r="A148" s="92">
        <v>45713</v>
      </c>
      <c r="B148" s="93" t="s">
        <v>35</v>
      </c>
      <c r="C148" s="94">
        <v>0.95730000000000004</v>
      </c>
      <c r="D148" s="95" t="s">
        <v>225</v>
      </c>
      <c r="E148" s="96"/>
      <c r="F148" s="96"/>
      <c r="G148" s="97">
        <v>632</v>
      </c>
      <c r="H148" s="98">
        <f t="shared" si="4"/>
        <v>26.986400000000003</v>
      </c>
      <c r="I148" s="99">
        <f t="shared" si="1"/>
        <v>1484.2520000000002</v>
      </c>
      <c r="J148" s="100">
        <f t="shared" si="3"/>
        <v>31.600000000000023</v>
      </c>
      <c r="K148" s="101">
        <f t="shared" si="2"/>
        <v>4.6136000000000195</v>
      </c>
    </row>
    <row r="149" spans="1:11" ht="12.75" x14ac:dyDescent="0.2">
      <c r="A149" s="92">
        <v>45714</v>
      </c>
      <c r="B149" s="93" t="s">
        <v>37</v>
      </c>
      <c r="C149" s="94">
        <v>0.92869999999999997</v>
      </c>
      <c r="D149" s="95" t="s">
        <v>225</v>
      </c>
      <c r="E149" s="96"/>
      <c r="F149" s="96"/>
      <c r="G149" s="97">
        <v>631</v>
      </c>
      <c r="H149" s="98">
        <f t="shared" si="4"/>
        <v>44.990300000000047</v>
      </c>
      <c r="I149" s="99">
        <f t="shared" si="1"/>
        <v>2474.4665000000027</v>
      </c>
      <c r="J149" s="100">
        <f t="shared" si="3"/>
        <v>31.550000000000068</v>
      </c>
      <c r="K149" s="101">
        <f t="shared" si="2"/>
        <v>-13.440299999999979</v>
      </c>
    </row>
    <row r="150" spans="1:11" ht="12.75" x14ac:dyDescent="0.2">
      <c r="A150" s="92">
        <v>45715</v>
      </c>
      <c r="B150" s="93" t="s">
        <v>39</v>
      </c>
      <c r="C150" s="94">
        <v>0.93130000000000002</v>
      </c>
      <c r="D150" s="95" t="s">
        <v>225</v>
      </c>
      <c r="E150" s="96"/>
      <c r="F150" s="96"/>
      <c r="G150" s="97">
        <v>631</v>
      </c>
      <c r="H150" s="98">
        <f t="shared" si="4"/>
        <v>43.349699999999984</v>
      </c>
      <c r="I150" s="99">
        <f t="shared" si="1"/>
        <v>2384.2334999999994</v>
      </c>
      <c r="J150" s="100">
        <f t="shared" si="3"/>
        <v>31.550000000000068</v>
      </c>
      <c r="K150" s="101">
        <f t="shared" si="2"/>
        <v>-11.799699999999916</v>
      </c>
    </row>
    <row r="151" spans="1:11" ht="12.75" x14ac:dyDescent="0.2">
      <c r="A151" s="92">
        <v>45716</v>
      </c>
      <c r="B151" s="93" t="s">
        <v>41</v>
      </c>
      <c r="C151" s="94">
        <v>0.8921</v>
      </c>
      <c r="D151" s="95" t="s">
        <v>232</v>
      </c>
      <c r="E151" s="96"/>
      <c r="F151" s="96"/>
      <c r="G151" s="97">
        <v>630</v>
      </c>
      <c r="H151" s="98">
        <f t="shared" si="4"/>
        <v>67.976999999999975</v>
      </c>
      <c r="I151" s="99">
        <f t="shared" si="1"/>
        <v>3738.7349999999988</v>
      </c>
      <c r="J151" s="100">
        <f t="shared" si="3"/>
        <v>31.5</v>
      </c>
      <c r="K151" s="101">
        <f t="shared" si="2"/>
        <v>-36.476999999999975</v>
      </c>
    </row>
    <row r="152" spans="1:11" ht="12.75" x14ac:dyDescent="0.2">
      <c r="A152" s="92">
        <v>45719</v>
      </c>
      <c r="B152" s="93" t="s">
        <v>33</v>
      </c>
      <c r="C152" s="94">
        <v>0.90049999999999997</v>
      </c>
      <c r="D152" s="95" t="s">
        <v>225</v>
      </c>
      <c r="E152" s="96"/>
      <c r="F152" s="96"/>
      <c r="G152" s="97">
        <v>633</v>
      </c>
      <c r="H152" s="98">
        <f t="shared" si="4"/>
        <v>62.983500000000049</v>
      </c>
      <c r="I152" s="99">
        <f t="shared" si="1"/>
        <v>3464.0925000000025</v>
      </c>
      <c r="J152" s="100">
        <f t="shared" si="3"/>
        <v>31.649999999999977</v>
      </c>
      <c r="K152" s="101">
        <f t="shared" si="2"/>
        <v>-31.333500000000072</v>
      </c>
    </row>
    <row r="153" spans="1:11" ht="38.25" x14ac:dyDescent="0.2">
      <c r="A153" s="92">
        <v>45720</v>
      </c>
      <c r="B153" s="93" t="s">
        <v>35</v>
      </c>
      <c r="C153" s="94">
        <v>0.86929999999999996</v>
      </c>
      <c r="D153" s="95" t="s">
        <v>232</v>
      </c>
      <c r="E153" s="96" t="s">
        <v>466</v>
      </c>
      <c r="F153" s="96"/>
      <c r="G153" s="97">
        <v>635</v>
      </c>
      <c r="H153" s="98">
        <f t="shared" si="4"/>
        <v>82.994500000000016</v>
      </c>
      <c r="I153" s="99">
        <f t="shared" si="1"/>
        <v>4564.6975000000011</v>
      </c>
      <c r="J153" s="100">
        <f t="shared" si="3"/>
        <v>31.75</v>
      </c>
      <c r="K153" s="101">
        <f t="shared" si="2"/>
        <v>-51.244500000000016</v>
      </c>
    </row>
    <row r="154" spans="1:11" ht="12.75" x14ac:dyDescent="0.2">
      <c r="A154" s="92">
        <v>45721</v>
      </c>
      <c r="B154" s="93" t="s">
        <v>37</v>
      </c>
      <c r="C154" s="94">
        <v>0.93859999999999999</v>
      </c>
      <c r="D154" s="95" t="s">
        <v>282</v>
      </c>
      <c r="E154" s="96"/>
      <c r="F154" s="96"/>
      <c r="G154" s="97">
        <v>635</v>
      </c>
      <c r="H154" s="98">
        <f t="shared" si="4"/>
        <v>38.989000000000033</v>
      </c>
      <c r="I154" s="99">
        <f t="shared" si="1"/>
        <v>2144.3950000000018</v>
      </c>
      <c r="J154" s="100">
        <f t="shared" si="3"/>
        <v>31.75</v>
      </c>
      <c r="K154" s="101">
        <f t="shared" si="2"/>
        <v>-7.2390000000000327</v>
      </c>
    </row>
    <row r="155" spans="1:11" ht="12.75" x14ac:dyDescent="0.2">
      <c r="A155" s="92">
        <v>45722</v>
      </c>
      <c r="B155" s="93" t="s">
        <v>39</v>
      </c>
      <c r="C155" s="94">
        <v>0.94169999999999998</v>
      </c>
      <c r="D155" s="95" t="s">
        <v>282</v>
      </c>
      <c r="E155" s="96"/>
      <c r="F155" s="96"/>
      <c r="G155" s="97">
        <v>635</v>
      </c>
      <c r="H155" s="98">
        <f t="shared" si="4"/>
        <v>37.02049999999997</v>
      </c>
      <c r="I155" s="99">
        <f t="shared" si="1"/>
        <v>2036.1274999999982</v>
      </c>
      <c r="J155" s="100">
        <f t="shared" si="3"/>
        <v>31.75</v>
      </c>
      <c r="K155" s="101">
        <f t="shared" si="2"/>
        <v>-5.27049999999997</v>
      </c>
    </row>
    <row r="156" spans="1:11" ht="25.5" x14ac:dyDescent="0.2">
      <c r="A156" s="92">
        <v>45723</v>
      </c>
      <c r="B156" s="93" t="s">
        <v>41</v>
      </c>
      <c r="C156" s="94">
        <v>0.87239999999999995</v>
      </c>
      <c r="D156" s="95" t="s">
        <v>278</v>
      </c>
      <c r="E156" s="96" t="s">
        <v>467</v>
      </c>
      <c r="F156" s="96"/>
      <c r="G156" s="97">
        <v>635</v>
      </c>
      <c r="H156" s="98">
        <f t="shared" si="4"/>
        <v>81.026000000000067</v>
      </c>
      <c r="I156" s="99">
        <f t="shared" si="1"/>
        <v>4456.4300000000039</v>
      </c>
      <c r="J156" s="100">
        <f t="shared" si="3"/>
        <v>31.75</v>
      </c>
      <c r="K156" s="101">
        <f t="shared" si="2"/>
        <v>-49.276000000000067</v>
      </c>
    </row>
    <row r="157" spans="1:11" ht="12.75" x14ac:dyDescent="0.2">
      <c r="A157" s="123">
        <v>45726</v>
      </c>
      <c r="B157" s="124" t="s">
        <v>33</v>
      </c>
      <c r="C157" s="94">
        <v>0.90380000000000005</v>
      </c>
      <c r="D157" s="95" t="s">
        <v>282</v>
      </c>
      <c r="E157" s="96"/>
      <c r="F157" s="96"/>
      <c r="G157" s="97">
        <v>635</v>
      </c>
      <c r="H157" s="98">
        <f t="shared" si="4"/>
        <v>61.086999999999989</v>
      </c>
      <c r="I157" s="99">
        <f t="shared" si="1"/>
        <v>3359.7849999999994</v>
      </c>
      <c r="J157" s="100">
        <f t="shared" si="3"/>
        <v>31.75</v>
      </c>
      <c r="K157" s="101">
        <f t="shared" si="2"/>
        <v>-29.336999999999989</v>
      </c>
    </row>
    <row r="158" spans="1:11" ht="12.75" x14ac:dyDescent="0.2">
      <c r="A158" s="123">
        <v>45727</v>
      </c>
      <c r="B158" s="124" t="s">
        <v>35</v>
      </c>
      <c r="C158" s="94">
        <v>0.91959999999999997</v>
      </c>
      <c r="D158" s="95" t="s">
        <v>282</v>
      </c>
      <c r="E158" s="96"/>
      <c r="F158" s="96"/>
      <c r="G158" s="97">
        <v>634</v>
      </c>
      <c r="H158" s="98">
        <f t="shared" si="4"/>
        <v>50.973600000000033</v>
      </c>
      <c r="I158" s="99">
        <f t="shared" si="1"/>
        <v>2803.5480000000016</v>
      </c>
      <c r="J158" s="100">
        <f t="shared" si="3"/>
        <v>31.700000000000045</v>
      </c>
      <c r="K158" s="101">
        <f t="shared" si="2"/>
        <v>-19.273599999999988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4"/>
        <v>0</v>
      </c>
      <c r="I159" s="99">
        <f t="shared" si="1"/>
        <v>0</v>
      </c>
      <c r="J159" s="100">
        <f t="shared" si="3"/>
        <v>0</v>
      </c>
      <c r="K159" s="101">
        <f t="shared" si="2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4"/>
        <v>0</v>
      </c>
      <c r="I160" s="99">
        <f t="shared" si="1"/>
        <v>0</v>
      </c>
      <c r="J160" s="100">
        <f t="shared" si="3"/>
        <v>0</v>
      </c>
      <c r="K160" s="101">
        <f t="shared" si="2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4"/>
        <v>0</v>
      </c>
      <c r="I161" s="99">
        <f t="shared" si="1"/>
        <v>0</v>
      </c>
      <c r="J161" s="100">
        <f t="shared" si="3"/>
        <v>0</v>
      </c>
      <c r="K161" s="101">
        <f t="shared" si="2"/>
        <v>0</v>
      </c>
    </row>
    <row r="162" spans="1:11" ht="12.75" x14ac:dyDescent="0.2">
      <c r="A162" s="103">
        <v>45733</v>
      </c>
      <c r="B162" s="104" t="s">
        <v>33</v>
      </c>
      <c r="C162" s="94"/>
      <c r="D162" s="106"/>
      <c r="E162" s="107"/>
      <c r="F162" s="107"/>
      <c r="G162" s="108"/>
      <c r="H162" s="98">
        <f t="shared" si="4"/>
        <v>0</v>
      </c>
      <c r="I162" s="99">
        <f t="shared" si="1"/>
        <v>0</v>
      </c>
      <c r="J162" s="100">
        <f t="shared" si="3"/>
        <v>0</v>
      </c>
      <c r="K162" s="101">
        <f t="shared" si="2"/>
        <v>0</v>
      </c>
    </row>
    <row r="163" spans="1:11" ht="12.75" x14ac:dyDescent="0.2">
      <c r="A163" s="103">
        <v>45734</v>
      </c>
      <c r="B163" s="104" t="s">
        <v>35</v>
      </c>
      <c r="C163" s="94"/>
      <c r="D163" s="106"/>
      <c r="E163" s="107"/>
      <c r="F163" s="107"/>
      <c r="G163" s="108"/>
      <c r="H163" s="98">
        <f t="shared" si="4"/>
        <v>0</v>
      </c>
      <c r="I163" s="99">
        <f t="shared" si="1"/>
        <v>0</v>
      </c>
      <c r="J163" s="100">
        <f t="shared" si="3"/>
        <v>0</v>
      </c>
      <c r="K163" s="101">
        <f t="shared" si="2"/>
        <v>0</v>
      </c>
    </row>
    <row r="164" spans="1:11" ht="12.75" x14ac:dyDescent="0.2">
      <c r="A164" s="103">
        <v>45735</v>
      </c>
      <c r="B164" s="104" t="s">
        <v>37</v>
      </c>
      <c r="C164" s="94"/>
      <c r="D164" s="106"/>
      <c r="E164" s="107"/>
      <c r="F164" s="107"/>
      <c r="G164" s="108"/>
      <c r="H164" s="98">
        <f t="shared" si="4"/>
        <v>0</v>
      </c>
      <c r="I164" s="99">
        <f t="shared" si="1"/>
        <v>0</v>
      </c>
      <c r="J164" s="100">
        <f t="shared" si="3"/>
        <v>0</v>
      </c>
      <c r="K164" s="101">
        <f t="shared" si="2"/>
        <v>0</v>
      </c>
    </row>
    <row r="165" spans="1:11" ht="12.75" x14ac:dyDescent="0.2">
      <c r="A165" s="103">
        <v>45736</v>
      </c>
      <c r="B165" s="104" t="s">
        <v>39</v>
      </c>
      <c r="C165" s="94"/>
      <c r="D165" s="106"/>
      <c r="E165" s="107"/>
      <c r="F165" s="107"/>
      <c r="G165" s="108"/>
      <c r="H165" s="98">
        <f t="shared" si="4"/>
        <v>0</v>
      </c>
      <c r="I165" s="99">
        <f t="shared" si="1"/>
        <v>0</v>
      </c>
      <c r="J165" s="100">
        <f t="shared" si="3"/>
        <v>0</v>
      </c>
      <c r="K165" s="101">
        <f t="shared" si="2"/>
        <v>0</v>
      </c>
    </row>
    <row r="166" spans="1:11" ht="12.75" x14ac:dyDescent="0.2">
      <c r="A166" s="103">
        <v>45737</v>
      </c>
      <c r="B166" s="104" t="s">
        <v>41</v>
      </c>
      <c r="C166" s="94"/>
      <c r="D166" s="106"/>
      <c r="E166" s="107"/>
      <c r="F166" s="107"/>
      <c r="G166" s="108"/>
      <c r="H166" s="98">
        <f t="shared" si="4"/>
        <v>0</v>
      </c>
      <c r="I166" s="99">
        <f t="shared" si="1"/>
        <v>0</v>
      </c>
      <c r="J166" s="100">
        <f t="shared" si="3"/>
        <v>0</v>
      </c>
      <c r="K166" s="101">
        <f t="shared" si="2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4"/>
        <v>0</v>
      </c>
      <c r="I167" s="99">
        <f t="shared" si="1"/>
        <v>0</v>
      </c>
      <c r="J167" s="100">
        <f t="shared" si="3"/>
        <v>0</v>
      </c>
      <c r="K167" s="101">
        <f t="shared" si="2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4"/>
        <v>0</v>
      </c>
      <c r="I168" s="99">
        <f t="shared" si="1"/>
        <v>0</v>
      </c>
      <c r="J168" s="100">
        <f t="shared" si="3"/>
        <v>0</v>
      </c>
      <c r="K168" s="101">
        <f t="shared" si="2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4"/>
        <v>0</v>
      </c>
      <c r="I169" s="99">
        <f t="shared" si="1"/>
        <v>0</v>
      </c>
      <c r="J169" s="100">
        <f t="shared" si="3"/>
        <v>0</v>
      </c>
      <c r="K169" s="101">
        <f t="shared" si="2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4"/>
        <v>0</v>
      </c>
      <c r="I170" s="99">
        <f t="shared" si="1"/>
        <v>0</v>
      </c>
      <c r="J170" s="100">
        <f t="shared" si="3"/>
        <v>0</v>
      </c>
      <c r="K170" s="101">
        <f t="shared" si="2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4"/>
        <v>0</v>
      </c>
      <c r="I171" s="99">
        <f t="shared" si="1"/>
        <v>0</v>
      </c>
      <c r="J171" s="100">
        <f t="shared" si="3"/>
        <v>0</v>
      </c>
      <c r="K171" s="101">
        <f t="shared" si="2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4"/>
        <v>0</v>
      </c>
      <c r="I172" s="99">
        <f t="shared" si="1"/>
        <v>0</v>
      </c>
      <c r="J172" s="100">
        <f t="shared" si="3"/>
        <v>0</v>
      </c>
      <c r="K172" s="101">
        <f t="shared" si="2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4"/>
        <v>0</v>
      </c>
      <c r="I173" s="99">
        <f t="shared" si="1"/>
        <v>0</v>
      </c>
      <c r="J173" s="100">
        <f t="shared" si="3"/>
        <v>0</v>
      </c>
      <c r="K173" s="101">
        <f t="shared" si="2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4"/>
        <v>0</v>
      </c>
      <c r="I174" s="99">
        <f t="shared" si="1"/>
        <v>0</v>
      </c>
      <c r="J174" s="100">
        <f t="shared" si="3"/>
        <v>0</v>
      </c>
      <c r="K174" s="101">
        <f t="shared" si="2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4"/>
        <v>0</v>
      </c>
      <c r="I175" s="99">
        <f t="shared" si="1"/>
        <v>0</v>
      </c>
      <c r="J175" s="100">
        <f t="shared" si="3"/>
        <v>0</v>
      </c>
      <c r="K175" s="101">
        <f t="shared" si="2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4"/>
        <v>0</v>
      </c>
      <c r="I176" s="99">
        <f t="shared" si="1"/>
        <v>0</v>
      </c>
      <c r="J176" s="100">
        <f t="shared" si="3"/>
        <v>0</v>
      </c>
      <c r="K176" s="101">
        <f t="shared" si="2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4"/>
        <v>0</v>
      </c>
      <c r="I177" s="99">
        <f t="shared" si="1"/>
        <v>0</v>
      </c>
      <c r="J177" s="100">
        <f t="shared" si="3"/>
        <v>0</v>
      </c>
      <c r="K177" s="101">
        <f t="shared" si="2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4"/>
        <v>0</v>
      </c>
      <c r="I178" s="99">
        <f t="shared" si="1"/>
        <v>0</v>
      </c>
      <c r="J178" s="100">
        <f t="shared" si="3"/>
        <v>0</v>
      </c>
      <c r="K178" s="101">
        <f t="shared" si="2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4"/>
        <v>0</v>
      </c>
      <c r="I179" s="99">
        <f t="shared" si="1"/>
        <v>0</v>
      </c>
      <c r="J179" s="100">
        <f t="shared" si="3"/>
        <v>0</v>
      </c>
      <c r="K179" s="101">
        <f t="shared" si="2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4"/>
        <v>0</v>
      </c>
      <c r="I180" s="99">
        <f t="shared" si="1"/>
        <v>0</v>
      </c>
      <c r="J180" s="100">
        <f t="shared" si="3"/>
        <v>0</v>
      </c>
      <c r="K180" s="101">
        <f t="shared" si="2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4"/>
        <v>0</v>
      </c>
      <c r="I181" s="99">
        <f t="shared" si="1"/>
        <v>0</v>
      </c>
      <c r="J181" s="100">
        <f t="shared" si="3"/>
        <v>0</v>
      </c>
      <c r="K181" s="101">
        <f t="shared" si="2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4"/>
        <v>0</v>
      </c>
      <c r="I182" s="99">
        <f t="shared" si="1"/>
        <v>0</v>
      </c>
      <c r="J182" s="100">
        <f t="shared" si="3"/>
        <v>0</v>
      </c>
      <c r="K182" s="101">
        <f t="shared" si="2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4"/>
        <v>0</v>
      </c>
      <c r="I183" s="99">
        <f t="shared" si="1"/>
        <v>0</v>
      </c>
      <c r="J183" s="100">
        <f t="shared" si="3"/>
        <v>0</v>
      </c>
      <c r="K183" s="101">
        <f t="shared" si="2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4"/>
        <v>0</v>
      </c>
      <c r="I184" s="99">
        <f t="shared" si="1"/>
        <v>0</v>
      </c>
      <c r="J184" s="100">
        <f t="shared" si="3"/>
        <v>0</v>
      </c>
      <c r="K184" s="101">
        <f t="shared" si="2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4"/>
        <v>0</v>
      </c>
      <c r="I185" s="99">
        <f t="shared" si="1"/>
        <v>0</v>
      </c>
      <c r="J185" s="100">
        <f t="shared" si="3"/>
        <v>0</v>
      </c>
      <c r="K185" s="101">
        <f t="shared" si="2"/>
        <v>0</v>
      </c>
    </row>
    <row r="186" spans="1:11" ht="12.75" x14ac:dyDescent="0.2">
      <c r="A186" s="103">
        <v>45765</v>
      </c>
      <c r="B186" s="104" t="s">
        <v>41</v>
      </c>
      <c r="C186" s="94"/>
      <c r="D186" s="106"/>
      <c r="E186" s="107"/>
      <c r="F186" s="107"/>
      <c r="G186" s="108"/>
      <c r="H186" s="98">
        <f t="shared" si="4"/>
        <v>0</v>
      </c>
      <c r="I186" s="99">
        <f t="shared" si="1"/>
        <v>0</v>
      </c>
      <c r="J186" s="100">
        <f t="shared" si="3"/>
        <v>0</v>
      </c>
      <c r="K186" s="101">
        <f t="shared" si="2"/>
        <v>0</v>
      </c>
    </row>
    <row r="187" spans="1:11" ht="12.75" x14ac:dyDescent="0.2">
      <c r="A187" s="103">
        <v>45768</v>
      </c>
      <c r="B187" s="104" t="s">
        <v>33</v>
      </c>
      <c r="C187" s="94"/>
      <c r="D187" s="106"/>
      <c r="E187" s="107"/>
      <c r="F187" s="107"/>
      <c r="G187" s="108"/>
      <c r="H187" s="98">
        <f t="shared" si="4"/>
        <v>0</v>
      </c>
      <c r="I187" s="99">
        <f t="shared" si="1"/>
        <v>0</v>
      </c>
      <c r="J187" s="100">
        <f t="shared" si="3"/>
        <v>0</v>
      </c>
      <c r="K187" s="101">
        <f t="shared" si="2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4"/>
        <v>0</v>
      </c>
      <c r="I188" s="99">
        <f t="shared" si="1"/>
        <v>0</v>
      </c>
      <c r="J188" s="100">
        <f t="shared" si="3"/>
        <v>0</v>
      </c>
      <c r="K188" s="101">
        <f t="shared" si="2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4"/>
        <v>0</v>
      </c>
      <c r="I189" s="99">
        <f t="shared" si="1"/>
        <v>0</v>
      </c>
      <c r="J189" s="100">
        <f t="shared" si="3"/>
        <v>0</v>
      </c>
      <c r="K189" s="101">
        <f t="shared" si="2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4"/>
        <v>0</v>
      </c>
      <c r="I190" s="99">
        <f t="shared" si="1"/>
        <v>0</v>
      </c>
      <c r="J190" s="100">
        <f t="shared" si="3"/>
        <v>0</v>
      </c>
      <c r="K190" s="101">
        <f t="shared" si="2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4"/>
        <v>0</v>
      </c>
      <c r="I191" s="99">
        <f t="shared" si="1"/>
        <v>0</v>
      </c>
      <c r="J191" s="100">
        <f t="shared" si="3"/>
        <v>0</v>
      </c>
      <c r="K191" s="101">
        <f t="shared" si="2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4"/>
        <v>0</v>
      </c>
      <c r="I192" s="99">
        <f t="shared" si="1"/>
        <v>0</v>
      </c>
      <c r="J192" s="100">
        <f t="shared" si="3"/>
        <v>0</v>
      </c>
      <c r="K192" s="101">
        <f t="shared" si="2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4"/>
        <v>0</v>
      </c>
      <c r="I193" s="99">
        <f t="shared" si="1"/>
        <v>0</v>
      </c>
      <c r="J193" s="100">
        <f t="shared" si="3"/>
        <v>0</v>
      </c>
      <c r="K193" s="101">
        <f t="shared" si="2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4"/>
        <v>0</v>
      </c>
      <c r="I194" s="99">
        <f t="shared" si="1"/>
        <v>0</v>
      </c>
      <c r="J194" s="100">
        <f t="shared" si="3"/>
        <v>0</v>
      </c>
      <c r="K194" s="101">
        <f t="shared" si="2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4"/>
        <v>0</v>
      </c>
      <c r="I195" s="99">
        <f t="shared" si="1"/>
        <v>0</v>
      </c>
      <c r="J195" s="100">
        <f t="shared" si="3"/>
        <v>0</v>
      </c>
      <c r="K195" s="101">
        <f t="shared" si="2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4"/>
        <v>0</v>
      </c>
      <c r="I196" s="99">
        <f t="shared" si="1"/>
        <v>0</v>
      </c>
      <c r="J196" s="100">
        <f t="shared" si="3"/>
        <v>0</v>
      </c>
      <c r="K196" s="101">
        <f t="shared" si="2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4"/>
        <v>0</v>
      </c>
      <c r="I197" s="99">
        <f t="shared" si="1"/>
        <v>0</v>
      </c>
      <c r="J197" s="100">
        <f t="shared" si="3"/>
        <v>0</v>
      </c>
      <c r="K197" s="101">
        <f t="shared" si="2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4"/>
        <v>0</v>
      </c>
      <c r="I198" s="99">
        <f t="shared" si="1"/>
        <v>0</v>
      </c>
      <c r="J198" s="100">
        <f t="shared" si="3"/>
        <v>0</v>
      </c>
      <c r="K198" s="101">
        <f t="shared" si="2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4"/>
        <v>0</v>
      </c>
      <c r="I199" s="99">
        <f t="shared" si="1"/>
        <v>0</v>
      </c>
      <c r="J199" s="100">
        <f t="shared" si="3"/>
        <v>0</v>
      </c>
      <c r="K199" s="101">
        <f t="shared" si="2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4"/>
        <v>0</v>
      </c>
      <c r="I200" s="99">
        <f t="shared" si="1"/>
        <v>0</v>
      </c>
      <c r="J200" s="100">
        <f t="shared" si="3"/>
        <v>0</v>
      </c>
      <c r="K200" s="101">
        <f t="shared" si="2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4"/>
        <v>0</v>
      </c>
      <c r="I201" s="99">
        <f t="shared" si="1"/>
        <v>0</v>
      </c>
      <c r="J201" s="100">
        <f t="shared" si="3"/>
        <v>0</v>
      </c>
      <c r="K201" s="101">
        <f t="shared" si="2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4"/>
        <v>0</v>
      </c>
      <c r="I202" s="99">
        <f t="shared" si="1"/>
        <v>0</v>
      </c>
      <c r="J202" s="100">
        <f t="shared" si="3"/>
        <v>0</v>
      </c>
      <c r="K202" s="101">
        <f t="shared" si="2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4"/>
        <v>0</v>
      </c>
      <c r="I203" s="99">
        <f t="shared" si="1"/>
        <v>0</v>
      </c>
      <c r="J203" s="100">
        <f t="shared" si="3"/>
        <v>0</v>
      </c>
      <c r="K203" s="101">
        <f t="shared" si="2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4"/>
        <v>0</v>
      </c>
      <c r="I204" s="99">
        <f t="shared" si="1"/>
        <v>0</v>
      </c>
      <c r="J204" s="100">
        <f t="shared" si="3"/>
        <v>0</v>
      </c>
      <c r="K204" s="101">
        <f t="shared" si="2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4"/>
        <v>0</v>
      </c>
      <c r="I205" s="99">
        <f t="shared" si="1"/>
        <v>0</v>
      </c>
      <c r="J205" s="100">
        <f t="shared" si="3"/>
        <v>0</v>
      </c>
      <c r="K205" s="101">
        <f t="shared" si="2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4"/>
        <v>0</v>
      </c>
      <c r="I206" s="99">
        <f t="shared" si="1"/>
        <v>0</v>
      </c>
      <c r="J206" s="100">
        <f t="shared" si="3"/>
        <v>0</v>
      </c>
      <c r="K206" s="101">
        <f t="shared" si="2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4"/>
        <v>0</v>
      </c>
      <c r="I207" s="99">
        <f t="shared" si="1"/>
        <v>0</v>
      </c>
      <c r="J207" s="100">
        <f t="shared" si="3"/>
        <v>0</v>
      </c>
      <c r="K207" s="101">
        <f t="shared" si="2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4"/>
        <v>0</v>
      </c>
      <c r="I208" s="99">
        <f t="shared" si="1"/>
        <v>0</v>
      </c>
      <c r="J208" s="100">
        <f t="shared" si="3"/>
        <v>0</v>
      </c>
      <c r="K208" s="101">
        <f t="shared" si="2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4"/>
        <v>0</v>
      </c>
      <c r="I209" s="99">
        <f t="shared" si="1"/>
        <v>0</v>
      </c>
      <c r="J209" s="100">
        <f t="shared" si="3"/>
        <v>0</v>
      </c>
      <c r="K209" s="101">
        <f t="shared" si="2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4"/>
        <v>0</v>
      </c>
      <c r="I210" s="99">
        <f t="shared" si="1"/>
        <v>0</v>
      </c>
      <c r="J210" s="100">
        <f t="shared" si="3"/>
        <v>0</v>
      </c>
      <c r="K210" s="101">
        <f t="shared" si="2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4"/>
        <v>0</v>
      </c>
      <c r="I211" s="99">
        <f t="shared" si="1"/>
        <v>0</v>
      </c>
      <c r="J211" s="100">
        <f t="shared" si="3"/>
        <v>0</v>
      </c>
      <c r="K211" s="101">
        <f t="shared" si="2"/>
        <v>0</v>
      </c>
    </row>
    <row r="212" spans="1:11" ht="12.75" x14ac:dyDescent="0.2">
      <c r="A212" s="103">
        <v>45803</v>
      </c>
      <c r="B212" s="104" t="s">
        <v>33</v>
      </c>
      <c r="C212" s="94"/>
      <c r="D212" s="106"/>
      <c r="E212" s="107"/>
      <c r="F212" s="107"/>
      <c r="G212" s="108"/>
      <c r="H212" s="98">
        <f t="shared" si="4"/>
        <v>0</v>
      </c>
      <c r="I212" s="99">
        <f t="shared" si="1"/>
        <v>0</v>
      </c>
      <c r="J212" s="100">
        <f t="shared" si="3"/>
        <v>0</v>
      </c>
      <c r="K212" s="101">
        <f t="shared" si="2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4"/>
        <v>0</v>
      </c>
      <c r="I213" s="99">
        <f t="shared" si="1"/>
        <v>0</v>
      </c>
      <c r="J213" s="100">
        <f t="shared" si="3"/>
        <v>0</v>
      </c>
      <c r="K213" s="101">
        <f t="shared" si="2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4"/>
        <v>0</v>
      </c>
      <c r="I214" s="99">
        <f t="shared" si="1"/>
        <v>0</v>
      </c>
      <c r="J214" s="100">
        <f t="shared" si="3"/>
        <v>0</v>
      </c>
      <c r="K214" s="101">
        <f t="shared" si="2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4"/>
        <v>0</v>
      </c>
      <c r="I215" s="99">
        <f t="shared" si="1"/>
        <v>0</v>
      </c>
      <c r="J215" s="100">
        <f t="shared" si="3"/>
        <v>0</v>
      </c>
      <c r="K215" s="101">
        <f t="shared" si="2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B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20" priority="4" operator="lessThan">
      <formula>"92%"</formula>
    </cfRule>
  </conditionalFormatting>
  <conditionalFormatting sqref="C7:C215">
    <cfRule type="cellIs" dxfId="19" priority="1" operator="lessThan">
      <formula>"90%"</formula>
    </cfRule>
    <cfRule type="cellIs" dxfId="18" priority="2" operator="lessThan">
      <formula>"94%"</formula>
    </cfRule>
  </conditionalFormatting>
  <conditionalFormatting sqref="K1:K853">
    <cfRule type="cellIs" dxfId="17" priority="3" operator="lessThan">
      <formula>0</formula>
    </cfRule>
  </conditionalFormatting>
  <dataValidations count="1">
    <dataValidation type="list" allowBlank="1" sqref="E7:E215" xr:uid="{00000000-0002-0000-0B00-000000000000}">
      <formula1>"Weather,Health,Safety,Other"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73763"/>
    <outlinePr summaryBelow="0" summaryRight="0"/>
    <pageSetUpPr fitToPage="1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0"/>
      <c r="B1" s="80"/>
      <c r="C1" s="80"/>
      <c r="D1" s="80"/>
      <c r="E1" s="80"/>
      <c r="F1" s="80"/>
      <c r="G1" s="80"/>
      <c r="H1" s="81"/>
      <c r="I1" s="81"/>
      <c r="J1" s="82"/>
      <c r="K1" s="134">
        <f>SUM(K7:K215)</f>
        <v>-5252.8672499999884</v>
      </c>
    </row>
    <row r="2" spans="1:11" x14ac:dyDescent="0.25">
      <c r="A2" s="242" t="s">
        <v>457</v>
      </c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468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863403.91775000014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89" t="s">
        <v>222</v>
      </c>
      <c r="I6" s="90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225</v>
      </c>
      <c r="E7" s="96"/>
      <c r="F7" s="96"/>
      <c r="G7" s="97">
        <v>2360</v>
      </c>
      <c r="H7" s="98">
        <f t="shared" ref="H7:H215" si="0">G7-(C7*G7)</f>
        <v>0</v>
      </c>
      <c r="I7" s="99">
        <f t="shared" ref="I7:I215" si="1">H7*$H$5</f>
        <v>0</v>
      </c>
      <c r="J7" s="100">
        <v>0</v>
      </c>
      <c r="K7" s="101">
        <f t="shared" ref="K7:K215" si="2">J7-H7</f>
        <v>0</v>
      </c>
    </row>
    <row r="8" spans="1:11" ht="12.75" x14ac:dyDescent="0.2">
      <c r="A8" s="92">
        <v>45517</v>
      </c>
      <c r="B8" s="93" t="s">
        <v>35</v>
      </c>
      <c r="C8" s="94">
        <v>0.97960000000000003</v>
      </c>
      <c r="D8" s="95" t="s">
        <v>225</v>
      </c>
      <c r="E8" s="96"/>
      <c r="F8" s="96"/>
      <c r="G8" s="97">
        <v>2447</v>
      </c>
      <c r="H8" s="98">
        <f t="shared" si="0"/>
        <v>49.918799999999919</v>
      </c>
      <c r="I8" s="99">
        <f t="shared" si="1"/>
        <v>2745.5339999999956</v>
      </c>
      <c r="J8" s="100">
        <f t="shared" ref="J8:J215" si="3">G8-(G8*J$3)</f>
        <v>122.34999999999991</v>
      </c>
      <c r="K8" s="101">
        <f t="shared" si="2"/>
        <v>72.43119999999999</v>
      </c>
    </row>
    <row r="9" spans="1:11" ht="12.75" x14ac:dyDescent="0.2">
      <c r="A9" s="92">
        <v>45518</v>
      </c>
      <c r="B9" s="93" t="s">
        <v>37</v>
      </c>
      <c r="C9" s="94">
        <v>0.97260000000000002</v>
      </c>
      <c r="D9" s="95" t="s">
        <v>225</v>
      </c>
      <c r="E9" s="96"/>
      <c r="F9" s="96"/>
      <c r="G9" s="97">
        <v>2520</v>
      </c>
      <c r="H9" s="98">
        <f t="shared" si="0"/>
        <v>69.047999999999774</v>
      </c>
      <c r="I9" s="99">
        <f t="shared" si="1"/>
        <v>3797.6399999999876</v>
      </c>
      <c r="J9" s="100">
        <f t="shared" si="3"/>
        <v>126</v>
      </c>
      <c r="K9" s="101">
        <f t="shared" si="2"/>
        <v>56.952000000000226</v>
      </c>
    </row>
    <row r="10" spans="1:11" ht="12.75" x14ac:dyDescent="0.2">
      <c r="A10" s="92">
        <v>45519</v>
      </c>
      <c r="B10" s="93" t="s">
        <v>39</v>
      </c>
      <c r="C10" s="94">
        <v>0.96760000000000002</v>
      </c>
      <c r="D10" s="95" t="s">
        <v>225</v>
      </c>
      <c r="E10" s="96"/>
      <c r="F10" s="96"/>
      <c r="G10" s="97">
        <v>2529</v>
      </c>
      <c r="H10" s="98">
        <f t="shared" si="0"/>
        <v>81.939600000000155</v>
      </c>
      <c r="I10" s="99">
        <f t="shared" si="1"/>
        <v>4506.678000000009</v>
      </c>
      <c r="J10" s="100">
        <f t="shared" si="3"/>
        <v>126.45000000000027</v>
      </c>
      <c r="K10" s="101">
        <f t="shared" si="2"/>
        <v>44.510400000000118</v>
      </c>
    </row>
    <row r="11" spans="1:11" ht="12.75" x14ac:dyDescent="0.2">
      <c r="A11" s="92">
        <v>45520</v>
      </c>
      <c r="B11" s="93" t="s">
        <v>41</v>
      </c>
      <c r="C11" s="94">
        <v>0.95550000000000002</v>
      </c>
      <c r="D11" s="95" t="s">
        <v>225</v>
      </c>
      <c r="E11" s="96"/>
      <c r="F11" s="96"/>
      <c r="G11" s="97">
        <v>2538</v>
      </c>
      <c r="H11" s="98">
        <f t="shared" si="0"/>
        <v>112.9409999999998</v>
      </c>
      <c r="I11" s="99">
        <f t="shared" si="1"/>
        <v>6211.7549999999892</v>
      </c>
      <c r="J11" s="100">
        <f t="shared" si="3"/>
        <v>126.90000000000009</v>
      </c>
      <c r="K11" s="101">
        <f t="shared" si="2"/>
        <v>13.959000000000287</v>
      </c>
    </row>
    <row r="12" spans="1:11" ht="12.75" x14ac:dyDescent="0.2">
      <c r="A12" s="92">
        <v>45523</v>
      </c>
      <c r="B12" s="93" t="s">
        <v>33</v>
      </c>
      <c r="C12" s="94">
        <v>0.95409999999999995</v>
      </c>
      <c r="D12" s="95" t="s">
        <v>225</v>
      </c>
      <c r="E12" s="96"/>
      <c r="F12" s="96"/>
      <c r="G12" s="97">
        <v>2570</v>
      </c>
      <c r="H12" s="98">
        <f t="shared" si="0"/>
        <v>117.96300000000019</v>
      </c>
      <c r="I12" s="99">
        <f t="shared" si="1"/>
        <v>6487.9650000000111</v>
      </c>
      <c r="J12" s="100">
        <f t="shared" si="3"/>
        <v>128.5</v>
      </c>
      <c r="K12" s="101">
        <f t="shared" si="2"/>
        <v>10.536999999999807</v>
      </c>
    </row>
    <row r="13" spans="1:11" ht="12.75" x14ac:dyDescent="0.2">
      <c r="A13" s="92">
        <v>45524</v>
      </c>
      <c r="B13" s="93" t="s">
        <v>35</v>
      </c>
      <c r="C13" s="94">
        <v>0.95930000000000004</v>
      </c>
      <c r="D13" s="95" t="s">
        <v>225</v>
      </c>
      <c r="E13" s="96"/>
      <c r="F13" s="96"/>
      <c r="G13" s="97">
        <v>2580</v>
      </c>
      <c r="H13" s="98">
        <f t="shared" si="0"/>
        <v>105.00599999999986</v>
      </c>
      <c r="I13" s="99">
        <f t="shared" si="1"/>
        <v>5775.3299999999927</v>
      </c>
      <c r="J13" s="100">
        <f t="shared" si="3"/>
        <v>129</v>
      </c>
      <c r="K13" s="101">
        <f t="shared" si="2"/>
        <v>23.994000000000142</v>
      </c>
    </row>
    <row r="14" spans="1:11" ht="12.75" x14ac:dyDescent="0.2">
      <c r="A14" s="92">
        <v>45525</v>
      </c>
      <c r="B14" s="93" t="s">
        <v>37</v>
      </c>
      <c r="C14" s="94">
        <v>0.96250000000000002</v>
      </c>
      <c r="D14" s="95" t="s">
        <v>225</v>
      </c>
      <c r="E14" s="96"/>
      <c r="F14" s="96"/>
      <c r="G14" s="97">
        <v>2587</v>
      </c>
      <c r="H14" s="98">
        <f t="shared" si="0"/>
        <v>97.012499999999818</v>
      </c>
      <c r="I14" s="99">
        <f t="shared" si="1"/>
        <v>5335.68749999999</v>
      </c>
      <c r="J14" s="100">
        <f t="shared" si="3"/>
        <v>129.34999999999991</v>
      </c>
      <c r="K14" s="101">
        <f t="shared" si="2"/>
        <v>32.337500000000091</v>
      </c>
    </row>
    <row r="15" spans="1:11" ht="12.75" x14ac:dyDescent="0.2">
      <c r="A15" s="92">
        <v>45526</v>
      </c>
      <c r="B15" s="93" t="s">
        <v>39</v>
      </c>
      <c r="C15" s="94">
        <v>0.9526</v>
      </c>
      <c r="D15" s="95" t="s">
        <v>225</v>
      </c>
      <c r="E15" s="96"/>
      <c r="F15" s="96"/>
      <c r="G15" s="97">
        <v>2594</v>
      </c>
      <c r="H15" s="98">
        <f t="shared" si="0"/>
        <v>122.95559999999978</v>
      </c>
      <c r="I15" s="99">
        <f t="shared" si="1"/>
        <v>6762.5579999999882</v>
      </c>
      <c r="J15" s="100">
        <f t="shared" si="3"/>
        <v>129.70000000000027</v>
      </c>
      <c r="K15" s="101">
        <f t="shared" si="2"/>
        <v>6.7444000000004962</v>
      </c>
    </row>
    <row r="16" spans="1:11" ht="12.75" x14ac:dyDescent="0.2">
      <c r="A16" s="92">
        <v>45527</v>
      </c>
      <c r="B16" s="93" t="s">
        <v>41</v>
      </c>
      <c r="C16" s="94">
        <v>0.9415</v>
      </c>
      <c r="D16" s="95" t="s">
        <v>225</v>
      </c>
      <c r="E16" s="96"/>
      <c r="F16" s="96"/>
      <c r="G16" s="97">
        <v>2597</v>
      </c>
      <c r="H16" s="98">
        <f t="shared" si="0"/>
        <v>151.92450000000008</v>
      </c>
      <c r="I16" s="99">
        <f t="shared" si="1"/>
        <v>8355.8475000000035</v>
      </c>
      <c r="J16" s="100">
        <f t="shared" si="3"/>
        <v>129.84999999999991</v>
      </c>
      <c r="K16" s="101">
        <f t="shared" si="2"/>
        <v>-22.074500000000171</v>
      </c>
    </row>
    <row r="17" spans="1:11" ht="12.75" x14ac:dyDescent="0.2">
      <c r="A17" s="92">
        <v>45530</v>
      </c>
      <c r="B17" s="93" t="s">
        <v>33</v>
      </c>
      <c r="C17" s="94">
        <v>0.94510000000000005</v>
      </c>
      <c r="D17" s="95" t="s">
        <v>225</v>
      </c>
      <c r="E17" s="96"/>
      <c r="F17" s="96"/>
      <c r="G17" s="97">
        <v>2606</v>
      </c>
      <c r="H17" s="98">
        <f t="shared" si="0"/>
        <v>143.06939999999986</v>
      </c>
      <c r="I17" s="99">
        <f t="shared" si="1"/>
        <v>7868.8169999999918</v>
      </c>
      <c r="J17" s="100">
        <f t="shared" si="3"/>
        <v>130.30000000000018</v>
      </c>
      <c r="K17" s="101">
        <f t="shared" si="2"/>
        <v>-12.769399999999678</v>
      </c>
    </row>
    <row r="18" spans="1:11" ht="12.75" x14ac:dyDescent="0.2">
      <c r="A18" s="92">
        <v>45531</v>
      </c>
      <c r="B18" s="93" t="s">
        <v>35</v>
      </c>
      <c r="C18" s="94">
        <v>0.94369999999999998</v>
      </c>
      <c r="D18" s="95" t="s">
        <v>225</v>
      </c>
      <c r="E18" s="96"/>
      <c r="F18" s="96"/>
      <c r="G18" s="97">
        <v>2614</v>
      </c>
      <c r="H18" s="98">
        <f t="shared" si="0"/>
        <v>147.16820000000007</v>
      </c>
      <c r="I18" s="99">
        <f t="shared" si="1"/>
        <v>8094.2510000000038</v>
      </c>
      <c r="J18" s="100">
        <f t="shared" si="3"/>
        <v>130.70000000000027</v>
      </c>
      <c r="K18" s="101">
        <f t="shared" si="2"/>
        <v>-16.468199999999797</v>
      </c>
    </row>
    <row r="19" spans="1:11" ht="12.75" x14ac:dyDescent="0.2">
      <c r="A19" s="92">
        <v>45532</v>
      </c>
      <c r="B19" s="93" t="s">
        <v>37</v>
      </c>
      <c r="C19" s="94">
        <v>0.94950000000000001</v>
      </c>
      <c r="D19" s="95" t="s">
        <v>225</v>
      </c>
      <c r="E19" s="96"/>
      <c r="F19" s="102"/>
      <c r="G19" s="97">
        <v>2612</v>
      </c>
      <c r="H19" s="98">
        <f t="shared" si="0"/>
        <v>131.90599999999995</v>
      </c>
      <c r="I19" s="99">
        <f t="shared" si="1"/>
        <v>7254.8299999999972</v>
      </c>
      <c r="J19" s="100">
        <f t="shared" si="3"/>
        <v>130.59999999999991</v>
      </c>
      <c r="K19" s="101">
        <f t="shared" si="2"/>
        <v>-1.30600000000004</v>
      </c>
    </row>
    <row r="20" spans="1:11" ht="12.75" x14ac:dyDescent="0.2">
      <c r="A20" s="92">
        <v>45533</v>
      </c>
      <c r="B20" s="93" t="s">
        <v>39</v>
      </c>
      <c r="C20" s="94">
        <v>0.94850000000000001</v>
      </c>
      <c r="D20" s="95" t="s">
        <v>225</v>
      </c>
      <c r="E20" s="96"/>
      <c r="F20" s="96"/>
      <c r="G20" s="97">
        <v>2619</v>
      </c>
      <c r="H20" s="98">
        <f t="shared" si="0"/>
        <v>134.8784999999998</v>
      </c>
      <c r="I20" s="99">
        <f t="shared" si="1"/>
        <v>7418.3174999999892</v>
      </c>
      <c r="J20" s="100">
        <f t="shared" si="3"/>
        <v>130.95000000000027</v>
      </c>
      <c r="K20" s="101">
        <f t="shared" si="2"/>
        <v>-3.9284999999995307</v>
      </c>
    </row>
    <row r="21" spans="1:11" ht="12.75" x14ac:dyDescent="0.2">
      <c r="A21" s="92">
        <v>45534</v>
      </c>
      <c r="B21" s="93" t="s">
        <v>41</v>
      </c>
      <c r="C21" s="94">
        <v>0.93469999999999998</v>
      </c>
      <c r="D21" s="95" t="s">
        <v>225</v>
      </c>
      <c r="E21" s="96"/>
      <c r="F21" s="96"/>
      <c r="G21" s="97">
        <v>2620</v>
      </c>
      <c r="H21" s="98">
        <f t="shared" si="0"/>
        <v>171.08600000000024</v>
      </c>
      <c r="I21" s="99">
        <f t="shared" si="1"/>
        <v>9409.7300000000141</v>
      </c>
      <c r="J21" s="100">
        <f t="shared" si="3"/>
        <v>131</v>
      </c>
      <c r="K21" s="101">
        <f t="shared" si="2"/>
        <v>-40.08600000000024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0.93899999999999995</v>
      </c>
      <c r="D23" s="95" t="s">
        <v>225</v>
      </c>
      <c r="E23" s="96"/>
      <c r="F23" s="96"/>
      <c r="G23" s="97">
        <v>2625</v>
      </c>
      <c r="H23" s="98">
        <f t="shared" si="0"/>
        <v>160.125</v>
      </c>
      <c r="I23" s="99">
        <f t="shared" si="1"/>
        <v>8806.875</v>
      </c>
      <c r="J23" s="100">
        <f t="shared" si="3"/>
        <v>131.25</v>
      </c>
      <c r="K23" s="101">
        <f t="shared" si="2"/>
        <v>-28.875</v>
      </c>
    </row>
    <row r="24" spans="1:11" ht="12.75" x14ac:dyDescent="0.2">
      <c r="A24" s="92">
        <v>45539</v>
      </c>
      <c r="B24" s="93" t="s">
        <v>37</v>
      </c>
      <c r="C24" s="94">
        <v>0.94550000000000001</v>
      </c>
      <c r="D24" s="95" t="s">
        <v>225</v>
      </c>
      <c r="E24" s="96"/>
      <c r="F24" s="96"/>
      <c r="G24" s="97">
        <v>2626</v>
      </c>
      <c r="H24" s="98">
        <f t="shared" si="0"/>
        <v>143.11700000000019</v>
      </c>
      <c r="I24" s="99">
        <f t="shared" si="1"/>
        <v>7871.4350000000104</v>
      </c>
      <c r="J24" s="100">
        <f t="shared" si="3"/>
        <v>131.30000000000018</v>
      </c>
      <c r="K24" s="101">
        <f t="shared" si="2"/>
        <v>-11.817000000000007</v>
      </c>
    </row>
    <row r="25" spans="1:11" ht="12.75" x14ac:dyDescent="0.2">
      <c r="A25" s="92">
        <v>45540</v>
      </c>
      <c r="B25" s="93" t="s">
        <v>39</v>
      </c>
      <c r="C25" s="94">
        <v>0.94410000000000005</v>
      </c>
      <c r="D25" s="95" t="s">
        <v>225</v>
      </c>
      <c r="E25" s="96"/>
      <c r="F25" s="96"/>
      <c r="G25" s="97">
        <v>2632</v>
      </c>
      <c r="H25" s="98">
        <f t="shared" si="0"/>
        <v>147.12879999999996</v>
      </c>
      <c r="I25" s="99">
        <f t="shared" si="1"/>
        <v>8092.0839999999971</v>
      </c>
      <c r="J25" s="100">
        <f t="shared" si="3"/>
        <v>131.59999999999991</v>
      </c>
      <c r="K25" s="101">
        <f t="shared" si="2"/>
        <v>-15.528800000000047</v>
      </c>
    </row>
    <row r="26" spans="1:11" ht="12.75" x14ac:dyDescent="0.2">
      <c r="A26" s="92">
        <v>45541</v>
      </c>
      <c r="B26" s="93" t="s">
        <v>41</v>
      </c>
      <c r="C26" s="94">
        <v>0.91759999999999997</v>
      </c>
      <c r="D26" s="95" t="s">
        <v>225</v>
      </c>
      <c r="E26" s="96"/>
      <c r="F26" s="96"/>
      <c r="G26" s="97">
        <v>2633</v>
      </c>
      <c r="H26" s="98">
        <f t="shared" si="0"/>
        <v>216.95920000000024</v>
      </c>
      <c r="I26" s="99">
        <f t="shared" si="1"/>
        <v>11932.756000000012</v>
      </c>
      <c r="J26" s="100">
        <f t="shared" si="3"/>
        <v>131.65000000000009</v>
      </c>
      <c r="K26" s="101">
        <f t="shared" si="2"/>
        <v>-85.309200000000146</v>
      </c>
    </row>
    <row r="27" spans="1:11" ht="12.75" x14ac:dyDescent="0.2">
      <c r="A27" s="92">
        <v>45544</v>
      </c>
      <c r="B27" s="93" t="s">
        <v>33</v>
      </c>
      <c r="C27" s="94">
        <v>0.94189999999999996</v>
      </c>
      <c r="D27" s="95" t="s">
        <v>225</v>
      </c>
      <c r="E27" s="96"/>
      <c r="F27" s="96"/>
      <c r="G27" s="97">
        <v>2633</v>
      </c>
      <c r="H27" s="98">
        <f t="shared" si="0"/>
        <v>152.97730000000001</v>
      </c>
      <c r="I27" s="99">
        <f t="shared" si="1"/>
        <v>8413.7515000000003</v>
      </c>
      <c r="J27" s="100">
        <f t="shared" si="3"/>
        <v>131.65000000000009</v>
      </c>
      <c r="K27" s="101">
        <f t="shared" si="2"/>
        <v>-21.327299999999923</v>
      </c>
    </row>
    <row r="28" spans="1:11" ht="12.75" x14ac:dyDescent="0.2">
      <c r="A28" s="92">
        <v>45545</v>
      </c>
      <c r="B28" s="93" t="s">
        <v>35</v>
      </c>
      <c r="C28" s="94">
        <v>0.94469999999999998</v>
      </c>
      <c r="D28" s="95" t="s">
        <v>225</v>
      </c>
      <c r="E28" s="96"/>
      <c r="F28" s="96"/>
      <c r="G28" s="97">
        <v>2638</v>
      </c>
      <c r="H28" s="98">
        <f t="shared" si="0"/>
        <v>145.88140000000021</v>
      </c>
      <c r="I28" s="99">
        <f t="shared" si="1"/>
        <v>8023.4770000000117</v>
      </c>
      <c r="J28" s="100">
        <f t="shared" si="3"/>
        <v>131.90000000000009</v>
      </c>
      <c r="K28" s="101">
        <f t="shared" si="2"/>
        <v>-13.981400000000122</v>
      </c>
    </row>
    <row r="29" spans="1:11" ht="12.75" x14ac:dyDescent="0.2">
      <c r="A29" s="92">
        <v>45546</v>
      </c>
      <c r="B29" s="93" t="s">
        <v>37</v>
      </c>
      <c r="C29" s="94">
        <v>0.94159999999999999</v>
      </c>
      <c r="D29" s="95" t="s">
        <v>225</v>
      </c>
      <c r="E29" s="96"/>
      <c r="F29" s="96"/>
      <c r="G29" s="97">
        <v>2638</v>
      </c>
      <c r="H29" s="98">
        <f t="shared" si="0"/>
        <v>154.05920000000015</v>
      </c>
      <c r="I29" s="99">
        <f t="shared" si="1"/>
        <v>8473.2560000000085</v>
      </c>
      <c r="J29" s="100">
        <f t="shared" si="3"/>
        <v>131.90000000000009</v>
      </c>
      <c r="K29" s="101">
        <f t="shared" si="2"/>
        <v>-22.159200000000055</v>
      </c>
    </row>
    <row r="30" spans="1:11" ht="12.75" x14ac:dyDescent="0.2">
      <c r="A30" s="92">
        <v>45547</v>
      </c>
      <c r="B30" s="93" t="s">
        <v>39</v>
      </c>
      <c r="C30" s="94">
        <v>0.95220000000000005</v>
      </c>
      <c r="D30" s="95" t="s">
        <v>225</v>
      </c>
      <c r="E30" s="96"/>
      <c r="F30" s="96"/>
      <c r="G30" s="97">
        <v>2637</v>
      </c>
      <c r="H30" s="98">
        <f t="shared" si="0"/>
        <v>126.04860000000008</v>
      </c>
      <c r="I30" s="99">
        <f t="shared" si="1"/>
        <v>6932.6730000000043</v>
      </c>
      <c r="J30" s="100">
        <f t="shared" si="3"/>
        <v>131.84999999999991</v>
      </c>
      <c r="K30" s="101">
        <f t="shared" si="2"/>
        <v>5.8013999999998305</v>
      </c>
    </row>
    <row r="31" spans="1:11" ht="12.75" x14ac:dyDescent="0.2">
      <c r="A31" s="92">
        <v>45548</v>
      </c>
      <c r="B31" s="93" t="s">
        <v>41</v>
      </c>
      <c r="C31" s="94">
        <v>0.92</v>
      </c>
      <c r="D31" s="95" t="s">
        <v>225</v>
      </c>
      <c r="E31" s="96"/>
      <c r="F31" s="96"/>
      <c r="G31" s="97">
        <v>2636</v>
      </c>
      <c r="H31" s="98">
        <f t="shared" si="0"/>
        <v>210.88000000000011</v>
      </c>
      <c r="I31" s="99">
        <f t="shared" si="1"/>
        <v>11598.400000000005</v>
      </c>
      <c r="J31" s="100">
        <f t="shared" si="3"/>
        <v>131.80000000000018</v>
      </c>
      <c r="K31" s="101">
        <f t="shared" si="2"/>
        <v>-79.079999999999927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0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0.94279999999999997</v>
      </c>
      <c r="D33" s="95" t="s">
        <v>225</v>
      </c>
      <c r="E33" s="96"/>
      <c r="F33" s="96"/>
      <c r="G33" s="97">
        <v>2641</v>
      </c>
      <c r="H33" s="98">
        <f t="shared" si="0"/>
        <v>151.0652</v>
      </c>
      <c r="I33" s="99">
        <f t="shared" si="1"/>
        <v>8308.5859999999993</v>
      </c>
      <c r="J33" s="100">
        <f t="shared" si="3"/>
        <v>132.05000000000018</v>
      </c>
      <c r="K33" s="101">
        <f t="shared" si="2"/>
        <v>-19.015199999999822</v>
      </c>
    </row>
    <row r="34" spans="1:11" ht="12.75" x14ac:dyDescent="0.2">
      <c r="A34" s="92">
        <v>45553</v>
      </c>
      <c r="B34" s="93" t="s">
        <v>37</v>
      </c>
      <c r="C34" s="94">
        <v>0.9375</v>
      </c>
      <c r="D34" s="95" t="s">
        <v>225</v>
      </c>
      <c r="E34" s="96"/>
      <c r="F34" s="96"/>
      <c r="G34" s="97">
        <v>2641</v>
      </c>
      <c r="H34" s="98">
        <f t="shared" si="0"/>
        <v>165.0625</v>
      </c>
      <c r="I34" s="99">
        <f t="shared" si="1"/>
        <v>9078.4375</v>
      </c>
      <c r="J34" s="100">
        <f t="shared" si="3"/>
        <v>132.05000000000018</v>
      </c>
      <c r="K34" s="101">
        <f t="shared" si="2"/>
        <v>-33.012499999999818</v>
      </c>
    </row>
    <row r="35" spans="1:11" ht="12.75" x14ac:dyDescent="0.2">
      <c r="A35" s="92">
        <v>45554</v>
      </c>
      <c r="B35" s="93" t="s">
        <v>39</v>
      </c>
      <c r="C35" s="94">
        <v>0.9375</v>
      </c>
      <c r="D35" s="95" t="s">
        <v>225</v>
      </c>
      <c r="E35" s="96"/>
      <c r="F35" s="96"/>
      <c r="G35" s="97">
        <v>2641</v>
      </c>
      <c r="H35" s="98">
        <f t="shared" si="0"/>
        <v>165.0625</v>
      </c>
      <c r="I35" s="99">
        <f t="shared" si="1"/>
        <v>9078.4375</v>
      </c>
      <c r="J35" s="100">
        <f t="shared" si="3"/>
        <v>132.05000000000018</v>
      </c>
      <c r="K35" s="101">
        <f t="shared" si="2"/>
        <v>-33.012499999999818</v>
      </c>
    </row>
    <row r="36" spans="1:11" ht="12.75" x14ac:dyDescent="0.2">
      <c r="A36" s="92">
        <v>45555</v>
      </c>
      <c r="B36" s="93" t="s">
        <v>41</v>
      </c>
      <c r="C36" s="94">
        <v>0.92010000000000003</v>
      </c>
      <c r="D36" s="95" t="s">
        <v>225</v>
      </c>
      <c r="E36" s="96"/>
      <c r="F36" s="96"/>
      <c r="G36" s="97">
        <v>2641</v>
      </c>
      <c r="H36" s="98">
        <f t="shared" si="0"/>
        <v>211.01589999999987</v>
      </c>
      <c r="I36" s="99">
        <f t="shared" si="1"/>
        <v>11605.874499999993</v>
      </c>
      <c r="J36" s="100">
        <f t="shared" si="3"/>
        <v>132.05000000000018</v>
      </c>
      <c r="K36" s="101">
        <f t="shared" si="2"/>
        <v>-78.965899999999692</v>
      </c>
    </row>
    <row r="37" spans="1:11" ht="12.75" x14ac:dyDescent="0.2">
      <c r="A37" s="92">
        <v>45558</v>
      </c>
      <c r="B37" s="93" t="s">
        <v>33</v>
      </c>
      <c r="C37" s="94">
        <v>0.91910000000000003</v>
      </c>
      <c r="D37" s="95" t="s">
        <v>225</v>
      </c>
      <c r="E37" s="96"/>
      <c r="F37" s="96"/>
      <c r="G37" s="97">
        <v>2644</v>
      </c>
      <c r="H37" s="98">
        <f t="shared" si="0"/>
        <v>213.89959999999974</v>
      </c>
      <c r="I37" s="99">
        <f t="shared" si="1"/>
        <v>11764.477999999985</v>
      </c>
      <c r="J37" s="100">
        <f t="shared" si="3"/>
        <v>132.20000000000027</v>
      </c>
      <c r="K37" s="101">
        <f t="shared" si="2"/>
        <v>-81.699599999999464</v>
      </c>
    </row>
    <row r="38" spans="1:11" ht="12.75" x14ac:dyDescent="0.2">
      <c r="A38" s="92">
        <v>45559</v>
      </c>
      <c r="B38" s="93" t="s">
        <v>35</v>
      </c>
      <c r="C38" s="94">
        <v>0.9335</v>
      </c>
      <c r="D38" s="95" t="s">
        <v>225</v>
      </c>
      <c r="E38" s="96"/>
      <c r="F38" s="96"/>
      <c r="G38" s="97">
        <v>2648</v>
      </c>
      <c r="H38" s="98">
        <f t="shared" si="0"/>
        <v>176.0920000000001</v>
      </c>
      <c r="I38" s="99">
        <f t="shared" si="1"/>
        <v>9685.0600000000049</v>
      </c>
      <c r="J38" s="100">
        <f t="shared" si="3"/>
        <v>132.40000000000009</v>
      </c>
      <c r="K38" s="101">
        <f t="shared" si="2"/>
        <v>-43.692000000000007</v>
      </c>
    </row>
    <row r="39" spans="1:11" ht="12.75" x14ac:dyDescent="0.2">
      <c r="A39" s="92">
        <v>45560</v>
      </c>
      <c r="B39" s="93" t="s">
        <v>37</v>
      </c>
      <c r="C39" s="94">
        <v>0.94779999999999998</v>
      </c>
      <c r="D39" s="95" t="s">
        <v>225</v>
      </c>
      <c r="E39" s="96"/>
      <c r="F39" s="96"/>
      <c r="G39" s="97">
        <v>2646</v>
      </c>
      <c r="H39" s="98">
        <f t="shared" si="0"/>
        <v>138.12120000000004</v>
      </c>
      <c r="I39" s="99">
        <f t="shared" si="1"/>
        <v>7596.6660000000029</v>
      </c>
      <c r="J39" s="100">
        <f t="shared" si="3"/>
        <v>132.30000000000018</v>
      </c>
      <c r="K39" s="101">
        <f t="shared" si="2"/>
        <v>-5.8211999999998625</v>
      </c>
    </row>
    <row r="40" spans="1:11" ht="12.75" x14ac:dyDescent="0.2">
      <c r="A40" s="92">
        <v>45561</v>
      </c>
      <c r="B40" s="93" t="s">
        <v>39</v>
      </c>
      <c r="C40" s="94">
        <v>0.93769999999999998</v>
      </c>
      <c r="D40" s="95" t="s">
        <v>225</v>
      </c>
      <c r="E40" s="96"/>
      <c r="F40" s="96"/>
      <c r="G40" s="97">
        <v>2646</v>
      </c>
      <c r="H40" s="98">
        <f t="shared" si="0"/>
        <v>164.84580000000005</v>
      </c>
      <c r="I40" s="99">
        <f t="shared" si="1"/>
        <v>9066.5190000000039</v>
      </c>
      <c r="J40" s="100">
        <f t="shared" si="3"/>
        <v>132.30000000000018</v>
      </c>
      <c r="K40" s="101">
        <f t="shared" si="2"/>
        <v>-32.545799999999872</v>
      </c>
    </row>
    <row r="41" spans="1:11" ht="12.75" x14ac:dyDescent="0.2">
      <c r="A41" s="92">
        <v>45562</v>
      </c>
      <c r="B41" s="93" t="s">
        <v>41</v>
      </c>
      <c r="C41" s="94">
        <v>0.92530000000000001</v>
      </c>
      <c r="D41" s="95" t="s">
        <v>225</v>
      </c>
      <c r="E41" s="96"/>
      <c r="F41" s="96"/>
      <c r="G41" s="97">
        <v>2650</v>
      </c>
      <c r="H41" s="98">
        <f t="shared" si="0"/>
        <v>197.95499999999993</v>
      </c>
      <c r="I41" s="99">
        <f t="shared" si="1"/>
        <v>10887.524999999996</v>
      </c>
      <c r="J41" s="100">
        <f t="shared" si="3"/>
        <v>132.5</v>
      </c>
      <c r="K41" s="101">
        <f t="shared" si="2"/>
        <v>-65.454999999999927</v>
      </c>
    </row>
    <row r="42" spans="1:11" ht="12.75" x14ac:dyDescent="0.2">
      <c r="A42" s="92">
        <v>45565</v>
      </c>
      <c r="B42" s="93" t="s">
        <v>33</v>
      </c>
      <c r="C42" s="94">
        <v>0.93369999999999997</v>
      </c>
      <c r="D42" s="95" t="s">
        <v>225</v>
      </c>
      <c r="E42" s="96"/>
      <c r="F42" s="96"/>
      <c r="G42" s="97">
        <v>2653</v>
      </c>
      <c r="H42" s="98">
        <f t="shared" si="0"/>
        <v>175.89390000000003</v>
      </c>
      <c r="I42" s="99">
        <f t="shared" si="1"/>
        <v>9674.1645000000026</v>
      </c>
      <c r="J42" s="100">
        <f t="shared" si="3"/>
        <v>132.65000000000009</v>
      </c>
      <c r="K42" s="101">
        <f t="shared" si="2"/>
        <v>-43.24389999999994</v>
      </c>
    </row>
    <row r="43" spans="1:11" ht="12.75" x14ac:dyDescent="0.2">
      <c r="A43" s="92">
        <v>45566</v>
      </c>
      <c r="B43" s="93" t="s">
        <v>35</v>
      </c>
      <c r="C43" s="94">
        <v>0.93969999999999998</v>
      </c>
      <c r="D43" s="95" t="s">
        <v>225</v>
      </c>
      <c r="E43" s="96"/>
      <c r="F43" s="96"/>
      <c r="G43" s="97">
        <v>2652</v>
      </c>
      <c r="H43" s="98">
        <f t="shared" si="0"/>
        <v>159.91560000000027</v>
      </c>
      <c r="I43" s="99">
        <f t="shared" si="1"/>
        <v>8795.3580000000147</v>
      </c>
      <c r="J43" s="100">
        <f t="shared" si="3"/>
        <v>132.59999999999991</v>
      </c>
      <c r="K43" s="101">
        <f t="shared" si="2"/>
        <v>-27.315600000000359</v>
      </c>
    </row>
    <row r="44" spans="1:11" ht="12.75" x14ac:dyDescent="0.2">
      <c r="A44" s="92">
        <v>45567</v>
      </c>
      <c r="B44" s="93" t="s">
        <v>37</v>
      </c>
      <c r="C44" s="94">
        <v>0.93710000000000004</v>
      </c>
      <c r="D44" s="95" t="s">
        <v>225</v>
      </c>
      <c r="E44" s="96"/>
      <c r="F44" s="96"/>
      <c r="G44" s="97">
        <v>2655</v>
      </c>
      <c r="H44" s="98">
        <f t="shared" si="0"/>
        <v>166.9994999999999</v>
      </c>
      <c r="I44" s="99">
        <f t="shared" si="1"/>
        <v>9184.9724999999944</v>
      </c>
      <c r="J44" s="100">
        <f t="shared" si="3"/>
        <v>132.75</v>
      </c>
      <c r="K44" s="101">
        <f t="shared" si="2"/>
        <v>-34.249499999999898</v>
      </c>
    </row>
    <row r="45" spans="1:11" ht="12.75" x14ac:dyDescent="0.2">
      <c r="A45" s="92">
        <v>45568</v>
      </c>
      <c r="B45" s="93" t="s">
        <v>39</v>
      </c>
      <c r="C45" s="94">
        <v>0.94130000000000003</v>
      </c>
      <c r="D45" s="95" t="s">
        <v>225</v>
      </c>
      <c r="E45" s="96"/>
      <c r="F45" s="96"/>
      <c r="G45" s="97">
        <v>2656</v>
      </c>
      <c r="H45" s="98">
        <f t="shared" si="0"/>
        <v>155.9072000000001</v>
      </c>
      <c r="I45" s="99">
        <f t="shared" si="1"/>
        <v>8574.8960000000061</v>
      </c>
      <c r="J45" s="100">
        <f t="shared" si="3"/>
        <v>132.80000000000018</v>
      </c>
      <c r="K45" s="101">
        <f t="shared" si="2"/>
        <v>-23.107199999999921</v>
      </c>
    </row>
    <row r="46" spans="1:11" ht="12.75" x14ac:dyDescent="0.2">
      <c r="A46" s="92">
        <v>45569</v>
      </c>
      <c r="B46" s="93" t="s">
        <v>41</v>
      </c>
      <c r="C46" s="94">
        <v>0.92090000000000005</v>
      </c>
      <c r="D46" s="95" t="s">
        <v>225</v>
      </c>
      <c r="E46" s="96"/>
      <c r="F46" s="96"/>
      <c r="G46" s="97">
        <v>2656</v>
      </c>
      <c r="H46" s="98">
        <f t="shared" si="0"/>
        <v>210.08959999999979</v>
      </c>
      <c r="I46" s="99">
        <f t="shared" si="1"/>
        <v>11554.927999999989</v>
      </c>
      <c r="J46" s="100">
        <f t="shared" si="3"/>
        <v>132.80000000000018</v>
      </c>
      <c r="K46" s="101">
        <f t="shared" si="2"/>
        <v>-77.289599999999609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0"/>
        <v>0</v>
      </c>
      <c r="I47" s="99">
        <f t="shared" si="1"/>
        <v>0</v>
      </c>
      <c r="J47" s="100">
        <f t="shared" si="3"/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0"/>
        <v>0</v>
      </c>
      <c r="I48" s="99">
        <f t="shared" si="1"/>
        <v>0</v>
      </c>
      <c r="J48" s="100">
        <f t="shared" si="3"/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0"/>
        <v>0</v>
      </c>
      <c r="I49" s="99">
        <f t="shared" si="1"/>
        <v>0</v>
      </c>
      <c r="J49" s="100">
        <f t="shared" si="3"/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0"/>
        <v>0</v>
      </c>
      <c r="I50" s="99">
        <f t="shared" si="1"/>
        <v>0</v>
      </c>
      <c r="J50" s="100">
        <f t="shared" si="3"/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0"/>
        <v>0</v>
      </c>
      <c r="I51" s="99">
        <f t="shared" si="1"/>
        <v>0</v>
      </c>
      <c r="J51" s="100">
        <f t="shared" si="3"/>
        <v>0</v>
      </c>
      <c r="K51" s="101">
        <f t="shared" si="2"/>
        <v>0</v>
      </c>
    </row>
    <row r="52" spans="1:11" ht="12.75" x14ac:dyDescent="0.2">
      <c r="A52" s="92">
        <v>45579</v>
      </c>
      <c r="B52" s="93" t="s">
        <v>33</v>
      </c>
      <c r="C52" s="94">
        <v>0.92520000000000002</v>
      </c>
      <c r="D52" s="95" t="s">
        <v>225</v>
      </c>
      <c r="E52" s="96"/>
      <c r="F52" s="96"/>
      <c r="G52" s="97">
        <v>2646</v>
      </c>
      <c r="H52" s="98">
        <f t="shared" si="0"/>
        <v>197.92079999999987</v>
      </c>
      <c r="I52" s="99">
        <f t="shared" si="1"/>
        <v>10885.643999999993</v>
      </c>
      <c r="J52" s="100">
        <f t="shared" si="3"/>
        <v>132.30000000000018</v>
      </c>
      <c r="K52" s="101">
        <f t="shared" si="2"/>
        <v>-65.62079999999969</v>
      </c>
    </row>
    <row r="53" spans="1:11" ht="12.75" x14ac:dyDescent="0.2">
      <c r="A53" s="92">
        <v>45580</v>
      </c>
      <c r="B53" s="93" t="s">
        <v>35</v>
      </c>
      <c r="C53" s="94">
        <v>0.93940000000000001</v>
      </c>
      <c r="D53" s="95" t="s">
        <v>225</v>
      </c>
      <c r="E53" s="96"/>
      <c r="F53" s="96"/>
      <c r="G53" s="97">
        <v>2642</v>
      </c>
      <c r="H53" s="98">
        <f t="shared" si="0"/>
        <v>160.10519999999997</v>
      </c>
      <c r="I53" s="99">
        <f t="shared" si="1"/>
        <v>8805.7859999999982</v>
      </c>
      <c r="J53" s="100">
        <f t="shared" si="3"/>
        <v>132.09999999999991</v>
      </c>
      <c r="K53" s="101">
        <f t="shared" si="2"/>
        <v>-28.005200000000059</v>
      </c>
    </row>
    <row r="54" spans="1:11" ht="12.75" x14ac:dyDescent="0.2">
      <c r="A54" s="92">
        <v>45581</v>
      </c>
      <c r="B54" s="93" t="s">
        <v>37</v>
      </c>
      <c r="C54" s="115">
        <v>0.9617</v>
      </c>
      <c r="D54" s="95" t="s">
        <v>225</v>
      </c>
      <c r="E54" s="96"/>
      <c r="F54" s="116"/>
      <c r="G54" s="97">
        <v>2640</v>
      </c>
      <c r="H54" s="98">
        <f t="shared" si="0"/>
        <v>101.11200000000008</v>
      </c>
      <c r="I54" s="99">
        <f t="shared" si="1"/>
        <v>5561.1600000000044</v>
      </c>
      <c r="J54" s="100">
        <f t="shared" si="3"/>
        <v>132</v>
      </c>
      <c r="K54" s="101">
        <f t="shared" si="2"/>
        <v>30.88799999999992</v>
      </c>
    </row>
    <row r="55" spans="1:11" ht="12.75" x14ac:dyDescent="0.2">
      <c r="A55" s="92">
        <v>45582</v>
      </c>
      <c r="B55" s="93" t="s">
        <v>39</v>
      </c>
      <c r="C55" s="94">
        <v>0.93869999999999998</v>
      </c>
      <c r="D55" s="95" t="s">
        <v>225</v>
      </c>
      <c r="E55" s="96"/>
      <c r="F55" s="96"/>
      <c r="G55" s="97">
        <v>2641</v>
      </c>
      <c r="H55" s="98">
        <f t="shared" si="0"/>
        <v>161.89330000000018</v>
      </c>
      <c r="I55" s="99">
        <f t="shared" si="1"/>
        <v>8904.1315000000104</v>
      </c>
      <c r="J55" s="100">
        <f t="shared" si="3"/>
        <v>132.05000000000018</v>
      </c>
      <c r="K55" s="101">
        <f t="shared" si="2"/>
        <v>-29.843299999999999</v>
      </c>
    </row>
    <row r="56" spans="1:11" ht="12.75" x14ac:dyDescent="0.2">
      <c r="A56" s="92">
        <v>45583</v>
      </c>
      <c r="B56" s="93" t="s">
        <v>41</v>
      </c>
      <c r="C56" s="94">
        <v>0.92610000000000003</v>
      </c>
      <c r="D56" s="95" t="s">
        <v>225</v>
      </c>
      <c r="E56" s="96"/>
      <c r="F56" s="96"/>
      <c r="G56" s="97">
        <v>2640</v>
      </c>
      <c r="H56" s="98">
        <f t="shared" si="0"/>
        <v>195.096</v>
      </c>
      <c r="I56" s="99">
        <f t="shared" si="1"/>
        <v>10730.28</v>
      </c>
      <c r="J56" s="100">
        <f t="shared" si="3"/>
        <v>132</v>
      </c>
      <c r="K56" s="101">
        <f t="shared" si="2"/>
        <v>-63.096000000000004</v>
      </c>
    </row>
    <row r="57" spans="1:11" ht="12.75" x14ac:dyDescent="0.2">
      <c r="A57" s="92">
        <v>45586</v>
      </c>
      <c r="B57" s="93" t="s">
        <v>33</v>
      </c>
      <c r="C57" s="94">
        <v>0.93410000000000004</v>
      </c>
      <c r="D57" s="95" t="s">
        <v>225</v>
      </c>
      <c r="E57" s="96"/>
      <c r="F57" s="96"/>
      <c r="G57" s="97">
        <v>2639</v>
      </c>
      <c r="H57" s="98">
        <f t="shared" si="0"/>
        <v>173.91010000000006</v>
      </c>
      <c r="I57" s="99">
        <f t="shared" si="1"/>
        <v>9565.0555000000022</v>
      </c>
      <c r="J57" s="100">
        <f t="shared" si="3"/>
        <v>131.95000000000027</v>
      </c>
      <c r="K57" s="101">
        <f t="shared" si="2"/>
        <v>-41.960099999999784</v>
      </c>
    </row>
    <row r="58" spans="1:11" ht="12.75" x14ac:dyDescent="0.2">
      <c r="A58" s="92">
        <v>45587</v>
      </c>
      <c r="B58" s="93" t="s">
        <v>35</v>
      </c>
      <c r="C58" s="94">
        <v>0.94350000000000001</v>
      </c>
      <c r="D58" s="95" t="s">
        <v>225</v>
      </c>
      <c r="E58" s="96"/>
      <c r="F58" s="96"/>
      <c r="G58" s="97">
        <v>2638</v>
      </c>
      <c r="H58" s="98">
        <f t="shared" si="0"/>
        <v>149.04700000000003</v>
      </c>
      <c r="I58" s="99">
        <f t="shared" si="1"/>
        <v>8197.5850000000009</v>
      </c>
      <c r="J58" s="100">
        <f t="shared" si="3"/>
        <v>131.90000000000009</v>
      </c>
      <c r="K58" s="101">
        <f t="shared" si="2"/>
        <v>-17.146999999999935</v>
      </c>
    </row>
    <row r="59" spans="1:11" ht="12.75" x14ac:dyDescent="0.2">
      <c r="A59" s="92">
        <v>45588</v>
      </c>
      <c r="B59" s="93" t="s">
        <v>37</v>
      </c>
      <c r="C59" s="94">
        <v>0.93220000000000003</v>
      </c>
      <c r="D59" s="95" t="s">
        <v>225</v>
      </c>
      <c r="E59" s="96"/>
      <c r="F59" s="96"/>
      <c r="G59" s="97">
        <v>2640</v>
      </c>
      <c r="H59" s="98">
        <f t="shared" si="0"/>
        <v>178.99199999999973</v>
      </c>
      <c r="I59" s="99">
        <f t="shared" si="1"/>
        <v>9844.5599999999849</v>
      </c>
      <c r="J59" s="100">
        <f t="shared" si="3"/>
        <v>132</v>
      </c>
      <c r="K59" s="101">
        <f t="shared" si="2"/>
        <v>-46.991999999999734</v>
      </c>
    </row>
    <row r="60" spans="1:11" ht="12.75" x14ac:dyDescent="0.2">
      <c r="A60" s="92">
        <v>45589</v>
      </c>
      <c r="B60" s="93" t="s">
        <v>39</v>
      </c>
      <c r="C60" s="94">
        <v>0.92720000000000002</v>
      </c>
      <c r="D60" s="95" t="s">
        <v>225</v>
      </c>
      <c r="E60" s="96"/>
      <c r="F60" s="96"/>
      <c r="G60" s="97">
        <v>2639</v>
      </c>
      <c r="H60" s="98">
        <f t="shared" si="0"/>
        <v>192.11920000000009</v>
      </c>
      <c r="I60" s="99">
        <f t="shared" si="1"/>
        <v>10566.556000000004</v>
      </c>
      <c r="J60" s="100">
        <f t="shared" si="3"/>
        <v>131.95000000000027</v>
      </c>
      <c r="K60" s="101">
        <f t="shared" si="2"/>
        <v>-60.169199999999819</v>
      </c>
    </row>
    <row r="61" spans="1:11" ht="12.75" x14ac:dyDescent="0.2">
      <c r="A61" s="92">
        <v>45590</v>
      </c>
      <c r="B61" s="93" t="s">
        <v>41</v>
      </c>
      <c r="C61" s="94">
        <v>0.93030000000000002</v>
      </c>
      <c r="D61" s="95" t="s">
        <v>225</v>
      </c>
      <c r="E61" s="96"/>
      <c r="F61" s="96"/>
      <c r="G61" s="97">
        <v>2639</v>
      </c>
      <c r="H61" s="98">
        <f t="shared" si="0"/>
        <v>183.9382999999998</v>
      </c>
      <c r="I61" s="99">
        <f t="shared" si="1"/>
        <v>10116.606499999989</v>
      </c>
      <c r="J61" s="100">
        <f t="shared" si="3"/>
        <v>131.95000000000027</v>
      </c>
      <c r="K61" s="101">
        <f t="shared" si="2"/>
        <v>-51.988299999999526</v>
      </c>
    </row>
    <row r="62" spans="1:11" ht="12.75" x14ac:dyDescent="0.2">
      <c r="A62" s="92">
        <v>45593</v>
      </c>
      <c r="B62" s="93" t="s">
        <v>33</v>
      </c>
      <c r="C62" s="94">
        <v>0.92569999999999997</v>
      </c>
      <c r="D62" s="95" t="s">
        <v>225</v>
      </c>
      <c r="E62" s="96"/>
      <c r="F62" s="96"/>
      <c r="G62" s="97">
        <v>2639</v>
      </c>
      <c r="H62" s="98">
        <f t="shared" si="0"/>
        <v>196.07770000000028</v>
      </c>
      <c r="I62" s="99">
        <f t="shared" si="1"/>
        <v>10784.273500000016</v>
      </c>
      <c r="J62" s="100">
        <f t="shared" si="3"/>
        <v>131.95000000000027</v>
      </c>
      <c r="K62" s="101">
        <f t="shared" si="2"/>
        <v>-64.127700000000004</v>
      </c>
    </row>
    <row r="63" spans="1:11" ht="12.75" x14ac:dyDescent="0.2">
      <c r="A63" s="92">
        <v>45594</v>
      </c>
      <c r="B63" s="93" t="s">
        <v>35</v>
      </c>
      <c r="C63" s="94">
        <v>0.93710000000000004</v>
      </c>
      <c r="D63" s="95" t="s">
        <v>225</v>
      </c>
      <c r="E63" s="96"/>
      <c r="F63" s="96"/>
      <c r="G63" s="97">
        <v>2639</v>
      </c>
      <c r="H63" s="98">
        <f t="shared" si="0"/>
        <v>165.99309999999969</v>
      </c>
      <c r="I63" s="99">
        <f t="shared" si="1"/>
        <v>9129.6204999999827</v>
      </c>
      <c r="J63" s="100">
        <f t="shared" si="3"/>
        <v>131.95000000000027</v>
      </c>
      <c r="K63" s="101">
        <f t="shared" si="2"/>
        <v>-34.043099999999413</v>
      </c>
    </row>
    <row r="64" spans="1:11" ht="12.75" x14ac:dyDescent="0.2">
      <c r="A64" s="92">
        <v>45595</v>
      </c>
      <c r="B64" s="93" t="s">
        <v>37</v>
      </c>
      <c r="C64" s="94">
        <v>0.9375</v>
      </c>
      <c r="D64" s="95" t="s">
        <v>225</v>
      </c>
      <c r="E64" s="96"/>
      <c r="F64" s="96"/>
      <c r="G64" s="97">
        <v>2638</v>
      </c>
      <c r="H64" s="98">
        <f t="shared" si="0"/>
        <v>164.875</v>
      </c>
      <c r="I64" s="99">
        <f t="shared" si="1"/>
        <v>9068.125</v>
      </c>
      <c r="J64" s="100">
        <f t="shared" si="3"/>
        <v>131.90000000000009</v>
      </c>
      <c r="K64" s="101">
        <f t="shared" si="2"/>
        <v>-32.974999999999909</v>
      </c>
    </row>
    <row r="65" spans="1:11" ht="12.75" x14ac:dyDescent="0.2">
      <c r="A65" s="92">
        <v>45596</v>
      </c>
      <c r="B65" s="93" t="s">
        <v>39</v>
      </c>
      <c r="C65" s="94">
        <v>0.93320000000000003</v>
      </c>
      <c r="D65" s="95" t="s">
        <v>225</v>
      </c>
      <c r="E65" s="96"/>
      <c r="F65" s="96"/>
      <c r="G65" s="97">
        <v>2635</v>
      </c>
      <c r="H65" s="98">
        <f t="shared" si="0"/>
        <v>176.01800000000003</v>
      </c>
      <c r="I65" s="99">
        <f t="shared" si="1"/>
        <v>9680.9900000000016</v>
      </c>
      <c r="J65" s="100">
        <f t="shared" si="3"/>
        <v>131.75</v>
      </c>
      <c r="K65" s="101">
        <f t="shared" si="2"/>
        <v>-44.268000000000029</v>
      </c>
    </row>
    <row r="66" spans="1:11" ht="25.5" x14ac:dyDescent="0.2">
      <c r="A66" s="92">
        <v>45597</v>
      </c>
      <c r="B66" s="93" t="s">
        <v>41</v>
      </c>
      <c r="C66" s="94">
        <v>0.88649999999999995</v>
      </c>
      <c r="D66" s="95" t="s">
        <v>232</v>
      </c>
      <c r="E66" s="96"/>
      <c r="F66" s="96" t="s">
        <v>469</v>
      </c>
      <c r="G66" s="97">
        <v>2635</v>
      </c>
      <c r="H66" s="98">
        <f t="shared" si="0"/>
        <v>299.07250000000022</v>
      </c>
      <c r="I66" s="99">
        <f t="shared" si="1"/>
        <v>16448.98750000001</v>
      </c>
      <c r="J66" s="100">
        <f t="shared" si="3"/>
        <v>131.75</v>
      </c>
      <c r="K66" s="101">
        <f t="shared" si="2"/>
        <v>-167.32250000000022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0"/>
        <v>0</v>
      </c>
      <c r="I67" s="99">
        <f t="shared" si="1"/>
        <v>0</v>
      </c>
      <c r="J67" s="100">
        <f t="shared" si="3"/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0"/>
        <v>0</v>
      </c>
      <c r="I68" s="99">
        <f t="shared" si="1"/>
        <v>0</v>
      </c>
      <c r="J68" s="100">
        <f t="shared" si="3"/>
        <v>0</v>
      </c>
      <c r="K68" s="101">
        <f t="shared" si="2"/>
        <v>0</v>
      </c>
    </row>
    <row r="69" spans="1:11" ht="12.75" x14ac:dyDescent="0.2">
      <c r="A69" s="92">
        <v>45602</v>
      </c>
      <c r="B69" s="93" t="s">
        <v>37</v>
      </c>
      <c r="C69" s="94">
        <v>0.94079999999999997</v>
      </c>
      <c r="D69" s="95" t="s">
        <v>225</v>
      </c>
      <c r="E69" s="96"/>
      <c r="F69" s="96"/>
      <c r="G69" s="97">
        <v>2634</v>
      </c>
      <c r="H69" s="98">
        <f t="shared" si="0"/>
        <v>155.93280000000004</v>
      </c>
      <c r="I69" s="99">
        <f t="shared" si="1"/>
        <v>8576.3040000000019</v>
      </c>
      <c r="J69" s="100">
        <f t="shared" si="3"/>
        <v>131.70000000000027</v>
      </c>
      <c r="K69" s="101">
        <f t="shared" si="2"/>
        <v>-24.23279999999977</v>
      </c>
    </row>
    <row r="70" spans="1:11" ht="12.75" x14ac:dyDescent="0.2">
      <c r="A70" s="92">
        <v>45603</v>
      </c>
      <c r="B70" s="93" t="s">
        <v>39</v>
      </c>
      <c r="C70" s="94">
        <v>0.91459999999999997</v>
      </c>
      <c r="D70" s="102" t="s">
        <v>225</v>
      </c>
      <c r="E70" s="96"/>
      <c r="F70" s="96"/>
      <c r="G70" s="97">
        <v>2635</v>
      </c>
      <c r="H70" s="98">
        <f t="shared" si="0"/>
        <v>225.029</v>
      </c>
      <c r="I70" s="99">
        <f t="shared" si="1"/>
        <v>12376.594999999999</v>
      </c>
      <c r="J70" s="100">
        <f t="shared" si="3"/>
        <v>131.75</v>
      </c>
      <c r="K70" s="101">
        <f t="shared" si="2"/>
        <v>-93.278999999999996</v>
      </c>
    </row>
    <row r="71" spans="1:11" ht="12.75" x14ac:dyDescent="0.2">
      <c r="A71" s="92">
        <v>45604</v>
      </c>
      <c r="B71" s="93" t="s">
        <v>41</v>
      </c>
      <c r="C71" s="94">
        <v>0.91610000000000003</v>
      </c>
      <c r="D71" s="102" t="s">
        <v>225</v>
      </c>
      <c r="E71" s="96"/>
      <c r="F71" s="96"/>
      <c r="G71" s="97">
        <v>2635</v>
      </c>
      <c r="H71" s="98">
        <f t="shared" si="0"/>
        <v>221.07650000000012</v>
      </c>
      <c r="I71" s="99">
        <f t="shared" si="1"/>
        <v>12159.207500000008</v>
      </c>
      <c r="J71" s="100">
        <f t="shared" si="3"/>
        <v>131.75</v>
      </c>
      <c r="K71" s="101">
        <f t="shared" si="2"/>
        <v>-89.326500000000124</v>
      </c>
    </row>
    <row r="72" spans="1:11" ht="12.75" x14ac:dyDescent="0.2">
      <c r="A72" s="92">
        <v>45607</v>
      </c>
      <c r="B72" s="93" t="s">
        <v>33</v>
      </c>
      <c r="C72" s="94">
        <v>0.93020000000000003</v>
      </c>
      <c r="D72" s="102" t="s">
        <v>225</v>
      </c>
      <c r="E72" s="96"/>
      <c r="F72" s="96"/>
      <c r="G72" s="97">
        <v>2635</v>
      </c>
      <c r="H72" s="98">
        <f t="shared" si="0"/>
        <v>183.92299999999977</v>
      </c>
      <c r="I72" s="99">
        <f t="shared" si="1"/>
        <v>10115.764999999989</v>
      </c>
      <c r="J72" s="100">
        <f t="shared" si="3"/>
        <v>131.75</v>
      </c>
      <c r="K72" s="101">
        <f t="shared" si="2"/>
        <v>-52.172999999999774</v>
      </c>
    </row>
    <row r="73" spans="1:11" ht="12.75" x14ac:dyDescent="0.2">
      <c r="A73" s="92">
        <v>45608</v>
      </c>
      <c r="B73" s="93" t="s">
        <v>35</v>
      </c>
      <c r="C73" s="94">
        <v>0.93210000000000004</v>
      </c>
      <c r="D73" s="95" t="s">
        <v>225</v>
      </c>
      <c r="E73" s="96"/>
      <c r="F73" s="96"/>
      <c r="G73" s="97">
        <v>2635</v>
      </c>
      <c r="H73" s="98">
        <f t="shared" si="0"/>
        <v>178.91649999999981</v>
      </c>
      <c r="I73" s="99">
        <f t="shared" si="1"/>
        <v>9840.4074999999903</v>
      </c>
      <c r="J73" s="100">
        <f t="shared" si="3"/>
        <v>131.75</v>
      </c>
      <c r="K73" s="101">
        <f t="shared" si="2"/>
        <v>-47.166499999999814</v>
      </c>
    </row>
    <row r="74" spans="1:11" ht="12.75" x14ac:dyDescent="0.2">
      <c r="A74" s="92">
        <v>45609</v>
      </c>
      <c r="B74" s="93" t="s">
        <v>37</v>
      </c>
      <c r="C74" s="94">
        <v>0.94420000000000004</v>
      </c>
      <c r="D74" s="95" t="s">
        <v>225</v>
      </c>
      <c r="E74" s="96"/>
      <c r="F74" s="96"/>
      <c r="G74" s="97">
        <v>2634</v>
      </c>
      <c r="H74" s="98">
        <f t="shared" si="0"/>
        <v>146.97719999999981</v>
      </c>
      <c r="I74" s="99">
        <f t="shared" si="1"/>
        <v>8083.7459999999901</v>
      </c>
      <c r="J74" s="100">
        <f t="shared" si="3"/>
        <v>131.70000000000027</v>
      </c>
      <c r="K74" s="101">
        <f t="shared" si="2"/>
        <v>-15.277199999999539</v>
      </c>
    </row>
    <row r="75" spans="1:11" ht="12.75" x14ac:dyDescent="0.2">
      <c r="A75" s="92">
        <v>45610</v>
      </c>
      <c r="B75" s="93" t="s">
        <v>39</v>
      </c>
      <c r="C75" s="94">
        <v>0.93700000000000006</v>
      </c>
      <c r="D75" s="95" t="s">
        <v>225</v>
      </c>
      <c r="E75" s="96"/>
      <c r="F75" s="96"/>
      <c r="G75" s="97">
        <v>2634</v>
      </c>
      <c r="H75" s="98">
        <f t="shared" si="0"/>
        <v>165.94200000000001</v>
      </c>
      <c r="I75" s="99">
        <f t="shared" si="1"/>
        <v>9126.8100000000013</v>
      </c>
      <c r="J75" s="100">
        <f t="shared" si="3"/>
        <v>131.70000000000027</v>
      </c>
      <c r="K75" s="101">
        <f t="shared" si="2"/>
        <v>-34.241999999999734</v>
      </c>
    </row>
    <row r="76" spans="1:11" ht="12.75" x14ac:dyDescent="0.2">
      <c r="A76" s="92">
        <v>45611</v>
      </c>
      <c r="B76" s="93" t="s">
        <v>41</v>
      </c>
      <c r="C76" s="94">
        <v>0.92069999999999996</v>
      </c>
      <c r="D76" s="95" t="s">
        <v>225</v>
      </c>
      <c r="E76" s="96"/>
      <c r="F76" s="96"/>
      <c r="G76" s="97">
        <v>2634</v>
      </c>
      <c r="H76" s="98">
        <f t="shared" si="0"/>
        <v>208.87620000000015</v>
      </c>
      <c r="I76" s="99">
        <f t="shared" si="1"/>
        <v>11488.191000000008</v>
      </c>
      <c r="J76" s="100">
        <f t="shared" si="3"/>
        <v>131.70000000000027</v>
      </c>
      <c r="K76" s="101">
        <f t="shared" si="2"/>
        <v>-77.176199999999881</v>
      </c>
    </row>
    <row r="77" spans="1:11" ht="12.75" x14ac:dyDescent="0.2">
      <c r="A77" s="92">
        <v>45614</v>
      </c>
      <c r="B77" s="93" t="s">
        <v>33</v>
      </c>
      <c r="C77" s="94">
        <v>0.91649999999999998</v>
      </c>
      <c r="D77" s="95" t="s">
        <v>225</v>
      </c>
      <c r="E77" s="96"/>
      <c r="F77" s="96"/>
      <c r="G77" s="97">
        <v>2635</v>
      </c>
      <c r="H77" s="98">
        <f t="shared" si="0"/>
        <v>220.02250000000004</v>
      </c>
      <c r="I77" s="99">
        <f t="shared" si="1"/>
        <v>12101.237500000003</v>
      </c>
      <c r="J77" s="100">
        <f t="shared" si="3"/>
        <v>131.75</v>
      </c>
      <c r="K77" s="101">
        <f t="shared" si="2"/>
        <v>-88.272500000000036</v>
      </c>
    </row>
    <row r="78" spans="1:11" ht="12.75" x14ac:dyDescent="0.2">
      <c r="A78" s="92">
        <v>45615</v>
      </c>
      <c r="B78" s="93" t="s">
        <v>35</v>
      </c>
      <c r="C78" s="94">
        <v>0.92410000000000003</v>
      </c>
      <c r="D78" s="95" t="s">
        <v>225</v>
      </c>
      <c r="E78" s="96"/>
      <c r="F78" s="96"/>
      <c r="G78" s="97">
        <v>2636</v>
      </c>
      <c r="H78" s="98">
        <f t="shared" si="0"/>
        <v>200.07240000000002</v>
      </c>
      <c r="I78" s="99">
        <f t="shared" si="1"/>
        <v>11003.982</v>
      </c>
      <c r="J78" s="100">
        <f t="shared" si="3"/>
        <v>131.80000000000018</v>
      </c>
      <c r="K78" s="101">
        <f t="shared" si="2"/>
        <v>-68.272399999999834</v>
      </c>
    </row>
    <row r="79" spans="1:11" ht="12.75" x14ac:dyDescent="0.2">
      <c r="A79" s="92">
        <v>45616</v>
      </c>
      <c r="B79" s="93" t="s">
        <v>37</v>
      </c>
      <c r="C79" s="94">
        <v>0.93169999999999997</v>
      </c>
      <c r="D79" s="95" t="s">
        <v>225</v>
      </c>
      <c r="E79" s="96"/>
      <c r="F79" s="96"/>
      <c r="G79" s="97">
        <v>2636</v>
      </c>
      <c r="H79" s="98">
        <f t="shared" si="0"/>
        <v>180.03880000000026</v>
      </c>
      <c r="I79" s="99">
        <f t="shared" si="1"/>
        <v>9902.1340000000146</v>
      </c>
      <c r="J79" s="100">
        <f t="shared" si="3"/>
        <v>131.80000000000018</v>
      </c>
      <c r="K79" s="101">
        <f t="shared" si="2"/>
        <v>-48.238800000000083</v>
      </c>
    </row>
    <row r="80" spans="1:11" ht="12.75" x14ac:dyDescent="0.2">
      <c r="A80" s="92">
        <v>45617</v>
      </c>
      <c r="B80" s="93" t="s">
        <v>39</v>
      </c>
      <c r="C80" s="94">
        <v>0.92110000000000003</v>
      </c>
      <c r="D80" s="95" t="s">
        <v>225</v>
      </c>
      <c r="E80" s="96"/>
      <c r="F80" s="96"/>
      <c r="G80" s="97">
        <v>2636</v>
      </c>
      <c r="H80" s="98">
        <f t="shared" si="0"/>
        <v>207.98039999999992</v>
      </c>
      <c r="I80" s="99">
        <f t="shared" si="1"/>
        <v>11438.921999999995</v>
      </c>
      <c r="J80" s="100">
        <f t="shared" si="3"/>
        <v>131.80000000000018</v>
      </c>
      <c r="K80" s="101">
        <f t="shared" si="2"/>
        <v>-76.180399999999736</v>
      </c>
    </row>
    <row r="81" spans="1:11" ht="38.25" x14ac:dyDescent="0.2">
      <c r="A81" s="92">
        <v>45618</v>
      </c>
      <c r="B81" s="93" t="s">
        <v>41</v>
      </c>
      <c r="C81" s="94">
        <v>0.88690000000000002</v>
      </c>
      <c r="D81" s="95" t="s">
        <v>232</v>
      </c>
      <c r="E81" s="96"/>
      <c r="F81" s="96" t="s">
        <v>470</v>
      </c>
      <c r="G81" s="97">
        <v>2636</v>
      </c>
      <c r="H81" s="98">
        <f t="shared" si="0"/>
        <v>298.13160000000016</v>
      </c>
      <c r="I81" s="99">
        <f t="shared" si="1"/>
        <v>16397.238000000008</v>
      </c>
      <c r="J81" s="100">
        <f t="shared" si="3"/>
        <v>131.80000000000018</v>
      </c>
      <c r="K81" s="101">
        <f t="shared" si="2"/>
        <v>-166.33159999999998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0"/>
        <v>0</v>
      </c>
      <c r="I82" s="99">
        <f t="shared" si="1"/>
        <v>0</v>
      </c>
      <c r="J82" s="100">
        <f t="shared" si="3"/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0"/>
        <v>0</v>
      </c>
      <c r="I83" s="99">
        <f t="shared" si="1"/>
        <v>0</v>
      </c>
      <c r="J83" s="100">
        <f t="shared" si="3"/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0"/>
        <v>0</v>
      </c>
      <c r="I84" s="99">
        <f t="shared" si="1"/>
        <v>0</v>
      </c>
      <c r="J84" s="100">
        <f t="shared" si="3"/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0"/>
        <v>0</v>
      </c>
      <c r="I85" s="99">
        <f t="shared" si="1"/>
        <v>0</v>
      </c>
      <c r="J85" s="100">
        <f t="shared" si="3"/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0"/>
        <v>0</v>
      </c>
      <c r="I86" s="99">
        <f t="shared" si="1"/>
        <v>0</v>
      </c>
      <c r="J86" s="100">
        <f t="shared" si="3"/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0.91220000000000001</v>
      </c>
      <c r="D87" s="95" t="s">
        <v>225</v>
      </c>
      <c r="E87" s="96"/>
      <c r="F87" s="96"/>
      <c r="G87" s="97">
        <v>2631</v>
      </c>
      <c r="H87" s="98">
        <f t="shared" si="0"/>
        <v>231.0018</v>
      </c>
      <c r="I87" s="99">
        <f t="shared" si="1"/>
        <v>12705.099</v>
      </c>
      <c r="J87" s="100">
        <f t="shared" si="3"/>
        <v>131.55000000000018</v>
      </c>
      <c r="K87" s="101">
        <f t="shared" si="2"/>
        <v>-99.451799999999821</v>
      </c>
    </row>
    <row r="88" spans="1:11" ht="12.75" x14ac:dyDescent="0.2">
      <c r="A88" s="92">
        <v>45629</v>
      </c>
      <c r="B88" s="93" t="s">
        <v>35</v>
      </c>
      <c r="C88" s="94">
        <v>0.93879999999999997</v>
      </c>
      <c r="D88" s="95" t="s">
        <v>225</v>
      </c>
      <c r="E88" s="96"/>
      <c r="F88" s="96"/>
      <c r="G88" s="97">
        <v>2631</v>
      </c>
      <c r="H88" s="98">
        <f t="shared" si="0"/>
        <v>161.01720000000023</v>
      </c>
      <c r="I88" s="99">
        <f t="shared" si="1"/>
        <v>8855.9460000000126</v>
      </c>
      <c r="J88" s="100">
        <f t="shared" si="3"/>
        <v>131.55000000000018</v>
      </c>
      <c r="K88" s="101">
        <f t="shared" si="2"/>
        <v>-29.467200000000048</v>
      </c>
    </row>
    <row r="89" spans="1:11" ht="12.75" x14ac:dyDescent="0.2">
      <c r="A89" s="92">
        <v>45630</v>
      </c>
      <c r="B89" s="93" t="s">
        <v>37</v>
      </c>
      <c r="C89" s="94">
        <v>0.9365</v>
      </c>
      <c r="D89" s="95" t="s">
        <v>225</v>
      </c>
      <c r="E89" s="96"/>
      <c r="F89" s="96"/>
      <c r="G89" s="97">
        <v>2629</v>
      </c>
      <c r="H89" s="98">
        <f t="shared" si="0"/>
        <v>166.94149999999991</v>
      </c>
      <c r="I89" s="99">
        <f t="shared" si="1"/>
        <v>9181.7824999999939</v>
      </c>
      <c r="J89" s="100">
        <f t="shared" si="3"/>
        <v>131.45000000000027</v>
      </c>
      <c r="K89" s="101">
        <f t="shared" si="2"/>
        <v>-35.491499999999633</v>
      </c>
    </row>
    <row r="90" spans="1:11" ht="12.75" x14ac:dyDescent="0.2">
      <c r="A90" s="92">
        <v>45631</v>
      </c>
      <c r="B90" s="93" t="s">
        <v>39</v>
      </c>
      <c r="C90" s="94">
        <v>0.94030000000000002</v>
      </c>
      <c r="D90" s="95" t="s">
        <v>225</v>
      </c>
      <c r="E90" s="96"/>
      <c r="F90" s="96"/>
      <c r="G90" s="97">
        <v>2628</v>
      </c>
      <c r="H90" s="98">
        <f t="shared" si="0"/>
        <v>156.89159999999993</v>
      </c>
      <c r="I90" s="99">
        <f t="shared" si="1"/>
        <v>8629.0379999999968</v>
      </c>
      <c r="J90" s="100">
        <f t="shared" si="3"/>
        <v>131.40000000000009</v>
      </c>
      <c r="K90" s="101">
        <f t="shared" si="2"/>
        <v>-25.491599999999835</v>
      </c>
    </row>
    <row r="91" spans="1:11" ht="12.75" x14ac:dyDescent="0.2">
      <c r="A91" s="92">
        <v>45632</v>
      </c>
      <c r="B91" s="93" t="s">
        <v>41</v>
      </c>
      <c r="C91" s="94">
        <v>0.92759999999999998</v>
      </c>
      <c r="D91" s="95" t="s">
        <v>225</v>
      </c>
      <c r="E91" s="96"/>
      <c r="F91" s="96"/>
      <c r="G91" s="97">
        <v>2626</v>
      </c>
      <c r="H91" s="98">
        <f t="shared" si="0"/>
        <v>190.1224000000002</v>
      </c>
      <c r="I91" s="99">
        <f t="shared" si="1"/>
        <v>10456.732000000011</v>
      </c>
      <c r="J91" s="100">
        <f t="shared" si="3"/>
        <v>131.30000000000018</v>
      </c>
      <c r="K91" s="101">
        <f t="shared" si="2"/>
        <v>-58.822400000000016</v>
      </c>
    </row>
    <row r="92" spans="1:11" ht="12.75" x14ac:dyDescent="0.2">
      <c r="A92" s="92">
        <v>45635</v>
      </c>
      <c r="B92" s="93" t="s">
        <v>33</v>
      </c>
      <c r="C92" s="94">
        <v>0.92610000000000003</v>
      </c>
      <c r="D92" s="95" t="s">
        <v>225</v>
      </c>
      <c r="E92" s="96"/>
      <c r="F92" s="96"/>
      <c r="G92" s="97">
        <v>2626</v>
      </c>
      <c r="H92" s="98">
        <f t="shared" si="0"/>
        <v>194.06140000000005</v>
      </c>
      <c r="I92" s="99">
        <f t="shared" si="1"/>
        <v>10673.377000000002</v>
      </c>
      <c r="J92" s="100">
        <f t="shared" si="3"/>
        <v>131.30000000000018</v>
      </c>
      <c r="K92" s="101">
        <f t="shared" si="2"/>
        <v>-62.761399999999867</v>
      </c>
    </row>
    <row r="93" spans="1:11" ht="12.75" x14ac:dyDescent="0.2">
      <c r="A93" s="92">
        <v>45636</v>
      </c>
      <c r="B93" s="93" t="s">
        <v>35</v>
      </c>
      <c r="C93" s="94">
        <v>0.93679999999999997</v>
      </c>
      <c r="D93" s="95" t="s">
        <v>225</v>
      </c>
      <c r="E93" s="96"/>
      <c r="F93" s="96"/>
      <c r="G93" s="97">
        <v>2628</v>
      </c>
      <c r="H93" s="98">
        <f t="shared" si="0"/>
        <v>166.08960000000025</v>
      </c>
      <c r="I93" s="99">
        <f t="shared" si="1"/>
        <v>9134.9280000000144</v>
      </c>
      <c r="J93" s="100">
        <f t="shared" si="3"/>
        <v>131.40000000000009</v>
      </c>
      <c r="K93" s="101">
        <f t="shared" si="2"/>
        <v>-34.689600000000155</v>
      </c>
    </row>
    <row r="94" spans="1:11" ht="12.75" x14ac:dyDescent="0.2">
      <c r="A94" s="92">
        <v>45637</v>
      </c>
      <c r="B94" s="93" t="s">
        <v>37</v>
      </c>
      <c r="C94" s="94">
        <v>0.93159999999999998</v>
      </c>
      <c r="D94" s="95" t="s">
        <v>225</v>
      </c>
      <c r="E94" s="96"/>
      <c r="F94" s="96"/>
      <c r="G94" s="97">
        <v>2631</v>
      </c>
      <c r="H94" s="98">
        <f t="shared" si="0"/>
        <v>179.96039999999994</v>
      </c>
      <c r="I94" s="99">
        <f t="shared" si="1"/>
        <v>9897.8219999999965</v>
      </c>
      <c r="J94" s="100">
        <f t="shared" si="3"/>
        <v>131.55000000000018</v>
      </c>
      <c r="K94" s="101">
        <f t="shared" si="2"/>
        <v>-48.410399999999754</v>
      </c>
    </row>
    <row r="95" spans="1:11" ht="12.75" x14ac:dyDescent="0.2">
      <c r="A95" s="92">
        <v>45638</v>
      </c>
      <c r="B95" s="93" t="s">
        <v>39</v>
      </c>
      <c r="C95" s="94">
        <v>0.93389999999999995</v>
      </c>
      <c r="D95" s="95" t="s">
        <v>225</v>
      </c>
      <c r="E95" s="96"/>
      <c r="F95" s="96"/>
      <c r="G95" s="97">
        <v>2631</v>
      </c>
      <c r="H95" s="98">
        <f t="shared" si="0"/>
        <v>173.90910000000031</v>
      </c>
      <c r="I95" s="99">
        <f t="shared" si="1"/>
        <v>9565.0005000000165</v>
      </c>
      <c r="J95" s="100">
        <f t="shared" si="3"/>
        <v>131.55000000000018</v>
      </c>
      <c r="K95" s="101">
        <f t="shared" si="2"/>
        <v>-42.359100000000126</v>
      </c>
    </row>
    <row r="96" spans="1:11" ht="12.75" x14ac:dyDescent="0.2">
      <c r="A96" s="92">
        <v>45639</v>
      </c>
      <c r="B96" s="93" t="s">
        <v>41</v>
      </c>
      <c r="C96" s="94">
        <v>0.91900000000000004</v>
      </c>
      <c r="D96" s="95" t="s">
        <v>225</v>
      </c>
      <c r="E96" s="96"/>
      <c r="F96" s="96"/>
      <c r="G96" s="97">
        <v>2631</v>
      </c>
      <c r="H96" s="98">
        <f t="shared" si="0"/>
        <v>213.11099999999988</v>
      </c>
      <c r="I96" s="99">
        <f t="shared" si="1"/>
        <v>11721.104999999992</v>
      </c>
      <c r="J96" s="100">
        <f t="shared" si="3"/>
        <v>131.55000000000018</v>
      </c>
      <c r="K96" s="101">
        <f t="shared" si="2"/>
        <v>-81.560999999999694</v>
      </c>
    </row>
    <row r="97" spans="1:11" ht="12.75" x14ac:dyDescent="0.2">
      <c r="A97" s="92">
        <v>45642</v>
      </c>
      <c r="B97" s="93" t="s">
        <v>33</v>
      </c>
      <c r="C97" s="94">
        <v>0.92169999999999996</v>
      </c>
      <c r="D97" s="95" t="s">
        <v>225</v>
      </c>
      <c r="E97" s="96"/>
      <c r="F97" s="96"/>
      <c r="G97" s="97">
        <v>2632</v>
      </c>
      <c r="H97" s="98">
        <f t="shared" si="0"/>
        <v>206.08559999999989</v>
      </c>
      <c r="I97" s="99">
        <f t="shared" si="1"/>
        <v>11334.707999999993</v>
      </c>
      <c r="J97" s="100">
        <f t="shared" si="3"/>
        <v>131.59999999999991</v>
      </c>
      <c r="K97" s="101">
        <f t="shared" si="2"/>
        <v>-74.485599999999977</v>
      </c>
    </row>
    <row r="98" spans="1:11" ht="12.75" x14ac:dyDescent="0.2">
      <c r="A98" s="92">
        <v>45643</v>
      </c>
      <c r="B98" s="93" t="s">
        <v>35</v>
      </c>
      <c r="C98" s="94">
        <v>0.96730000000000005</v>
      </c>
      <c r="D98" s="95" t="s">
        <v>225</v>
      </c>
      <c r="E98" s="96"/>
      <c r="F98" s="96"/>
      <c r="G98" s="97">
        <v>2630</v>
      </c>
      <c r="H98" s="98">
        <f t="shared" si="0"/>
        <v>86.000999999999749</v>
      </c>
      <c r="I98" s="99">
        <f t="shared" si="1"/>
        <v>4730.0549999999857</v>
      </c>
      <c r="J98" s="100">
        <f t="shared" si="3"/>
        <v>131.5</v>
      </c>
      <c r="K98" s="101">
        <f t="shared" si="2"/>
        <v>45.499000000000251</v>
      </c>
    </row>
    <row r="99" spans="1:11" ht="12.75" x14ac:dyDescent="0.2">
      <c r="A99" s="92">
        <v>45644</v>
      </c>
      <c r="B99" s="93" t="s">
        <v>37</v>
      </c>
      <c r="C99" s="94">
        <v>0.95860000000000001</v>
      </c>
      <c r="D99" s="95" t="s">
        <v>225</v>
      </c>
      <c r="E99" s="96"/>
      <c r="F99" s="96"/>
      <c r="G99" s="97">
        <v>2630</v>
      </c>
      <c r="H99" s="98">
        <f t="shared" si="0"/>
        <v>108.88200000000006</v>
      </c>
      <c r="I99" s="99">
        <f t="shared" si="1"/>
        <v>5988.5100000000039</v>
      </c>
      <c r="J99" s="100">
        <f t="shared" si="3"/>
        <v>131.5</v>
      </c>
      <c r="K99" s="101">
        <f t="shared" si="2"/>
        <v>22.617999999999938</v>
      </c>
    </row>
    <row r="100" spans="1:11" ht="12.75" x14ac:dyDescent="0.2">
      <c r="A100" s="92">
        <v>45645</v>
      </c>
      <c r="B100" s="93" t="s">
        <v>39</v>
      </c>
      <c r="C100" s="94">
        <v>0.95709999999999995</v>
      </c>
      <c r="D100" s="95" t="s">
        <v>225</v>
      </c>
      <c r="E100" s="96"/>
      <c r="F100" s="96"/>
      <c r="G100" s="97">
        <v>2631</v>
      </c>
      <c r="H100" s="98">
        <f t="shared" si="0"/>
        <v>112.86990000000014</v>
      </c>
      <c r="I100" s="99">
        <f t="shared" si="1"/>
        <v>6207.8445000000083</v>
      </c>
      <c r="J100" s="100">
        <f t="shared" si="3"/>
        <v>131.55000000000018</v>
      </c>
      <c r="K100" s="101">
        <f t="shared" si="2"/>
        <v>18.680100000000039</v>
      </c>
    </row>
    <row r="101" spans="1:11" ht="12.75" x14ac:dyDescent="0.2">
      <c r="A101" s="92">
        <v>45646</v>
      </c>
      <c r="B101" s="93" t="s">
        <v>41</v>
      </c>
      <c r="C101" s="94">
        <v>0.92969999999999997</v>
      </c>
      <c r="D101" s="95" t="s">
        <v>225</v>
      </c>
      <c r="E101" s="96"/>
      <c r="F101" s="96"/>
      <c r="G101" s="97">
        <v>2631</v>
      </c>
      <c r="H101" s="98">
        <f t="shared" si="0"/>
        <v>184.95929999999998</v>
      </c>
      <c r="I101" s="99">
        <f t="shared" si="1"/>
        <v>10172.761499999999</v>
      </c>
      <c r="J101" s="100">
        <f t="shared" si="3"/>
        <v>131.55000000000018</v>
      </c>
      <c r="K101" s="101">
        <f t="shared" si="2"/>
        <v>-53.409299999999803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0"/>
        <v>0</v>
      </c>
      <c r="I102" s="99">
        <f t="shared" si="1"/>
        <v>0</v>
      </c>
      <c r="J102" s="100">
        <f t="shared" si="3"/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0"/>
        <v>0</v>
      </c>
      <c r="I103" s="99">
        <f t="shared" si="1"/>
        <v>0</v>
      </c>
      <c r="J103" s="100">
        <f t="shared" si="3"/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0"/>
        <v>0</v>
      </c>
      <c r="I104" s="99">
        <f t="shared" si="1"/>
        <v>0</v>
      </c>
      <c r="J104" s="100">
        <f t="shared" si="3"/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0"/>
        <v>0</v>
      </c>
      <c r="I105" s="99">
        <f t="shared" si="1"/>
        <v>0</v>
      </c>
      <c r="J105" s="100">
        <f t="shared" si="3"/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0"/>
        <v>0</v>
      </c>
      <c r="I106" s="99">
        <f t="shared" si="1"/>
        <v>0</v>
      </c>
      <c r="J106" s="100">
        <f t="shared" si="3"/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0"/>
        <v>0</v>
      </c>
      <c r="I107" s="99">
        <f t="shared" si="1"/>
        <v>0</v>
      </c>
      <c r="J107" s="100">
        <f t="shared" si="3"/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0"/>
        <v>0</v>
      </c>
      <c r="I108" s="99">
        <f t="shared" si="1"/>
        <v>0</v>
      </c>
      <c r="J108" s="100">
        <f t="shared" si="3"/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0"/>
        <v>0</v>
      </c>
      <c r="I109" s="99">
        <f t="shared" si="1"/>
        <v>0</v>
      </c>
      <c r="J109" s="100">
        <f t="shared" si="3"/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0"/>
        <v>0</v>
      </c>
      <c r="I110" s="99">
        <f t="shared" si="1"/>
        <v>0</v>
      </c>
      <c r="J110" s="100">
        <f t="shared" si="3"/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0"/>
        <v>0</v>
      </c>
      <c r="I111" s="99">
        <f t="shared" si="1"/>
        <v>0</v>
      </c>
      <c r="J111" s="100">
        <f t="shared" si="3"/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0"/>
        <v>0</v>
      </c>
      <c r="I112" s="99">
        <f t="shared" si="1"/>
        <v>0</v>
      </c>
      <c r="J112" s="100">
        <f t="shared" si="3"/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0"/>
        <v>0</v>
      </c>
      <c r="I113" s="99">
        <f t="shared" si="1"/>
        <v>0</v>
      </c>
      <c r="J113" s="100">
        <f t="shared" si="3"/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0.91700000000000004</v>
      </c>
      <c r="D114" s="95" t="s">
        <v>225</v>
      </c>
      <c r="E114" s="96" t="s">
        <v>233</v>
      </c>
      <c r="F114" s="96"/>
      <c r="G114" s="97">
        <v>2610</v>
      </c>
      <c r="H114" s="98">
        <f t="shared" si="0"/>
        <v>216.63000000000011</v>
      </c>
      <c r="I114" s="99">
        <f t="shared" si="1"/>
        <v>11914.650000000005</v>
      </c>
      <c r="J114" s="100">
        <f t="shared" si="3"/>
        <v>130.5</v>
      </c>
      <c r="K114" s="101">
        <f t="shared" si="2"/>
        <v>-86.130000000000109</v>
      </c>
    </row>
    <row r="115" spans="1:11" ht="12.75" x14ac:dyDescent="0.2">
      <c r="A115" s="92">
        <v>45666</v>
      </c>
      <c r="B115" s="93" t="s">
        <v>39</v>
      </c>
      <c r="C115" s="94">
        <v>0.90080000000000005</v>
      </c>
      <c r="D115" s="95" t="s">
        <v>225</v>
      </c>
      <c r="E115" s="96" t="s">
        <v>246</v>
      </c>
      <c r="F115" s="96"/>
      <c r="G115" s="97">
        <v>2610</v>
      </c>
      <c r="H115" s="98">
        <f t="shared" si="0"/>
        <v>258.91199999999981</v>
      </c>
      <c r="I115" s="99">
        <f t="shared" si="1"/>
        <v>14240.159999999989</v>
      </c>
      <c r="J115" s="100">
        <f t="shared" si="3"/>
        <v>130.5</v>
      </c>
      <c r="K115" s="101">
        <f t="shared" si="2"/>
        <v>-128.41199999999981</v>
      </c>
    </row>
    <row r="116" spans="1:11" ht="12.75" x14ac:dyDescent="0.2">
      <c r="A116" s="92">
        <v>45667</v>
      </c>
      <c r="B116" s="93" t="s">
        <v>41</v>
      </c>
      <c r="C116" s="94">
        <v>0.88500000000000001</v>
      </c>
      <c r="D116" s="95" t="s">
        <v>232</v>
      </c>
      <c r="E116" s="96" t="s">
        <v>246</v>
      </c>
      <c r="F116" s="96"/>
      <c r="G116" s="97">
        <v>26.09</v>
      </c>
      <c r="H116" s="98">
        <f t="shared" si="0"/>
        <v>3.000350000000001</v>
      </c>
      <c r="I116" s="99">
        <f t="shared" si="1"/>
        <v>165.01925000000006</v>
      </c>
      <c r="J116" s="100">
        <f t="shared" si="3"/>
        <v>1.3045000000000009</v>
      </c>
      <c r="K116" s="101">
        <f t="shared" si="2"/>
        <v>-1.6958500000000001</v>
      </c>
    </row>
    <row r="117" spans="1:11" ht="12.75" x14ac:dyDescent="0.2">
      <c r="A117" s="92">
        <v>45670</v>
      </c>
      <c r="B117" s="93" t="s">
        <v>33</v>
      </c>
      <c r="C117" s="94">
        <v>0.93049999999999999</v>
      </c>
      <c r="D117" s="95" t="s">
        <v>225</v>
      </c>
      <c r="E117" s="96"/>
      <c r="F117" s="96"/>
      <c r="G117" s="97">
        <v>2603</v>
      </c>
      <c r="H117" s="98">
        <f t="shared" si="0"/>
        <v>180.9085</v>
      </c>
      <c r="I117" s="99">
        <f t="shared" si="1"/>
        <v>9949.9675000000007</v>
      </c>
      <c r="J117" s="100">
        <f t="shared" si="3"/>
        <v>130.15000000000009</v>
      </c>
      <c r="K117" s="101">
        <f t="shared" si="2"/>
        <v>-50.758499999999913</v>
      </c>
    </row>
    <row r="118" spans="1:11" ht="12.75" x14ac:dyDescent="0.2">
      <c r="A118" s="92">
        <v>45671</v>
      </c>
      <c r="B118" s="93" t="s">
        <v>35</v>
      </c>
      <c r="C118" s="94">
        <v>0.94010000000000005</v>
      </c>
      <c r="D118" s="95" t="s">
        <v>225</v>
      </c>
      <c r="E118" s="96"/>
      <c r="F118" s="96"/>
      <c r="G118" s="97">
        <v>2603</v>
      </c>
      <c r="H118" s="98">
        <f t="shared" si="0"/>
        <v>155.91969999999992</v>
      </c>
      <c r="I118" s="99">
        <f t="shared" si="1"/>
        <v>8575.5834999999952</v>
      </c>
      <c r="J118" s="100">
        <f t="shared" si="3"/>
        <v>130.15000000000009</v>
      </c>
      <c r="K118" s="101">
        <f t="shared" si="2"/>
        <v>-25.76969999999983</v>
      </c>
    </row>
    <row r="119" spans="1:11" ht="12.75" x14ac:dyDescent="0.2">
      <c r="A119" s="92">
        <v>45672</v>
      </c>
      <c r="B119" s="93" t="s">
        <v>37</v>
      </c>
      <c r="C119" s="94">
        <v>0.93859999999999999</v>
      </c>
      <c r="D119" s="95" t="s">
        <v>225</v>
      </c>
      <c r="E119" s="96"/>
      <c r="F119" s="96"/>
      <c r="G119" s="97">
        <v>2607</v>
      </c>
      <c r="H119" s="98">
        <f t="shared" si="0"/>
        <v>160.06980000000021</v>
      </c>
      <c r="I119" s="99">
        <f t="shared" si="1"/>
        <v>8803.8390000000109</v>
      </c>
      <c r="J119" s="100">
        <f t="shared" si="3"/>
        <v>130.34999999999991</v>
      </c>
      <c r="K119" s="101">
        <f t="shared" si="2"/>
        <v>-29.719800000000305</v>
      </c>
    </row>
    <row r="120" spans="1:11" ht="12.75" x14ac:dyDescent="0.2">
      <c r="A120" s="92">
        <v>45673</v>
      </c>
      <c r="B120" s="93" t="s">
        <v>39</v>
      </c>
      <c r="C120" s="94">
        <v>0.93510000000000004</v>
      </c>
      <c r="D120" s="95" t="s">
        <v>225</v>
      </c>
      <c r="E120" s="96"/>
      <c r="F120" s="96"/>
      <c r="G120" s="97">
        <v>2605</v>
      </c>
      <c r="H120" s="98">
        <f t="shared" si="0"/>
        <v>169.06449999999995</v>
      </c>
      <c r="I120" s="99">
        <f t="shared" si="1"/>
        <v>9298.5474999999969</v>
      </c>
      <c r="J120" s="100">
        <f t="shared" si="3"/>
        <v>130.25</v>
      </c>
      <c r="K120" s="101">
        <f t="shared" si="2"/>
        <v>-38.814499999999953</v>
      </c>
    </row>
    <row r="121" spans="1:11" ht="12.75" x14ac:dyDescent="0.2">
      <c r="A121" s="92">
        <v>45674</v>
      </c>
      <c r="B121" s="93" t="s">
        <v>41</v>
      </c>
      <c r="C121" s="94">
        <v>0.9163</v>
      </c>
      <c r="D121" s="95" t="s">
        <v>225</v>
      </c>
      <c r="E121" s="96"/>
      <c r="F121" s="96"/>
      <c r="G121" s="97">
        <v>2603</v>
      </c>
      <c r="H121" s="98">
        <f t="shared" si="0"/>
        <v>217.87109999999984</v>
      </c>
      <c r="I121" s="99">
        <f t="shared" si="1"/>
        <v>11982.910499999991</v>
      </c>
      <c r="J121" s="100">
        <f t="shared" si="3"/>
        <v>130.15000000000009</v>
      </c>
      <c r="K121" s="101">
        <f t="shared" si="2"/>
        <v>-87.721099999999751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0"/>
        <v>0</v>
      </c>
      <c r="I122" s="99">
        <f t="shared" si="1"/>
        <v>0</v>
      </c>
      <c r="J122" s="100">
        <f t="shared" si="3"/>
        <v>0</v>
      </c>
      <c r="K122" s="101">
        <f t="shared" si="2"/>
        <v>0</v>
      </c>
    </row>
    <row r="123" spans="1:11" ht="12.75" x14ac:dyDescent="0.2">
      <c r="A123" s="92">
        <v>45678</v>
      </c>
      <c r="B123" s="93" t="s">
        <v>35</v>
      </c>
      <c r="C123" s="94"/>
      <c r="D123" s="95"/>
      <c r="E123" s="96"/>
      <c r="F123" s="96" t="s">
        <v>471</v>
      </c>
      <c r="H123" s="98">
        <f t="shared" si="0"/>
        <v>0</v>
      </c>
      <c r="I123" s="99">
        <f t="shared" si="1"/>
        <v>0</v>
      </c>
      <c r="J123" s="100">
        <f t="shared" si="3"/>
        <v>0</v>
      </c>
      <c r="K123" s="101">
        <f t="shared" si="2"/>
        <v>0</v>
      </c>
    </row>
    <row r="124" spans="1:11" ht="12.75" x14ac:dyDescent="0.2">
      <c r="A124" s="92">
        <v>45679</v>
      </c>
      <c r="B124" s="93" t="s">
        <v>37</v>
      </c>
      <c r="C124" s="94"/>
      <c r="D124" s="95"/>
      <c r="E124" s="96"/>
      <c r="F124" s="96" t="s">
        <v>471</v>
      </c>
      <c r="H124" s="98">
        <f t="shared" si="0"/>
        <v>0</v>
      </c>
      <c r="I124" s="99">
        <f t="shared" si="1"/>
        <v>0</v>
      </c>
      <c r="J124" s="100">
        <f t="shared" si="3"/>
        <v>0</v>
      </c>
      <c r="K124" s="101">
        <f t="shared" si="2"/>
        <v>0</v>
      </c>
    </row>
    <row r="125" spans="1:11" ht="12.75" x14ac:dyDescent="0.2">
      <c r="A125" s="92">
        <v>45680</v>
      </c>
      <c r="B125" s="93" t="s">
        <v>39</v>
      </c>
      <c r="C125" s="94">
        <v>0.86509999999999998</v>
      </c>
      <c r="D125" s="95" t="s">
        <v>232</v>
      </c>
      <c r="E125" s="96"/>
      <c r="F125" s="96" t="s">
        <v>472</v>
      </c>
      <c r="G125" s="97">
        <v>2601</v>
      </c>
      <c r="H125" s="98">
        <f t="shared" si="0"/>
        <v>350.87490000000025</v>
      </c>
      <c r="I125" s="99">
        <f t="shared" si="1"/>
        <v>19298.119500000015</v>
      </c>
      <c r="J125" s="100">
        <f t="shared" si="3"/>
        <v>130.05000000000018</v>
      </c>
      <c r="K125" s="101">
        <f t="shared" si="2"/>
        <v>-220.82490000000007</v>
      </c>
    </row>
    <row r="126" spans="1:11" ht="12.75" x14ac:dyDescent="0.2">
      <c r="A126" s="92">
        <v>45681</v>
      </c>
      <c r="B126" s="93" t="s">
        <v>41</v>
      </c>
      <c r="C126" s="94">
        <v>0.90739999999999998</v>
      </c>
      <c r="D126" s="95" t="s">
        <v>225</v>
      </c>
      <c r="E126" s="96"/>
      <c r="F126" s="96"/>
      <c r="G126" s="97">
        <v>2602</v>
      </c>
      <c r="H126" s="98">
        <f t="shared" si="0"/>
        <v>240.94520000000011</v>
      </c>
      <c r="I126" s="99">
        <f t="shared" si="1"/>
        <v>13251.986000000006</v>
      </c>
      <c r="J126" s="100">
        <f t="shared" si="3"/>
        <v>130.09999999999991</v>
      </c>
      <c r="K126" s="101">
        <f t="shared" si="2"/>
        <v>-110.8452000000002</v>
      </c>
    </row>
    <row r="127" spans="1:11" ht="12.75" x14ac:dyDescent="0.2">
      <c r="A127" s="92">
        <v>45684</v>
      </c>
      <c r="B127" s="93" t="s">
        <v>33</v>
      </c>
      <c r="C127" s="94">
        <v>0.92269999999999996</v>
      </c>
      <c r="D127" s="95" t="s">
        <v>225</v>
      </c>
      <c r="E127" s="96"/>
      <c r="F127" s="96"/>
      <c r="G127" s="97">
        <v>2601</v>
      </c>
      <c r="H127" s="98">
        <f t="shared" si="0"/>
        <v>201.05729999999994</v>
      </c>
      <c r="I127" s="99">
        <f t="shared" si="1"/>
        <v>11058.151499999996</v>
      </c>
      <c r="J127" s="100">
        <f t="shared" si="3"/>
        <v>130.05000000000018</v>
      </c>
      <c r="K127" s="101">
        <f t="shared" si="2"/>
        <v>-71.007299999999759</v>
      </c>
    </row>
    <row r="128" spans="1:11" ht="12.75" x14ac:dyDescent="0.2">
      <c r="A128" s="92">
        <v>45685</v>
      </c>
      <c r="B128" s="93" t="s">
        <v>35</v>
      </c>
      <c r="C128" s="94">
        <v>0.93230000000000002</v>
      </c>
      <c r="D128" s="95" t="s">
        <v>225</v>
      </c>
      <c r="E128" s="96"/>
      <c r="F128" s="96"/>
      <c r="G128" s="97">
        <v>2601</v>
      </c>
      <c r="H128" s="98">
        <f t="shared" si="0"/>
        <v>176.08770000000004</v>
      </c>
      <c r="I128" s="99">
        <f t="shared" si="1"/>
        <v>9684.8235000000022</v>
      </c>
      <c r="J128" s="100">
        <f t="shared" si="3"/>
        <v>130.05000000000018</v>
      </c>
      <c r="K128" s="101">
        <f t="shared" si="2"/>
        <v>-46.037699999999859</v>
      </c>
    </row>
    <row r="129" spans="1:11" ht="12.75" x14ac:dyDescent="0.2">
      <c r="A129" s="92">
        <v>45686</v>
      </c>
      <c r="B129" s="93" t="s">
        <v>37</v>
      </c>
      <c r="C129" s="94">
        <v>0.9254</v>
      </c>
      <c r="D129" s="95" t="s">
        <v>225</v>
      </c>
      <c r="E129" s="96"/>
      <c r="F129" s="96"/>
      <c r="G129" s="97">
        <v>2600</v>
      </c>
      <c r="H129" s="98">
        <f t="shared" si="0"/>
        <v>193.96000000000004</v>
      </c>
      <c r="I129" s="99">
        <f t="shared" si="1"/>
        <v>10667.800000000003</v>
      </c>
      <c r="J129" s="100">
        <f t="shared" si="3"/>
        <v>130</v>
      </c>
      <c r="K129" s="101">
        <f t="shared" si="2"/>
        <v>-63.960000000000036</v>
      </c>
    </row>
    <row r="130" spans="1:11" ht="12.75" x14ac:dyDescent="0.2">
      <c r="A130" s="92">
        <v>45687</v>
      </c>
      <c r="B130" s="93" t="s">
        <v>39</v>
      </c>
      <c r="C130" s="94">
        <v>0.92810000000000004</v>
      </c>
      <c r="D130" s="95" t="s">
        <v>225</v>
      </c>
      <c r="E130" s="96"/>
      <c r="F130" s="96"/>
      <c r="G130" s="97">
        <v>8602</v>
      </c>
      <c r="H130" s="98">
        <f t="shared" si="0"/>
        <v>618.48379999999997</v>
      </c>
      <c r="I130" s="99">
        <f t="shared" si="1"/>
        <v>34016.608999999997</v>
      </c>
      <c r="J130" s="100">
        <f t="shared" si="3"/>
        <v>430.10000000000036</v>
      </c>
      <c r="K130" s="101">
        <f t="shared" si="2"/>
        <v>-188.38379999999961</v>
      </c>
    </row>
    <row r="131" spans="1:11" ht="12.75" x14ac:dyDescent="0.2">
      <c r="A131" s="92">
        <v>45688</v>
      </c>
      <c r="B131" s="93" t="s">
        <v>41</v>
      </c>
      <c r="C131" s="94">
        <v>0.91810000000000003</v>
      </c>
      <c r="D131" s="95" t="s">
        <v>225</v>
      </c>
      <c r="E131" s="96"/>
      <c r="F131" s="96"/>
      <c r="G131" s="97">
        <v>2602</v>
      </c>
      <c r="H131" s="98">
        <f t="shared" si="0"/>
        <v>213.10379999999986</v>
      </c>
      <c r="I131" s="99">
        <f t="shared" si="1"/>
        <v>11720.708999999992</v>
      </c>
      <c r="J131" s="100">
        <f t="shared" si="3"/>
        <v>130.09999999999991</v>
      </c>
      <c r="K131" s="101">
        <f t="shared" si="2"/>
        <v>-83.003799999999956</v>
      </c>
    </row>
    <row r="132" spans="1:11" ht="25.5" x14ac:dyDescent="0.2">
      <c r="A132" s="92">
        <v>45691</v>
      </c>
      <c r="B132" s="93" t="s">
        <v>33</v>
      </c>
      <c r="C132" s="94">
        <v>0.7984</v>
      </c>
      <c r="D132" s="95" t="s">
        <v>232</v>
      </c>
      <c r="E132" s="96" t="s">
        <v>233</v>
      </c>
      <c r="F132" s="96" t="s">
        <v>299</v>
      </c>
      <c r="G132" s="97">
        <v>2601</v>
      </c>
      <c r="H132" s="98">
        <f t="shared" si="0"/>
        <v>524.36160000000018</v>
      </c>
      <c r="I132" s="99">
        <f t="shared" si="1"/>
        <v>28839.88800000001</v>
      </c>
      <c r="J132" s="100">
        <f t="shared" si="3"/>
        <v>130.05000000000018</v>
      </c>
      <c r="K132" s="101">
        <f t="shared" si="2"/>
        <v>-394.3116</v>
      </c>
    </row>
    <row r="133" spans="1:11" ht="12.75" x14ac:dyDescent="0.2">
      <c r="A133" s="92">
        <v>45692</v>
      </c>
      <c r="B133" s="93" t="s">
        <v>35</v>
      </c>
      <c r="C133" s="94">
        <v>0.94189999999999996</v>
      </c>
      <c r="D133" s="95" t="s">
        <v>225</v>
      </c>
      <c r="E133" s="96"/>
      <c r="F133" s="96"/>
      <c r="G133" s="97">
        <v>2597</v>
      </c>
      <c r="H133" s="98">
        <f t="shared" si="0"/>
        <v>150.88570000000027</v>
      </c>
      <c r="I133" s="99">
        <f t="shared" si="1"/>
        <v>8298.7135000000144</v>
      </c>
      <c r="J133" s="100">
        <f t="shared" si="3"/>
        <v>129.84999999999991</v>
      </c>
      <c r="K133" s="101">
        <f t="shared" si="2"/>
        <v>-21.035700000000361</v>
      </c>
    </row>
    <row r="134" spans="1:11" ht="12.75" x14ac:dyDescent="0.2">
      <c r="A134" s="92">
        <v>45693</v>
      </c>
      <c r="B134" s="93" t="s">
        <v>37</v>
      </c>
      <c r="C134" s="94">
        <v>0.94720000000000004</v>
      </c>
      <c r="D134" s="95" t="s">
        <v>225</v>
      </c>
      <c r="E134" s="96"/>
      <c r="F134" s="96"/>
      <c r="G134" s="97">
        <v>2594</v>
      </c>
      <c r="H134" s="98">
        <f t="shared" si="0"/>
        <v>136.96319999999969</v>
      </c>
      <c r="I134" s="99">
        <f t="shared" si="1"/>
        <v>7532.9759999999824</v>
      </c>
      <c r="J134" s="100">
        <f t="shared" si="3"/>
        <v>129.70000000000027</v>
      </c>
      <c r="K134" s="101">
        <f t="shared" si="2"/>
        <v>-7.263199999999415</v>
      </c>
    </row>
    <row r="135" spans="1:11" ht="12.75" x14ac:dyDescent="0.2">
      <c r="A135" s="92">
        <v>45694</v>
      </c>
      <c r="B135" s="93" t="s">
        <v>39</v>
      </c>
      <c r="C135" s="94">
        <v>0.94330000000000003</v>
      </c>
      <c r="D135" s="95" t="s">
        <v>225</v>
      </c>
      <c r="E135" s="96"/>
      <c r="F135" s="96"/>
      <c r="G135" s="97">
        <v>2594</v>
      </c>
      <c r="H135" s="98">
        <f t="shared" si="0"/>
        <v>147.07979999999998</v>
      </c>
      <c r="I135" s="99">
        <f t="shared" si="1"/>
        <v>8089.3889999999992</v>
      </c>
      <c r="J135" s="100">
        <f t="shared" si="3"/>
        <v>129.70000000000027</v>
      </c>
      <c r="K135" s="101">
        <f t="shared" si="2"/>
        <v>-17.379799999999705</v>
      </c>
    </row>
    <row r="136" spans="1:11" ht="12.75" x14ac:dyDescent="0.2">
      <c r="A136" s="92">
        <v>45695</v>
      </c>
      <c r="B136" s="93" t="s">
        <v>41</v>
      </c>
      <c r="C136" s="94">
        <v>0.9355</v>
      </c>
      <c r="D136" s="95" t="s">
        <v>225</v>
      </c>
      <c r="E136" s="96"/>
      <c r="F136" s="96"/>
      <c r="G136" s="97">
        <v>2591</v>
      </c>
      <c r="H136" s="98">
        <f t="shared" si="0"/>
        <v>167.11949999999979</v>
      </c>
      <c r="I136" s="99">
        <f t="shared" si="1"/>
        <v>9191.5724999999875</v>
      </c>
      <c r="J136" s="100">
        <f t="shared" si="3"/>
        <v>129.55000000000018</v>
      </c>
      <c r="K136" s="101">
        <f t="shared" si="2"/>
        <v>-37.569499999999607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0"/>
        <v>0</v>
      </c>
      <c r="I137" s="99">
        <f t="shared" si="1"/>
        <v>0</v>
      </c>
      <c r="J137" s="100">
        <f t="shared" si="3"/>
        <v>0</v>
      </c>
      <c r="K137" s="101">
        <f t="shared" si="2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0"/>
        <v>0</v>
      </c>
      <c r="I138" s="99">
        <f t="shared" si="1"/>
        <v>0</v>
      </c>
      <c r="J138" s="100">
        <f t="shared" si="3"/>
        <v>0</v>
      </c>
      <c r="K138" s="101">
        <f t="shared" si="2"/>
        <v>0</v>
      </c>
    </row>
    <row r="139" spans="1:11" ht="12.75" x14ac:dyDescent="0.2">
      <c r="A139" s="92">
        <v>45700</v>
      </c>
      <c r="B139" s="93" t="s">
        <v>37</v>
      </c>
      <c r="C139" s="94">
        <v>0.9325</v>
      </c>
      <c r="D139" s="95" t="s">
        <v>225</v>
      </c>
      <c r="E139" s="96"/>
      <c r="F139" s="96"/>
      <c r="G139" s="97">
        <v>2592</v>
      </c>
      <c r="H139" s="98">
        <f t="shared" si="0"/>
        <v>174.96000000000004</v>
      </c>
      <c r="I139" s="99">
        <f t="shared" si="1"/>
        <v>9622.8000000000029</v>
      </c>
      <c r="J139" s="100">
        <f t="shared" si="3"/>
        <v>129.59999999999991</v>
      </c>
      <c r="K139" s="101">
        <f t="shared" si="2"/>
        <v>-45.360000000000127</v>
      </c>
    </row>
    <row r="140" spans="1:11" ht="12.75" x14ac:dyDescent="0.2">
      <c r="A140" s="92">
        <v>45701</v>
      </c>
      <c r="B140" s="93" t="s">
        <v>39</v>
      </c>
      <c r="C140" s="94">
        <v>0.94140000000000001</v>
      </c>
      <c r="D140" s="95" t="s">
        <v>225</v>
      </c>
      <c r="E140" s="96"/>
      <c r="F140" s="96"/>
      <c r="G140" s="97">
        <v>2592</v>
      </c>
      <c r="H140" s="98">
        <f t="shared" si="0"/>
        <v>151.89120000000003</v>
      </c>
      <c r="I140" s="99">
        <f t="shared" si="1"/>
        <v>8354.0160000000014</v>
      </c>
      <c r="J140" s="100">
        <f t="shared" si="3"/>
        <v>129.59999999999991</v>
      </c>
      <c r="K140" s="101">
        <f t="shared" si="2"/>
        <v>-22.291200000000117</v>
      </c>
    </row>
    <row r="141" spans="1:11" ht="12.75" x14ac:dyDescent="0.2">
      <c r="A141" s="92">
        <v>45702</v>
      </c>
      <c r="B141" s="93" t="s">
        <v>41</v>
      </c>
      <c r="C141" s="94">
        <v>0.92749999999999999</v>
      </c>
      <c r="D141" s="95" t="s">
        <v>225</v>
      </c>
      <c r="E141" s="96"/>
      <c r="F141" s="96"/>
      <c r="G141" s="97">
        <v>2592</v>
      </c>
      <c r="H141" s="98">
        <f t="shared" si="0"/>
        <v>187.92000000000007</v>
      </c>
      <c r="I141" s="99">
        <f t="shared" si="1"/>
        <v>10335.600000000004</v>
      </c>
      <c r="J141" s="100">
        <f t="shared" si="3"/>
        <v>129.59999999999991</v>
      </c>
      <c r="K141" s="101">
        <f t="shared" si="2"/>
        <v>-58.320000000000164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0"/>
        <v>0</v>
      </c>
      <c r="I142" s="99">
        <f t="shared" si="1"/>
        <v>0</v>
      </c>
      <c r="J142" s="100">
        <f t="shared" si="3"/>
        <v>0</v>
      </c>
      <c r="K142" s="101">
        <f t="shared" si="2"/>
        <v>0</v>
      </c>
    </row>
    <row r="143" spans="1:11" ht="12.75" x14ac:dyDescent="0.2">
      <c r="A143" s="92">
        <v>45706</v>
      </c>
      <c r="B143" s="93" t="s">
        <v>35</v>
      </c>
      <c r="C143" s="94">
        <v>0.94679999999999997</v>
      </c>
      <c r="D143" s="95" t="s">
        <v>225</v>
      </c>
      <c r="E143" s="96"/>
      <c r="F143" s="96"/>
      <c r="G143" s="97">
        <v>2594</v>
      </c>
      <c r="H143" s="98">
        <f t="shared" si="0"/>
        <v>138.00080000000025</v>
      </c>
      <c r="I143" s="99">
        <f t="shared" si="1"/>
        <v>7590.0440000000144</v>
      </c>
      <c r="J143" s="100">
        <f t="shared" si="3"/>
        <v>129.70000000000027</v>
      </c>
      <c r="K143" s="101">
        <f t="shared" si="2"/>
        <v>-8.3007999999999811</v>
      </c>
    </row>
    <row r="144" spans="1:11" ht="12.75" x14ac:dyDescent="0.2">
      <c r="A144" s="92">
        <v>45707</v>
      </c>
      <c r="B144" s="93" t="s">
        <v>37</v>
      </c>
      <c r="C144" s="94">
        <v>0.94830000000000003</v>
      </c>
      <c r="D144" s="95" t="s">
        <v>225</v>
      </c>
      <c r="E144" s="96"/>
      <c r="F144" s="96"/>
      <c r="G144" s="97">
        <v>2590</v>
      </c>
      <c r="H144" s="98">
        <f t="shared" si="0"/>
        <v>133.90299999999979</v>
      </c>
      <c r="I144" s="99">
        <f t="shared" si="1"/>
        <v>7364.6649999999881</v>
      </c>
      <c r="J144" s="100">
        <f t="shared" si="3"/>
        <v>129.5</v>
      </c>
      <c r="K144" s="101">
        <f t="shared" si="2"/>
        <v>-4.4029999999997926</v>
      </c>
    </row>
    <row r="145" spans="1:11" ht="12.75" x14ac:dyDescent="0.2">
      <c r="A145" s="92">
        <v>45708</v>
      </c>
      <c r="B145" s="93" t="s">
        <v>39</v>
      </c>
      <c r="C145" s="94">
        <v>0.91900000000000004</v>
      </c>
      <c r="D145" s="95" t="s">
        <v>225</v>
      </c>
      <c r="E145" s="96"/>
      <c r="F145" s="96" t="s">
        <v>473</v>
      </c>
      <c r="G145" s="97">
        <v>2594</v>
      </c>
      <c r="H145" s="98">
        <f t="shared" si="0"/>
        <v>210.11400000000003</v>
      </c>
      <c r="I145" s="99">
        <f t="shared" si="1"/>
        <v>11556.270000000002</v>
      </c>
      <c r="J145" s="100">
        <f t="shared" si="3"/>
        <v>129.70000000000027</v>
      </c>
      <c r="K145" s="101">
        <f t="shared" si="2"/>
        <v>-80.41399999999976</v>
      </c>
    </row>
    <row r="146" spans="1:11" ht="12.75" x14ac:dyDescent="0.2">
      <c r="A146" s="92">
        <v>45709</v>
      </c>
      <c r="B146" s="93" t="s">
        <v>41</v>
      </c>
      <c r="C146" s="94">
        <v>0.94679999999999997</v>
      </c>
      <c r="D146" s="95" t="s">
        <v>225</v>
      </c>
      <c r="E146" s="96" t="s">
        <v>233</v>
      </c>
      <c r="F146" s="96" t="s">
        <v>474</v>
      </c>
      <c r="G146" s="97">
        <v>2593</v>
      </c>
      <c r="H146" s="98">
        <f t="shared" si="0"/>
        <v>137.94759999999997</v>
      </c>
      <c r="I146" s="99">
        <f t="shared" si="1"/>
        <v>7587.1179999999986</v>
      </c>
      <c r="J146" s="100">
        <f t="shared" si="3"/>
        <v>129.65000000000009</v>
      </c>
      <c r="K146" s="101">
        <f t="shared" si="2"/>
        <v>-8.2975999999998749</v>
      </c>
    </row>
    <row r="147" spans="1:11" ht="12.75" x14ac:dyDescent="0.2">
      <c r="A147" s="92">
        <v>45712</v>
      </c>
      <c r="B147" s="93" t="s">
        <v>33</v>
      </c>
      <c r="C147" s="94">
        <v>0.93269999999999997</v>
      </c>
      <c r="D147" s="95" t="s">
        <v>225</v>
      </c>
      <c r="E147" s="96"/>
      <c r="F147" s="96"/>
      <c r="G147" s="97">
        <v>2599</v>
      </c>
      <c r="H147" s="98">
        <f t="shared" si="0"/>
        <v>174.91269999999986</v>
      </c>
      <c r="I147" s="99">
        <f t="shared" si="1"/>
        <v>9620.1984999999913</v>
      </c>
      <c r="J147" s="100">
        <f t="shared" si="3"/>
        <v>129.95000000000027</v>
      </c>
      <c r="K147" s="101">
        <f t="shared" si="2"/>
        <v>-44.962699999999586</v>
      </c>
    </row>
    <row r="148" spans="1:11" ht="12.75" x14ac:dyDescent="0.2">
      <c r="A148" s="92">
        <v>45713</v>
      </c>
      <c r="B148" s="93" t="s">
        <v>35</v>
      </c>
      <c r="C148" s="94">
        <v>0.95879999999999999</v>
      </c>
      <c r="D148" s="95" t="s">
        <v>225</v>
      </c>
      <c r="E148" s="96"/>
      <c r="F148" s="96" t="s">
        <v>475</v>
      </c>
      <c r="G148" s="97">
        <v>2600</v>
      </c>
      <c r="H148" s="98">
        <f t="shared" si="0"/>
        <v>107.11999999999989</v>
      </c>
      <c r="I148" s="99">
        <f t="shared" si="1"/>
        <v>5891.599999999994</v>
      </c>
      <c r="J148" s="100">
        <f t="shared" si="3"/>
        <v>130</v>
      </c>
      <c r="K148" s="101">
        <f t="shared" si="2"/>
        <v>22.880000000000109</v>
      </c>
    </row>
    <row r="149" spans="1:11" ht="12.75" x14ac:dyDescent="0.2">
      <c r="A149" s="92">
        <v>45714</v>
      </c>
      <c r="B149" s="93" t="s">
        <v>37</v>
      </c>
      <c r="C149" s="94">
        <v>0.9546</v>
      </c>
      <c r="D149" s="95" t="s">
        <v>225</v>
      </c>
      <c r="E149" s="96"/>
      <c r="F149" s="96"/>
      <c r="G149" s="97">
        <v>2597</v>
      </c>
      <c r="H149" s="98">
        <f t="shared" si="0"/>
        <v>117.90380000000005</v>
      </c>
      <c r="I149" s="99">
        <f t="shared" si="1"/>
        <v>6484.7090000000026</v>
      </c>
      <c r="J149" s="100">
        <f t="shared" si="3"/>
        <v>129.84999999999991</v>
      </c>
      <c r="K149" s="101">
        <f t="shared" si="2"/>
        <v>11.946199999999862</v>
      </c>
    </row>
    <row r="150" spans="1:11" ht="12.75" x14ac:dyDescent="0.2">
      <c r="A150" s="92">
        <v>45715</v>
      </c>
      <c r="B150" s="93" t="s">
        <v>39</v>
      </c>
      <c r="C150" s="94">
        <v>0.94650000000000001</v>
      </c>
      <c r="D150" s="95" t="s">
        <v>225</v>
      </c>
      <c r="E150" s="96"/>
      <c r="F150" s="96"/>
      <c r="G150" s="97">
        <v>2597</v>
      </c>
      <c r="H150" s="98">
        <f t="shared" si="0"/>
        <v>138.93949999999995</v>
      </c>
      <c r="I150" s="99">
        <f t="shared" si="1"/>
        <v>7641.6724999999969</v>
      </c>
      <c r="J150" s="100">
        <f t="shared" si="3"/>
        <v>129.84999999999991</v>
      </c>
      <c r="K150" s="101">
        <f t="shared" si="2"/>
        <v>-9.0895000000000437</v>
      </c>
    </row>
    <row r="151" spans="1:11" ht="12.75" x14ac:dyDescent="0.2">
      <c r="A151" s="92">
        <v>45716</v>
      </c>
      <c r="B151" s="93" t="s">
        <v>41</v>
      </c>
      <c r="C151" s="94">
        <v>0.93530000000000002</v>
      </c>
      <c r="D151" s="95" t="s">
        <v>225</v>
      </c>
      <c r="E151" s="96"/>
      <c r="F151" s="96"/>
      <c r="G151" s="97">
        <v>2597</v>
      </c>
      <c r="H151" s="98">
        <f t="shared" si="0"/>
        <v>168.02590000000009</v>
      </c>
      <c r="I151" s="99">
        <f t="shared" si="1"/>
        <v>9241.4245000000046</v>
      </c>
      <c r="J151" s="100">
        <f t="shared" si="3"/>
        <v>129.84999999999991</v>
      </c>
      <c r="K151" s="101">
        <f t="shared" si="2"/>
        <v>-38.175900000000183</v>
      </c>
    </row>
    <row r="152" spans="1:11" ht="12.75" x14ac:dyDescent="0.2">
      <c r="A152" s="92">
        <v>45719</v>
      </c>
      <c r="B152" s="93" t="s">
        <v>33</v>
      </c>
      <c r="C152" s="94">
        <v>0.9214</v>
      </c>
      <c r="D152" s="95" t="s">
        <v>225</v>
      </c>
      <c r="E152" s="96"/>
      <c r="F152" s="96"/>
      <c r="G152" s="97">
        <v>2596</v>
      </c>
      <c r="H152" s="98">
        <f t="shared" si="0"/>
        <v>204.04559999999992</v>
      </c>
      <c r="I152" s="99">
        <f t="shared" si="1"/>
        <v>11222.507999999996</v>
      </c>
      <c r="J152" s="100">
        <f t="shared" si="3"/>
        <v>129.80000000000018</v>
      </c>
      <c r="K152" s="101">
        <f t="shared" si="2"/>
        <v>-74.24559999999974</v>
      </c>
    </row>
    <row r="153" spans="1:11" ht="12.75" x14ac:dyDescent="0.2">
      <c r="A153" s="92">
        <v>45720</v>
      </c>
      <c r="B153" s="93" t="s">
        <v>35</v>
      </c>
      <c r="C153" s="94">
        <v>0.93479999999999996</v>
      </c>
      <c r="D153" s="95" t="s">
        <v>225</v>
      </c>
      <c r="E153" s="96"/>
      <c r="F153" s="96"/>
      <c r="G153" s="97">
        <v>2594</v>
      </c>
      <c r="H153" s="98">
        <f t="shared" si="0"/>
        <v>169.12879999999996</v>
      </c>
      <c r="I153" s="99">
        <f t="shared" si="1"/>
        <v>9302.0839999999971</v>
      </c>
      <c r="J153" s="100">
        <f t="shared" si="3"/>
        <v>129.70000000000027</v>
      </c>
      <c r="K153" s="101">
        <f t="shared" si="2"/>
        <v>-39.428799999999683</v>
      </c>
    </row>
    <row r="154" spans="1:11" ht="12.75" x14ac:dyDescent="0.2">
      <c r="A154" s="92">
        <v>45721</v>
      </c>
      <c r="B154" s="93" t="s">
        <v>37</v>
      </c>
      <c r="C154" s="94">
        <v>0.94640000000000002</v>
      </c>
      <c r="D154" s="95" t="s">
        <v>225</v>
      </c>
      <c r="E154" s="96"/>
      <c r="F154" s="96"/>
      <c r="G154" s="97">
        <v>2592</v>
      </c>
      <c r="H154" s="98">
        <f t="shared" si="0"/>
        <v>138.93119999999999</v>
      </c>
      <c r="I154" s="99">
        <f t="shared" si="1"/>
        <v>7641.2159999999994</v>
      </c>
      <c r="J154" s="100">
        <f t="shared" si="3"/>
        <v>129.59999999999991</v>
      </c>
      <c r="K154" s="101">
        <f t="shared" si="2"/>
        <v>-9.3312000000000808</v>
      </c>
    </row>
    <row r="155" spans="1:11" ht="12.75" x14ac:dyDescent="0.2">
      <c r="A155" s="92">
        <v>45722</v>
      </c>
      <c r="B155" s="93" t="s">
        <v>39</v>
      </c>
      <c r="C155" s="94">
        <v>0.96760000000000002</v>
      </c>
      <c r="D155" s="95" t="s">
        <v>225</v>
      </c>
      <c r="E155" s="96"/>
      <c r="F155" s="96"/>
      <c r="G155" s="97">
        <v>2589</v>
      </c>
      <c r="H155" s="98">
        <f t="shared" si="0"/>
        <v>83.883600000000115</v>
      </c>
      <c r="I155" s="99">
        <f t="shared" si="1"/>
        <v>4613.5980000000063</v>
      </c>
      <c r="J155" s="100">
        <f t="shared" si="3"/>
        <v>129.45000000000027</v>
      </c>
      <c r="K155" s="101">
        <f t="shared" si="2"/>
        <v>45.566400000000158</v>
      </c>
    </row>
    <row r="156" spans="1:11" ht="12.75" x14ac:dyDescent="0.2">
      <c r="A156" s="92">
        <v>45723</v>
      </c>
      <c r="B156" s="93" t="s">
        <v>41</v>
      </c>
      <c r="C156" s="94">
        <v>0.82720000000000005</v>
      </c>
      <c r="D156" s="95" t="s">
        <v>232</v>
      </c>
      <c r="E156" s="96"/>
      <c r="F156" s="96" t="s">
        <v>476</v>
      </c>
      <c r="G156" s="97">
        <v>2587</v>
      </c>
      <c r="H156" s="98">
        <f t="shared" si="0"/>
        <v>447.03359999999975</v>
      </c>
      <c r="I156" s="99">
        <f t="shared" si="1"/>
        <v>24586.847999999987</v>
      </c>
      <c r="J156" s="100">
        <f t="shared" si="3"/>
        <v>129.34999999999991</v>
      </c>
      <c r="K156" s="101">
        <f t="shared" si="2"/>
        <v>-317.68359999999984</v>
      </c>
    </row>
    <row r="157" spans="1:11" ht="12.75" x14ac:dyDescent="0.2">
      <c r="A157" s="123">
        <v>45726</v>
      </c>
      <c r="B157" s="124" t="s">
        <v>33</v>
      </c>
      <c r="C157" s="94"/>
      <c r="D157" s="95"/>
      <c r="E157" s="96"/>
      <c r="F157" s="96"/>
      <c r="H157" s="98">
        <f t="shared" si="0"/>
        <v>0</v>
      </c>
      <c r="I157" s="99">
        <f t="shared" si="1"/>
        <v>0</v>
      </c>
      <c r="J157" s="100">
        <f t="shared" si="3"/>
        <v>0</v>
      </c>
      <c r="K157" s="101">
        <f t="shared" si="2"/>
        <v>0</v>
      </c>
    </row>
    <row r="158" spans="1:11" ht="12.75" x14ac:dyDescent="0.2">
      <c r="A158" s="123">
        <v>45727</v>
      </c>
      <c r="B158" s="124" t="s">
        <v>35</v>
      </c>
      <c r="C158" s="94"/>
      <c r="D158" s="95"/>
      <c r="E158" s="96"/>
      <c r="F158" s="96"/>
      <c r="H158" s="98">
        <f t="shared" si="0"/>
        <v>0</v>
      </c>
      <c r="I158" s="99">
        <f t="shared" si="1"/>
        <v>0</v>
      </c>
      <c r="J158" s="100">
        <f t="shared" si="3"/>
        <v>0</v>
      </c>
      <c r="K158" s="101">
        <f t="shared" si="2"/>
        <v>0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0"/>
        <v>0</v>
      </c>
      <c r="I159" s="99">
        <f t="shared" si="1"/>
        <v>0</v>
      </c>
      <c r="J159" s="100">
        <f t="shared" si="3"/>
        <v>0</v>
      </c>
      <c r="K159" s="101">
        <f t="shared" si="2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0"/>
        <v>0</v>
      </c>
      <c r="I160" s="99">
        <f t="shared" si="1"/>
        <v>0</v>
      </c>
      <c r="J160" s="100">
        <f t="shared" si="3"/>
        <v>0</v>
      </c>
      <c r="K160" s="101">
        <f t="shared" si="2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0"/>
        <v>0</v>
      </c>
      <c r="I161" s="99">
        <f t="shared" si="1"/>
        <v>0</v>
      </c>
      <c r="J161" s="100">
        <f t="shared" si="3"/>
        <v>0</v>
      </c>
      <c r="K161" s="101">
        <f t="shared" si="2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0"/>
        <v>0</v>
      </c>
      <c r="I162" s="99">
        <f t="shared" si="1"/>
        <v>0</v>
      </c>
      <c r="J162" s="100">
        <f t="shared" si="3"/>
        <v>0</v>
      </c>
      <c r="K162" s="101">
        <f t="shared" si="2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0"/>
        <v>0</v>
      </c>
      <c r="I163" s="99">
        <f t="shared" si="1"/>
        <v>0</v>
      </c>
      <c r="J163" s="100">
        <f t="shared" si="3"/>
        <v>0</v>
      </c>
      <c r="K163" s="101">
        <f t="shared" si="2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0"/>
        <v>0</v>
      </c>
      <c r="I164" s="99">
        <f t="shared" si="1"/>
        <v>0</v>
      </c>
      <c r="J164" s="100">
        <f t="shared" si="3"/>
        <v>0</v>
      </c>
      <c r="K164" s="101">
        <f t="shared" si="2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0"/>
        <v>0</v>
      </c>
      <c r="I165" s="99">
        <f t="shared" si="1"/>
        <v>0</v>
      </c>
      <c r="J165" s="100">
        <f t="shared" si="3"/>
        <v>0</v>
      </c>
      <c r="K165" s="101">
        <f t="shared" si="2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0"/>
        <v>0</v>
      </c>
      <c r="I166" s="99">
        <f t="shared" si="1"/>
        <v>0</v>
      </c>
      <c r="J166" s="100">
        <f t="shared" si="3"/>
        <v>0</v>
      </c>
      <c r="K166" s="101">
        <f t="shared" si="2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0"/>
        <v>0</v>
      </c>
      <c r="I167" s="99">
        <f t="shared" si="1"/>
        <v>0</v>
      </c>
      <c r="J167" s="100">
        <f t="shared" si="3"/>
        <v>0</v>
      </c>
      <c r="K167" s="101">
        <f t="shared" si="2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0"/>
        <v>0</v>
      </c>
      <c r="I168" s="99">
        <f t="shared" si="1"/>
        <v>0</v>
      </c>
      <c r="J168" s="100">
        <f t="shared" si="3"/>
        <v>0</v>
      </c>
      <c r="K168" s="101">
        <f t="shared" si="2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0"/>
        <v>0</v>
      </c>
      <c r="I169" s="99">
        <f t="shared" si="1"/>
        <v>0</v>
      </c>
      <c r="J169" s="100">
        <f t="shared" si="3"/>
        <v>0</v>
      </c>
      <c r="K169" s="101">
        <f t="shared" si="2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0"/>
        <v>0</v>
      </c>
      <c r="I170" s="99">
        <f t="shared" si="1"/>
        <v>0</v>
      </c>
      <c r="J170" s="100">
        <f t="shared" si="3"/>
        <v>0</v>
      </c>
      <c r="K170" s="101">
        <f t="shared" si="2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0"/>
        <v>0</v>
      </c>
      <c r="I171" s="99">
        <f t="shared" si="1"/>
        <v>0</v>
      </c>
      <c r="J171" s="100">
        <f t="shared" si="3"/>
        <v>0</v>
      </c>
      <c r="K171" s="101">
        <f t="shared" si="2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0"/>
        <v>0</v>
      </c>
      <c r="I172" s="99">
        <f t="shared" si="1"/>
        <v>0</v>
      </c>
      <c r="J172" s="100">
        <f t="shared" si="3"/>
        <v>0</v>
      </c>
      <c r="K172" s="101">
        <f t="shared" si="2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0"/>
        <v>0</v>
      </c>
      <c r="I173" s="99">
        <f t="shared" si="1"/>
        <v>0</v>
      </c>
      <c r="J173" s="100">
        <f t="shared" si="3"/>
        <v>0</v>
      </c>
      <c r="K173" s="101">
        <f t="shared" si="2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0"/>
        <v>0</v>
      </c>
      <c r="I174" s="99">
        <f t="shared" si="1"/>
        <v>0</v>
      </c>
      <c r="J174" s="100">
        <f t="shared" si="3"/>
        <v>0</v>
      </c>
      <c r="K174" s="101">
        <f t="shared" si="2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0"/>
        <v>0</v>
      </c>
      <c r="I175" s="99">
        <f t="shared" si="1"/>
        <v>0</v>
      </c>
      <c r="J175" s="100">
        <f t="shared" si="3"/>
        <v>0</v>
      </c>
      <c r="K175" s="101">
        <f t="shared" si="2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0"/>
        <v>0</v>
      </c>
      <c r="I176" s="99">
        <f t="shared" si="1"/>
        <v>0</v>
      </c>
      <c r="J176" s="100">
        <f t="shared" si="3"/>
        <v>0</v>
      </c>
      <c r="K176" s="101">
        <f t="shared" si="2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0"/>
        <v>0</v>
      </c>
      <c r="I177" s="99">
        <f t="shared" si="1"/>
        <v>0</v>
      </c>
      <c r="J177" s="100">
        <f t="shared" si="3"/>
        <v>0</v>
      </c>
      <c r="K177" s="101">
        <f t="shared" si="2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0"/>
        <v>0</v>
      </c>
      <c r="I178" s="99">
        <f t="shared" si="1"/>
        <v>0</v>
      </c>
      <c r="J178" s="100">
        <f t="shared" si="3"/>
        <v>0</v>
      </c>
      <c r="K178" s="101">
        <f t="shared" si="2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0"/>
        <v>0</v>
      </c>
      <c r="I179" s="99">
        <f t="shared" si="1"/>
        <v>0</v>
      </c>
      <c r="J179" s="100">
        <f t="shared" si="3"/>
        <v>0</v>
      </c>
      <c r="K179" s="101">
        <f t="shared" si="2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0"/>
        <v>0</v>
      </c>
      <c r="I180" s="99">
        <f t="shared" si="1"/>
        <v>0</v>
      </c>
      <c r="J180" s="100">
        <f t="shared" si="3"/>
        <v>0</v>
      </c>
      <c r="K180" s="101">
        <f t="shared" si="2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0"/>
        <v>0</v>
      </c>
      <c r="I181" s="99">
        <f t="shared" si="1"/>
        <v>0</v>
      </c>
      <c r="J181" s="100">
        <f t="shared" si="3"/>
        <v>0</v>
      </c>
      <c r="K181" s="101">
        <f t="shared" si="2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0"/>
        <v>0</v>
      </c>
      <c r="I182" s="99">
        <f t="shared" si="1"/>
        <v>0</v>
      </c>
      <c r="J182" s="100">
        <f t="shared" si="3"/>
        <v>0</v>
      </c>
      <c r="K182" s="101">
        <f t="shared" si="2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0"/>
        <v>0</v>
      </c>
      <c r="I183" s="99">
        <f t="shared" si="1"/>
        <v>0</v>
      </c>
      <c r="J183" s="100">
        <f t="shared" si="3"/>
        <v>0</v>
      </c>
      <c r="K183" s="101">
        <f t="shared" si="2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0"/>
        <v>0</v>
      </c>
      <c r="I184" s="99">
        <f t="shared" si="1"/>
        <v>0</v>
      </c>
      <c r="J184" s="100">
        <f t="shared" si="3"/>
        <v>0</v>
      </c>
      <c r="K184" s="101">
        <f t="shared" si="2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0"/>
        <v>0</v>
      </c>
      <c r="I185" s="99">
        <f t="shared" si="1"/>
        <v>0</v>
      </c>
      <c r="J185" s="100">
        <f t="shared" si="3"/>
        <v>0</v>
      </c>
      <c r="K185" s="101">
        <f t="shared" si="2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0"/>
        <v>0</v>
      </c>
      <c r="I186" s="99">
        <f t="shared" si="1"/>
        <v>0</v>
      </c>
      <c r="J186" s="100">
        <f t="shared" si="3"/>
        <v>0</v>
      </c>
      <c r="K186" s="101">
        <f t="shared" si="2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0"/>
        <v>0</v>
      </c>
      <c r="I187" s="99">
        <f t="shared" si="1"/>
        <v>0</v>
      </c>
      <c r="J187" s="100">
        <f t="shared" si="3"/>
        <v>0</v>
      </c>
      <c r="K187" s="101">
        <f t="shared" si="2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0"/>
        <v>0</v>
      </c>
      <c r="I188" s="99">
        <f t="shared" si="1"/>
        <v>0</v>
      </c>
      <c r="J188" s="100">
        <f t="shared" si="3"/>
        <v>0</v>
      </c>
      <c r="K188" s="101">
        <f t="shared" si="2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0"/>
        <v>0</v>
      </c>
      <c r="I189" s="99">
        <f t="shared" si="1"/>
        <v>0</v>
      </c>
      <c r="J189" s="100">
        <f t="shared" si="3"/>
        <v>0</v>
      </c>
      <c r="K189" s="101">
        <f t="shared" si="2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0"/>
        <v>0</v>
      </c>
      <c r="I190" s="99">
        <f t="shared" si="1"/>
        <v>0</v>
      </c>
      <c r="J190" s="100">
        <f t="shared" si="3"/>
        <v>0</v>
      </c>
      <c r="K190" s="101">
        <f t="shared" si="2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0"/>
        <v>0</v>
      </c>
      <c r="I191" s="99">
        <f t="shared" si="1"/>
        <v>0</v>
      </c>
      <c r="J191" s="100">
        <f t="shared" si="3"/>
        <v>0</v>
      </c>
      <c r="K191" s="101">
        <f t="shared" si="2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0"/>
        <v>0</v>
      </c>
      <c r="I192" s="99">
        <f t="shared" si="1"/>
        <v>0</v>
      </c>
      <c r="J192" s="100">
        <f t="shared" si="3"/>
        <v>0</v>
      </c>
      <c r="K192" s="101">
        <f t="shared" si="2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0"/>
        <v>0</v>
      </c>
      <c r="I193" s="99">
        <f t="shared" si="1"/>
        <v>0</v>
      </c>
      <c r="J193" s="100">
        <f t="shared" si="3"/>
        <v>0</v>
      </c>
      <c r="K193" s="101">
        <f t="shared" si="2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0"/>
        <v>0</v>
      </c>
      <c r="I194" s="99">
        <f t="shared" si="1"/>
        <v>0</v>
      </c>
      <c r="J194" s="100">
        <f t="shared" si="3"/>
        <v>0</v>
      </c>
      <c r="K194" s="101">
        <f t="shared" si="2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0"/>
        <v>0</v>
      </c>
      <c r="I195" s="99">
        <f t="shared" si="1"/>
        <v>0</v>
      </c>
      <c r="J195" s="100">
        <f t="shared" si="3"/>
        <v>0</v>
      </c>
      <c r="K195" s="101">
        <f t="shared" si="2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0"/>
        <v>0</v>
      </c>
      <c r="I196" s="99">
        <f t="shared" si="1"/>
        <v>0</v>
      </c>
      <c r="J196" s="100">
        <f t="shared" si="3"/>
        <v>0</v>
      </c>
      <c r="K196" s="101">
        <f t="shared" si="2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0"/>
        <v>0</v>
      </c>
      <c r="I197" s="99">
        <f t="shared" si="1"/>
        <v>0</v>
      </c>
      <c r="J197" s="100">
        <f t="shared" si="3"/>
        <v>0</v>
      </c>
      <c r="K197" s="101">
        <f t="shared" si="2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0"/>
        <v>0</v>
      </c>
      <c r="I198" s="99">
        <f t="shared" si="1"/>
        <v>0</v>
      </c>
      <c r="J198" s="100">
        <f t="shared" si="3"/>
        <v>0</v>
      </c>
      <c r="K198" s="101">
        <f t="shared" si="2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0"/>
        <v>0</v>
      </c>
      <c r="I199" s="99">
        <f t="shared" si="1"/>
        <v>0</v>
      </c>
      <c r="J199" s="100">
        <f t="shared" si="3"/>
        <v>0</v>
      </c>
      <c r="K199" s="101">
        <f t="shared" si="2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0"/>
        <v>0</v>
      </c>
      <c r="I200" s="99">
        <f t="shared" si="1"/>
        <v>0</v>
      </c>
      <c r="J200" s="100">
        <f t="shared" si="3"/>
        <v>0</v>
      </c>
      <c r="K200" s="101">
        <f t="shared" si="2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0"/>
        <v>0</v>
      </c>
      <c r="I201" s="99">
        <f t="shared" si="1"/>
        <v>0</v>
      </c>
      <c r="J201" s="100">
        <f t="shared" si="3"/>
        <v>0</v>
      </c>
      <c r="K201" s="101">
        <f t="shared" si="2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0"/>
        <v>0</v>
      </c>
      <c r="I202" s="99">
        <f t="shared" si="1"/>
        <v>0</v>
      </c>
      <c r="J202" s="100">
        <f t="shared" si="3"/>
        <v>0</v>
      </c>
      <c r="K202" s="101">
        <f t="shared" si="2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0"/>
        <v>0</v>
      </c>
      <c r="I203" s="99">
        <f t="shared" si="1"/>
        <v>0</v>
      </c>
      <c r="J203" s="100">
        <f t="shared" si="3"/>
        <v>0</v>
      </c>
      <c r="K203" s="101">
        <f t="shared" si="2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0"/>
        <v>0</v>
      </c>
      <c r="I204" s="99">
        <f t="shared" si="1"/>
        <v>0</v>
      </c>
      <c r="J204" s="100">
        <f t="shared" si="3"/>
        <v>0</v>
      </c>
      <c r="K204" s="101">
        <f t="shared" si="2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0"/>
        <v>0</v>
      </c>
      <c r="I205" s="99">
        <f t="shared" si="1"/>
        <v>0</v>
      </c>
      <c r="J205" s="100">
        <f t="shared" si="3"/>
        <v>0</v>
      </c>
      <c r="K205" s="101">
        <f t="shared" si="2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0"/>
        <v>0</v>
      </c>
      <c r="I206" s="99">
        <f t="shared" si="1"/>
        <v>0</v>
      </c>
      <c r="J206" s="100">
        <f t="shared" si="3"/>
        <v>0</v>
      </c>
      <c r="K206" s="101">
        <f t="shared" si="2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0"/>
        <v>0</v>
      </c>
      <c r="I207" s="99">
        <f t="shared" si="1"/>
        <v>0</v>
      </c>
      <c r="J207" s="100">
        <f t="shared" si="3"/>
        <v>0</v>
      </c>
      <c r="K207" s="101">
        <f t="shared" si="2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0"/>
        <v>0</v>
      </c>
      <c r="I208" s="99">
        <f t="shared" si="1"/>
        <v>0</v>
      </c>
      <c r="J208" s="100">
        <f t="shared" si="3"/>
        <v>0</v>
      </c>
      <c r="K208" s="101">
        <f t="shared" si="2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0"/>
        <v>0</v>
      </c>
      <c r="I209" s="99">
        <f t="shared" si="1"/>
        <v>0</v>
      </c>
      <c r="J209" s="100">
        <f t="shared" si="3"/>
        <v>0</v>
      </c>
      <c r="K209" s="101">
        <f t="shared" si="2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0"/>
        <v>0</v>
      </c>
      <c r="I210" s="99">
        <f t="shared" si="1"/>
        <v>0</v>
      </c>
      <c r="J210" s="100">
        <f t="shared" si="3"/>
        <v>0</v>
      </c>
      <c r="K210" s="101">
        <f t="shared" si="2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0"/>
        <v>0</v>
      </c>
      <c r="I211" s="99">
        <f t="shared" si="1"/>
        <v>0</v>
      </c>
      <c r="J211" s="100">
        <f t="shared" si="3"/>
        <v>0</v>
      </c>
      <c r="K211" s="101">
        <f t="shared" si="2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0"/>
        <v>0</v>
      </c>
      <c r="I212" s="99">
        <f t="shared" si="1"/>
        <v>0</v>
      </c>
      <c r="J212" s="100">
        <f t="shared" si="3"/>
        <v>0</v>
      </c>
      <c r="K212" s="101">
        <f t="shared" si="2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0"/>
        <v>0</v>
      </c>
      <c r="I213" s="99">
        <f t="shared" si="1"/>
        <v>0</v>
      </c>
      <c r="J213" s="100">
        <f t="shared" si="3"/>
        <v>0</v>
      </c>
      <c r="K213" s="101">
        <f t="shared" si="2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0"/>
        <v>0</v>
      </c>
      <c r="I214" s="99">
        <f t="shared" si="1"/>
        <v>0</v>
      </c>
      <c r="J214" s="100">
        <f t="shared" si="3"/>
        <v>0</v>
      </c>
      <c r="K214" s="101">
        <f t="shared" si="2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0"/>
        <v>0</v>
      </c>
      <c r="I215" s="99">
        <f t="shared" si="1"/>
        <v>0</v>
      </c>
      <c r="J215" s="100">
        <f t="shared" si="3"/>
        <v>0</v>
      </c>
      <c r="K215" s="101">
        <f t="shared" si="2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C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16" priority="4" operator="lessThan">
      <formula>"92%"</formula>
    </cfRule>
  </conditionalFormatting>
  <conditionalFormatting sqref="C7:C215">
    <cfRule type="cellIs" dxfId="15" priority="1" operator="lessThan">
      <formula>"90%"</formula>
    </cfRule>
    <cfRule type="cellIs" dxfId="14" priority="2" operator="lessThan">
      <formula>"94%"</formula>
    </cfRule>
  </conditionalFormatting>
  <conditionalFormatting sqref="K1:K853">
    <cfRule type="cellIs" dxfId="13" priority="3" operator="lessThan">
      <formula>0</formula>
    </cfRule>
  </conditionalFormatting>
  <dataValidations count="1">
    <dataValidation type="list" allowBlank="1" sqref="E7:E215" xr:uid="{00000000-0002-0000-0C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73763"/>
    <outlinePr summaryBelow="0" summaryRight="0"/>
  </sheetPr>
  <dimension ref="A1:K853"/>
  <sheetViews>
    <sheetView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customWidth="1"/>
    <col min="5" max="5" width="15.85546875" customWidth="1"/>
    <col min="6" max="6" width="16.7109375" customWidth="1"/>
    <col min="7" max="7" width="12.42578125" customWidth="1"/>
    <col min="8" max="10" width="16.28515625" customWidth="1"/>
    <col min="11" max="11" width="17.42578125" customWidth="1"/>
  </cols>
  <sheetData>
    <row r="1" spans="1:11" ht="26.25" x14ac:dyDescent="0.35">
      <c r="A1" s="80"/>
      <c r="B1" s="80"/>
      <c r="C1" s="80"/>
      <c r="D1" s="80"/>
      <c r="E1" s="80"/>
      <c r="F1" s="80"/>
      <c r="G1" s="80"/>
      <c r="H1" s="81"/>
      <c r="I1" s="81"/>
      <c r="J1" s="82"/>
      <c r="K1" s="83">
        <f>SUM(K7:K215)</f>
        <v>642.74340000000223</v>
      </c>
    </row>
    <row r="2" spans="1:11" x14ac:dyDescent="0.25">
      <c r="A2" s="242" t="s">
        <v>13</v>
      </c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477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85247.4755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15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89" t="s">
        <v>222</v>
      </c>
      <c r="I6" s="90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226</v>
      </c>
      <c r="E7" s="96"/>
      <c r="F7" s="96"/>
      <c r="G7" s="97">
        <v>438</v>
      </c>
      <c r="H7" s="98">
        <f t="shared" ref="H7:H215" si="0">G7-(C7*G7)</f>
        <v>0</v>
      </c>
      <c r="I7" s="99">
        <f t="shared" ref="I7:I215" si="1">H7*$H$5</f>
        <v>0</v>
      </c>
      <c r="J7" s="100">
        <v>0</v>
      </c>
      <c r="K7" s="101">
        <f t="shared" ref="K7:K215" si="2">J7-H7</f>
        <v>0</v>
      </c>
    </row>
    <row r="8" spans="1:11" ht="12.75" x14ac:dyDescent="0.2">
      <c r="A8" s="92">
        <v>45517</v>
      </c>
      <c r="B8" s="93" t="s">
        <v>35</v>
      </c>
      <c r="C8" s="94">
        <v>0.99109999999999998</v>
      </c>
      <c r="D8" s="95" t="s">
        <v>226</v>
      </c>
      <c r="E8" s="96"/>
      <c r="F8" s="96"/>
      <c r="G8" s="97">
        <v>449</v>
      </c>
      <c r="H8" s="98">
        <f t="shared" si="0"/>
        <v>3.9961000000000126</v>
      </c>
      <c r="I8" s="99">
        <f t="shared" si="1"/>
        <v>219.7855000000007</v>
      </c>
      <c r="J8" s="100">
        <f t="shared" ref="J8:J215" si="3">G8-(G8*J$3)</f>
        <v>22.450000000000045</v>
      </c>
      <c r="K8" s="101">
        <f t="shared" si="2"/>
        <v>18.453900000000033</v>
      </c>
    </row>
    <row r="9" spans="1:11" ht="12.75" x14ac:dyDescent="0.2">
      <c r="A9" s="92">
        <v>45518</v>
      </c>
      <c r="B9" s="93" t="s">
        <v>37</v>
      </c>
      <c r="C9" s="94">
        <v>0.97340000000000004</v>
      </c>
      <c r="D9" s="95" t="s">
        <v>226</v>
      </c>
      <c r="E9" s="96"/>
      <c r="F9" s="96"/>
      <c r="G9" s="97">
        <v>451</v>
      </c>
      <c r="H9" s="98">
        <f t="shared" si="0"/>
        <v>11.996600000000001</v>
      </c>
      <c r="I9" s="99">
        <f t="shared" si="1"/>
        <v>659.8130000000001</v>
      </c>
      <c r="J9" s="100">
        <f t="shared" si="3"/>
        <v>22.550000000000011</v>
      </c>
      <c r="K9" s="101">
        <f t="shared" si="2"/>
        <v>10.553400000000011</v>
      </c>
    </row>
    <row r="10" spans="1:11" ht="12.75" x14ac:dyDescent="0.2">
      <c r="A10" s="92">
        <v>45519</v>
      </c>
      <c r="B10" s="93" t="s">
        <v>39</v>
      </c>
      <c r="C10" s="94">
        <v>0.98670000000000002</v>
      </c>
      <c r="D10" s="95" t="s">
        <v>226</v>
      </c>
      <c r="E10" s="96"/>
      <c r="F10" s="96"/>
      <c r="G10" s="97">
        <v>452</v>
      </c>
      <c r="H10" s="98">
        <f t="shared" si="0"/>
        <v>6.0115999999999872</v>
      </c>
      <c r="I10" s="99">
        <f t="shared" si="1"/>
        <v>330.63799999999929</v>
      </c>
      <c r="J10" s="100">
        <f t="shared" si="3"/>
        <v>22.600000000000023</v>
      </c>
      <c r="K10" s="101">
        <f t="shared" si="2"/>
        <v>16.588400000000036</v>
      </c>
    </row>
    <row r="11" spans="1:11" ht="12.75" x14ac:dyDescent="0.2">
      <c r="A11" s="92">
        <v>45520</v>
      </c>
      <c r="B11" s="93" t="s">
        <v>41</v>
      </c>
      <c r="C11" s="94">
        <v>0.95799999999999996</v>
      </c>
      <c r="D11" s="95" t="s">
        <v>226</v>
      </c>
      <c r="E11" s="96"/>
      <c r="F11" s="96"/>
      <c r="G11" s="97">
        <v>452</v>
      </c>
      <c r="H11" s="98">
        <f t="shared" si="0"/>
        <v>18.984000000000037</v>
      </c>
      <c r="I11" s="99">
        <f t="shared" si="1"/>
        <v>1044.1200000000022</v>
      </c>
      <c r="J11" s="100">
        <f t="shared" si="3"/>
        <v>22.600000000000023</v>
      </c>
      <c r="K11" s="101">
        <f t="shared" si="2"/>
        <v>3.6159999999999854</v>
      </c>
    </row>
    <row r="12" spans="1:11" ht="12.75" x14ac:dyDescent="0.2">
      <c r="A12" s="92">
        <v>45521</v>
      </c>
      <c r="B12" s="93" t="s">
        <v>33</v>
      </c>
      <c r="C12" s="94">
        <v>0.96479999999999999</v>
      </c>
      <c r="D12" s="95" t="s">
        <v>226</v>
      </c>
      <c r="E12" s="96"/>
      <c r="F12" s="96"/>
      <c r="G12" s="97">
        <v>454</v>
      </c>
      <c r="H12" s="98">
        <f t="shared" si="0"/>
        <v>15.980799999999988</v>
      </c>
      <c r="I12" s="99">
        <f t="shared" si="1"/>
        <v>878.94399999999928</v>
      </c>
      <c r="J12" s="100">
        <f t="shared" si="3"/>
        <v>22.700000000000045</v>
      </c>
      <c r="K12" s="101">
        <f t="shared" si="2"/>
        <v>6.7192000000000576</v>
      </c>
    </row>
    <row r="13" spans="1:11" ht="12.75" x14ac:dyDescent="0.2">
      <c r="A13" s="92">
        <v>45524</v>
      </c>
      <c r="B13" s="93" t="s">
        <v>35</v>
      </c>
      <c r="C13" s="94">
        <v>0.96479999999999999</v>
      </c>
      <c r="D13" s="95" t="s">
        <v>226</v>
      </c>
      <c r="E13" s="96"/>
      <c r="F13" s="96"/>
      <c r="G13" s="97">
        <v>454</v>
      </c>
      <c r="H13" s="98">
        <f t="shared" si="0"/>
        <v>15.980799999999988</v>
      </c>
      <c r="I13" s="99">
        <f t="shared" si="1"/>
        <v>878.94399999999928</v>
      </c>
      <c r="J13" s="100">
        <f t="shared" si="3"/>
        <v>22.700000000000045</v>
      </c>
      <c r="K13" s="101">
        <f t="shared" si="2"/>
        <v>6.7192000000000576</v>
      </c>
    </row>
    <row r="14" spans="1:11" ht="12.75" x14ac:dyDescent="0.2">
      <c r="A14" s="92">
        <v>45525</v>
      </c>
      <c r="B14" s="93" t="s">
        <v>37</v>
      </c>
      <c r="C14" s="94">
        <v>0.9758</v>
      </c>
      <c r="D14" s="95" t="s">
        <v>226</v>
      </c>
      <c r="E14" s="96"/>
      <c r="F14" s="96"/>
      <c r="G14" s="97">
        <v>455</v>
      </c>
      <c r="H14" s="98">
        <f t="shared" si="0"/>
        <v>11.011000000000024</v>
      </c>
      <c r="I14" s="99">
        <f t="shared" si="1"/>
        <v>605.60500000000138</v>
      </c>
      <c r="J14" s="100">
        <f t="shared" si="3"/>
        <v>22.75</v>
      </c>
      <c r="K14" s="101">
        <f t="shared" si="2"/>
        <v>11.738999999999976</v>
      </c>
    </row>
    <row r="15" spans="1:11" ht="12.75" x14ac:dyDescent="0.2">
      <c r="A15" s="92">
        <v>45526</v>
      </c>
      <c r="B15" s="93" t="s">
        <v>39</v>
      </c>
      <c r="C15" s="94">
        <v>0.97809999999999997</v>
      </c>
      <c r="D15" s="95" t="s">
        <v>226</v>
      </c>
      <c r="E15" s="96"/>
      <c r="F15" s="96"/>
      <c r="G15" s="97">
        <v>456</v>
      </c>
      <c r="H15" s="98">
        <f t="shared" si="0"/>
        <v>9.9864000000000033</v>
      </c>
      <c r="I15" s="99">
        <f t="shared" si="1"/>
        <v>549.25200000000018</v>
      </c>
      <c r="J15" s="100">
        <f t="shared" si="3"/>
        <v>22.800000000000011</v>
      </c>
      <c r="K15" s="101">
        <f t="shared" si="2"/>
        <v>12.813600000000008</v>
      </c>
    </row>
    <row r="16" spans="1:11" ht="12.75" x14ac:dyDescent="0.2">
      <c r="A16" s="92">
        <v>45527</v>
      </c>
      <c r="B16" s="93" t="s">
        <v>41</v>
      </c>
      <c r="C16" s="94">
        <v>0.96060000000000001</v>
      </c>
      <c r="D16" s="95" t="s">
        <v>226</v>
      </c>
      <c r="E16" s="96"/>
      <c r="F16" s="96"/>
      <c r="G16" s="97">
        <v>457</v>
      </c>
      <c r="H16" s="98">
        <f t="shared" si="0"/>
        <v>18.005800000000022</v>
      </c>
      <c r="I16" s="99">
        <f t="shared" si="1"/>
        <v>990.31900000000121</v>
      </c>
      <c r="J16" s="100">
        <f t="shared" si="3"/>
        <v>22.850000000000023</v>
      </c>
      <c r="K16" s="101">
        <f t="shared" si="2"/>
        <v>4.8442000000000007</v>
      </c>
    </row>
    <row r="17" spans="1:11" ht="12.75" x14ac:dyDescent="0.2">
      <c r="A17" s="92">
        <v>45530</v>
      </c>
      <c r="B17" s="93" t="s">
        <v>33</v>
      </c>
      <c r="C17" s="94">
        <v>0.96940000000000004</v>
      </c>
      <c r="D17" s="95" t="s">
        <v>226</v>
      </c>
      <c r="E17" s="96"/>
      <c r="F17" s="96"/>
      <c r="G17" s="97">
        <v>457</v>
      </c>
      <c r="H17" s="98">
        <f t="shared" si="0"/>
        <v>13.984199999999987</v>
      </c>
      <c r="I17" s="99">
        <f t="shared" si="1"/>
        <v>769.13099999999929</v>
      </c>
      <c r="J17" s="100">
        <f t="shared" si="3"/>
        <v>22.850000000000023</v>
      </c>
      <c r="K17" s="101">
        <f t="shared" si="2"/>
        <v>8.8658000000000357</v>
      </c>
    </row>
    <row r="18" spans="1:11" ht="12.75" x14ac:dyDescent="0.2">
      <c r="A18" s="92">
        <v>45531</v>
      </c>
      <c r="B18" s="93" t="s">
        <v>35</v>
      </c>
      <c r="C18" s="94">
        <v>0.95609999999999995</v>
      </c>
      <c r="D18" s="95" t="s">
        <v>226</v>
      </c>
      <c r="E18" s="96"/>
      <c r="F18" s="96"/>
      <c r="G18" s="97">
        <v>457</v>
      </c>
      <c r="H18" s="98">
        <f t="shared" si="0"/>
        <v>20.06230000000005</v>
      </c>
      <c r="I18" s="99">
        <f t="shared" si="1"/>
        <v>1103.4265000000028</v>
      </c>
      <c r="J18" s="100">
        <f t="shared" si="3"/>
        <v>22.850000000000023</v>
      </c>
      <c r="K18" s="101">
        <f t="shared" si="2"/>
        <v>2.7876999999999725</v>
      </c>
    </row>
    <row r="19" spans="1:11" ht="12.75" x14ac:dyDescent="0.2">
      <c r="A19" s="92">
        <v>45532</v>
      </c>
      <c r="B19" s="93" t="s">
        <v>37</v>
      </c>
      <c r="C19" s="94">
        <v>0.97150000000000003</v>
      </c>
      <c r="D19" s="95" t="s">
        <v>226</v>
      </c>
      <c r="E19" s="96"/>
      <c r="F19" s="102"/>
      <c r="G19" s="97">
        <v>456</v>
      </c>
      <c r="H19" s="98">
        <f t="shared" si="0"/>
        <v>12.995999999999981</v>
      </c>
      <c r="I19" s="99">
        <f t="shared" si="1"/>
        <v>714.77999999999895</v>
      </c>
      <c r="J19" s="100">
        <f t="shared" si="3"/>
        <v>22.800000000000011</v>
      </c>
      <c r="K19" s="101">
        <f t="shared" si="2"/>
        <v>9.8040000000000305</v>
      </c>
    </row>
    <row r="20" spans="1:11" ht="12.75" x14ac:dyDescent="0.2">
      <c r="A20" s="92">
        <v>45533</v>
      </c>
      <c r="B20" s="93" t="s">
        <v>39</v>
      </c>
      <c r="C20" s="94">
        <v>0.98460000000000003</v>
      </c>
      <c r="D20" s="95" t="s">
        <v>226</v>
      </c>
      <c r="E20" s="96"/>
      <c r="F20" s="96"/>
      <c r="G20" s="97">
        <v>456</v>
      </c>
      <c r="H20" s="98">
        <f t="shared" si="0"/>
        <v>7.0224000000000046</v>
      </c>
      <c r="I20" s="99">
        <f t="shared" si="1"/>
        <v>386.23200000000026</v>
      </c>
      <c r="J20" s="100">
        <f t="shared" si="3"/>
        <v>22.800000000000011</v>
      </c>
      <c r="K20" s="101">
        <f t="shared" si="2"/>
        <v>15.777600000000007</v>
      </c>
    </row>
    <row r="21" spans="1:11" ht="12.75" x14ac:dyDescent="0.2">
      <c r="A21" s="92">
        <v>45534</v>
      </c>
      <c r="B21" s="93" t="s">
        <v>41</v>
      </c>
      <c r="C21" s="94">
        <v>0.96489999999999998</v>
      </c>
      <c r="D21" s="95" t="s">
        <v>226</v>
      </c>
      <c r="E21" s="96"/>
      <c r="F21" s="96"/>
      <c r="G21" s="97">
        <v>456</v>
      </c>
      <c r="H21" s="98">
        <f t="shared" si="0"/>
        <v>16.005600000000015</v>
      </c>
      <c r="I21" s="99">
        <f t="shared" si="1"/>
        <v>880.3080000000009</v>
      </c>
      <c r="J21" s="100">
        <f t="shared" si="3"/>
        <v>22.800000000000011</v>
      </c>
      <c r="K21" s="101">
        <f t="shared" si="2"/>
        <v>6.794399999999996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0.96489999999999998</v>
      </c>
      <c r="D23" s="95" t="s">
        <v>226</v>
      </c>
      <c r="E23" s="96"/>
      <c r="F23" s="96"/>
      <c r="G23" s="97">
        <v>456</v>
      </c>
      <c r="H23" s="98">
        <f t="shared" si="0"/>
        <v>16.005600000000015</v>
      </c>
      <c r="I23" s="99">
        <f t="shared" si="1"/>
        <v>880.3080000000009</v>
      </c>
      <c r="J23" s="100">
        <f t="shared" si="3"/>
        <v>22.800000000000011</v>
      </c>
      <c r="K23" s="101">
        <f t="shared" si="2"/>
        <v>6.794399999999996</v>
      </c>
    </row>
    <row r="24" spans="1:11" ht="12.75" x14ac:dyDescent="0.2">
      <c r="A24" s="92">
        <v>45539</v>
      </c>
      <c r="B24" s="93" t="s">
        <v>37</v>
      </c>
      <c r="C24" s="94">
        <v>0.96489999999999998</v>
      </c>
      <c r="D24" s="95" t="s">
        <v>226</v>
      </c>
      <c r="E24" s="96"/>
      <c r="F24" s="96"/>
      <c r="G24" s="97">
        <v>456</v>
      </c>
      <c r="H24" s="98">
        <f t="shared" si="0"/>
        <v>16.005600000000015</v>
      </c>
      <c r="I24" s="99">
        <f t="shared" si="1"/>
        <v>880.3080000000009</v>
      </c>
      <c r="J24" s="100">
        <f t="shared" si="3"/>
        <v>22.800000000000011</v>
      </c>
      <c r="K24" s="101">
        <f t="shared" si="2"/>
        <v>6.794399999999996</v>
      </c>
    </row>
    <row r="25" spans="1:11" ht="12.75" x14ac:dyDescent="0.2">
      <c r="A25" s="92">
        <v>45540</v>
      </c>
      <c r="B25" s="93" t="s">
        <v>39</v>
      </c>
      <c r="C25" s="94">
        <v>0.98460000000000003</v>
      </c>
      <c r="D25" s="95" t="s">
        <v>226</v>
      </c>
      <c r="E25" s="96"/>
      <c r="F25" s="96"/>
      <c r="G25" s="97">
        <v>455</v>
      </c>
      <c r="H25" s="98">
        <f t="shared" si="0"/>
        <v>7.007000000000005</v>
      </c>
      <c r="I25" s="99">
        <f t="shared" si="1"/>
        <v>385.38500000000028</v>
      </c>
      <c r="J25" s="100">
        <f t="shared" si="3"/>
        <v>22.75</v>
      </c>
      <c r="K25" s="101">
        <f t="shared" si="2"/>
        <v>15.742999999999995</v>
      </c>
    </row>
    <row r="26" spans="1:11" ht="12.75" x14ac:dyDescent="0.2">
      <c r="A26" s="92">
        <v>45541</v>
      </c>
      <c r="B26" s="93" t="s">
        <v>41</v>
      </c>
      <c r="C26" s="94">
        <v>0.96040000000000003</v>
      </c>
      <c r="D26" s="95" t="s">
        <v>226</v>
      </c>
      <c r="E26" s="96"/>
      <c r="F26" s="96"/>
      <c r="G26" s="97">
        <v>455</v>
      </c>
      <c r="H26" s="98">
        <f t="shared" si="0"/>
        <v>18.017999999999972</v>
      </c>
      <c r="I26" s="99">
        <f t="shared" si="1"/>
        <v>990.98999999999842</v>
      </c>
      <c r="J26" s="100">
        <f t="shared" si="3"/>
        <v>22.75</v>
      </c>
      <c r="K26" s="101">
        <f t="shared" si="2"/>
        <v>4.7320000000000277</v>
      </c>
    </row>
    <row r="27" spans="1:11" ht="12.75" x14ac:dyDescent="0.2">
      <c r="A27" s="92">
        <v>45544</v>
      </c>
      <c r="B27" s="93" t="s">
        <v>33</v>
      </c>
      <c r="C27" s="94">
        <v>0.97140000000000004</v>
      </c>
      <c r="D27" s="95" t="s">
        <v>226</v>
      </c>
      <c r="E27" s="96"/>
      <c r="F27" s="96"/>
      <c r="G27" s="97">
        <v>455</v>
      </c>
      <c r="H27" s="98">
        <f t="shared" si="0"/>
        <v>13.012999999999977</v>
      </c>
      <c r="I27" s="99">
        <f t="shared" si="1"/>
        <v>715.71499999999878</v>
      </c>
      <c r="J27" s="100">
        <f t="shared" si="3"/>
        <v>22.75</v>
      </c>
      <c r="K27" s="101">
        <f t="shared" si="2"/>
        <v>9.7370000000000232</v>
      </c>
    </row>
    <row r="28" spans="1:11" ht="12.75" x14ac:dyDescent="0.2">
      <c r="A28" s="92">
        <v>45545</v>
      </c>
      <c r="B28" s="93" t="s">
        <v>35</v>
      </c>
      <c r="C28" s="94">
        <v>0.9758</v>
      </c>
      <c r="D28" s="95" t="s">
        <v>226</v>
      </c>
      <c r="E28" s="96"/>
      <c r="F28" s="96"/>
      <c r="G28" s="97">
        <v>455</v>
      </c>
      <c r="H28" s="98">
        <f t="shared" si="0"/>
        <v>11.011000000000024</v>
      </c>
      <c r="I28" s="99">
        <f t="shared" si="1"/>
        <v>605.60500000000138</v>
      </c>
      <c r="J28" s="100">
        <f t="shared" si="3"/>
        <v>22.75</v>
      </c>
      <c r="K28" s="101">
        <f t="shared" si="2"/>
        <v>11.738999999999976</v>
      </c>
    </row>
    <row r="29" spans="1:11" ht="12.75" x14ac:dyDescent="0.2">
      <c r="A29" s="92">
        <v>45546</v>
      </c>
      <c r="B29" s="93" t="s">
        <v>37</v>
      </c>
      <c r="C29" s="94">
        <v>0.97799999999999998</v>
      </c>
      <c r="D29" s="95" t="s">
        <v>226</v>
      </c>
      <c r="E29" s="96"/>
      <c r="F29" s="96"/>
      <c r="G29" s="97">
        <v>455</v>
      </c>
      <c r="H29" s="98">
        <f t="shared" si="0"/>
        <v>10.009999999999991</v>
      </c>
      <c r="I29" s="99">
        <f t="shared" si="1"/>
        <v>550.5499999999995</v>
      </c>
      <c r="J29" s="100">
        <f t="shared" si="3"/>
        <v>22.75</v>
      </c>
      <c r="K29" s="101">
        <f t="shared" si="2"/>
        <v>12.740000000000009</v>
      </c>
    </row>
    <row r="30" spans="1:11" ht="12.75" x14ac:dyDescent="0.2">
      <c r="A30" s="92">
        <v>45547</v>
      </c>
      <c r="B30" s="93" t="s">
        <v>39</v>
      </c>
      <c r="C30" s="94">
        <v>0.97360000000000002</v>
      </c>
      <c r="D30" s="95" t="s">
        <v>226</v>
      </c>
      <c r="E30" s="96"/>
      <c r="F30" s="96"/>
      <c r="G30" s="97">
        <v>455</v>
      </c>
      <c r="H30" s="98">
        <f t="shared" si="0"/>
        <v>12.012</v>
      </c>
      <c r="I30" s="99">
        <f t="shared" si="1"/>
        <v>660.66000000000008</v>
      </c>
      <c r="J30" s="100">
        <f t="shared" si="3"/>
        <v>22.75</v>
      </c>
      <c r="K30" s="101">
        <f t="shared" si="2"/>
        <v>10.738</v>
      </c>
    </row>
    <row r="31" spans="1:11" ht="12.75" x14ac:dyDescent="0.2">
      <c r="A31" s="92">
        <v>45548</v>
      </c>
      <c r="B31" s="93" t="s">
        <v>41</v>
      </c>
      <c r="C31" s="94">
        <v>0.96260000000000001</v>
      </c>
      <c r="D31" s="95" t="s">
        <v>226</v>
      </c>
      <c r="E31" s="96"/>
      <c r="F31" s="96"/>
      <c r="G31" s="97">
        <v>455</v>
      </c>
      <c r="H31" s="98">
        <f t="shared" si="0"/>
        <v>17.016999999999996</v>
      </c>
      <c r="I31" s="99">
        <f t="shared" si="1"/>
        <v>935.93499999999972</v>
      </c>
      <c r="J31" s="100">
        <f t="shared" si="3"/>
        <v>22.75</v>
      </c>
      <c r="K31" s="101">
        <f t="shared" si="2"/>
        <v>5.7330000000000041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0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0.98019999999999996</v>
      </c>
      <c r="D33" s="95" t="s">
        <v>226</v>
      </c>
      <c r="E33" s="96"/>
      <c r="F33" s="96"/>
      <c r="G33" s="97">
        <v>455</v>
      </c>
      <c r="H33" s="98">
        <f t="shared" si="0"/>
        <v>9.0090000000000146</v>
      </c>
      <c r="I33" s="99">
        <f t="shared" si="1"/>
        <v>495.4950000000008</v>
      </c>
      <c r="J33" s="100">
        <f t="shared" si="3"/>
        <v>22.75</v>
      </c>
      <c r="K33" s="101">
        <f t="shared" si="2"/>
        <v>13.740999999999985</v>
      </c>
    </row>
    <row r="34" spans="1:11" ht="12.75" x14ac:dyDescent="0.2">
      <c r="A34" s="92">
        <v>45553</v>
      </c>
      <c r="B34" s="93" t="s">
        <v>37</v>
      </c>
      <c r="C34" s="94">
        <v>0.97140000000000004</v>
      </c>
      <c r="D34" s="95" t="s">
        <v>226</v>
      </c>
      <c r="E34" s="96"/>
      <c r="F34" s="96"/>
      <c r="G34" s="97">
        <v>455</v>
      </c>
      <c r="H34" s="98">
        <f t="shared" si="0"/>
        <v>13.012999999999977</v>
      </c>
      <c r="I34" s="99">
        <f t="shared" si="1"/>
        <v>715.71499999999878</v>
      </c>
      <c r="J34" s="100">
        <f t="shared" si="3"/>
        <v>22.75</v>
      </c>
      <c r="K34" s="101">
        <f t="shared" si="2"/>
        <v>9.7370000000000232</v>
      </c>
    </row>
    <row r="35" spans="1:11" ht="12.75" x14ac:dyDescent="0.2">
      <c r="A35" s="92">
        <v>45554</v>
      </c>
      <c r="B35" s="93" t="s">
        <v>39</v>
      </c>
      <c r="C35" s="94">
        <v>0.96919999999999995</v>
      </c>
      <c r="D35" s="95" t="s">
        <v>226</v>
      </c>
      <c r="E35" s="96"/>
      <c r="F35" s="96"/>
      <c r="G35" s="97">
        <v>455</v>
      </c>
      <c r="H35" s="98">
        <f t="shared" si="0"/>
        <v>14.01400000000001</v>
      </c>
      <c r="I35" s="99">
        <f t="shared" si="1"/>
        <v>770.77000000000055</v>
      </c>
      <c r="J35" s="100">
        <f t="shared" si="3"/>
        <v>22.75</v>
      </c>
      <c r="K35" s="101">
        <f t="shared" si="2"/>
        <v>8.73599999999999</v>
      </c>
    </row>
    <row r="36" spans="1:11" ht="12.75" x14ac:dyDescent="0.2">
      <c r="A36" s="92">
        <v>45555</v>
      </c>
      <c r="B36" s="93" t="s">
        <v>41</v>
      </c>
      <c r="C36" s="94">
        <v>0.9607</v>
      </c>
      <c r="D36" s="95" t="s">
        <v>226</v>
      </c>
      <c r="E36" s="96"/>
      <c r="F36" s="96"/>
      <c r="G36" s="97">
        <v>455</v>
      </c>
      <c r="H36" s="98">
        <f t="shared" si="0"/>
        <v>17.881500000000017</v>
      </c>
      <c r="I36" s="99">
        <f t="shared" si="1"/>
        <v>983.48250000000098</v>
      </c>
      <c r="J36" s="100">
        <f t="shared" si="3"/>
        <v>22.75</v>
      </c>
      <c r="K36" s="101">
        <f t="shared" si="2"/>
        <v>4.8684999999999832</v>
      </c>
    </row>
    <row r="37" spans="1:11" ht="12.75" x14ac:dyDescent="0.2">
      <c r="A37" s="92">
        <v>45558</v>
      </c>
      <c r="B37" s="93" t="s">
        <v>33</v>
      </c>
      <c r="C37" s="94">
        <v>0.96499999999999997</v>
      </c>
      <c r="D37" s="95" t="s">
        <v>226</v>
      </c>
      <c r="E37" s="96"/>
      <c r="F37" s="96"/>
      <c r="G37" s="97">
        <v>455</v>
      </c>
      <c r="H37" s="98">
        <f t="shared" si="0"/>
        <v>15.925000000000011</v>
      </c>
      <c r="I37" s="99">
        <f t="shared" si="1"/>
        <v>875.87500000000068</v>
      </c>
      <c r="J37" s="100">
        <f t="shared" si="3"/>
        <v>22.75</v>
      </c>
      <c r="K37" s="101">
        <f t="shared" si="2"/>
        <v>6.8249999999999886</v>
      </c>
    </row>
    <row r="38" spans="1:11" ht="12.75" x14ac:dyDescent="0.2">
      <c r="A38" s="92">
        <v>45559</v>
      </c>
      <c r="B38" s="93" t="s">
        <v>35</v>
      </c>
      <c r="C38" s="94">
        <v>0.9516</v>
      </c>
      <c r="D38" s="95" t="s">
        <v>226</v>
      </c>
      <c r="E38" s="96"/>
      <c r="F38" s="96"/>
      <c r="G38" s="97">
        <v>455</v>
      </c>
      <c r="H38" s="98">
        <f t="shared" si="0"/>
        <v>22.021999999999991</v>
      </c>
      <c r="I38" s="99">
        <f t="shared" si="1"/>
        <v>1211.2099999999996</v>
      </c>
      <c r="J38" s="100">
        <f t="shared" si="3"/>
        <v>22.75</v>
      </c>
      <c r="K38" s="101">
        <f t="shared" si="2"/>
        <v>0.72800000000000864</v>
      </c>
    </row>
    <row r="39" spans="1:11" ht="12.75" x14ac:dyDescent="0.2">
      <c r="A39" s="92">
        <v>45560</v>
      </c>
      <c r="B39" s="93" t="s">
        <v>37</v>
      </c>
      <c r="C39" s="94">
        <v>0.9758</v>
      </c>
      <c r="D39" s="95" t="s">
        <v>226</v>
      </c>
      <c r="E39" s="96"/>
      <c r="F39" s="96"/>
      <c r="G39" s="97">
        <v>455</v>
      </c>
      <c r="H39" s="98">
        <f t="shared" si="0"/>
        <v>11.011000000000024</v>
      </c>
      <c r="I39" s="99">
        <f t="shared" si="1"/>
        <v>605.60500000000138</v>
      </c>
      <c r="J39" s="100">
        <f t="shared" si="3"/>
        <v>22.75</v>
      </c>
      <c r="K39" s="101">
        <f t="shared" si="2"/>
        <v>11.738999999999976</v>
      </c>
    </row>
    <row r="40" spans="1:11" ht="12.75" x14ac:dyDescent="0.2">
      <c r="A40" s="92">
        <v>45561</v>
      </c>
      <c r="B40" s="93" t="s">
        <v>39</v>
      </c>
      <c r="C40" s="94">
        <v>0.97360000000000002</v>
      </c>
      <c r="D40" s="95" t="s">
        <v>226</v>
      </c>
      <c r="E40" s="96"/>
      <c r="F40" s="96"/>
      <c r="G40" s="97">
        <v>455</v>
      </c>
      <c r="H40" s="98">
        <f t="shared" si="0"/>
        <v>12.012</v>
      </c>
      <c r="I40" s="99">
        <f t="shared" si="1"/>
        <v>660.66000000000008</v>
      </c>
      <c r="J40" s="100">
        <f t="shared" si="3"/>
        <v>22.75</v>
      </c>
      <c r="K40" s="101">
        <f t="shared" si="2"/>
        <v>10.738</v>
      </c>
    </row>
    <row r="41" spans="1:11" ht="12.75" x14ac:dyDescent="0.2">
      <c r="A41" s="92">
        <v>45562</v>
      </c>
      <c r="B41" s="93" t="s">
        <v>41</v>
      </c>
      <c r="C41" s="94">
        <v>0.96699999999999997</v>
      </c>
      <c r="D41" s="95" t="s">
        <v>226</v>
      </c>
      <c r="E41" s="96"/>
      <c r="F41" s="96"/>
      <c r="G41" s="97">
        <v>455</v>
      </c>
      <c r="H41" s="98">
        <f t="shared" si="0"/>
        <v>15.014999999999986</v>
      </c>
      <c r="I41" s="99">
        <f t="shared" si="1"/>
        <v>825.82499999999925</v>
      </c>
      <c r="J41" s="100">
        <f t="shared" si="3"/>
        <v>22.75</v>
      </c>
      <c r="K41" s="101">
        <f t="shared" si="2"/>
        <v>7.7350000000000136</v>
      </c>
    </row>
    <row r="42" spans="1:11" ht="12.75" x14ac:dyDescent="0.2">
      <c r="A42" s="92">
        <v>45565</v>
      </c>
      <c r="B42" s="93" t="s">
        <v>33</v>
      </c>
      <c r="C42" s="94">
        <v>0.95860000000000001</v>
      </c>
      <c r="D42" s="95" t="s">
        <v>226</v>
      </c>
      <c r="E42" s="96"/>
      <c r="F42" s="96"/>
      <c r="G42" s="97">
        <v>455</v>
      </c>
      <c r="H42" s="98">
        <f t="shared" si="0"/>
        <v>18.836999999999989</v>
      </c>
      <c r="I42" s="99">
        <f t="shared" si="1"/>
        <v>1036.0349999999994</v>
      </c>
      <c r="J42" s="100">
        <f t="shared" si="3"/>
        <v>22.75</v>
      </c>
      <c r="K42" s="101">
        <f t="shared" si="2"/>
        <v>3.9130000000000109</v>
      </c>
    </row>
    <row r="43" spans="1:11" ht="12.75" x14ac:dyDescent="0.2">
      <c r="A43" s="92">
        <v>45566</v>
      </c>
      <c r="B43" s="93" t="s">
        <v>35</v>
      </c>
      <c r="C43" s="94">
        <v>0.9758</v>
      </c>
      <c r="D43" s="95" t="s">
        <v>226</v>
      </c>
      <c r="E43" s="96"/>
      <c r="F43" s="96"/>
      <c r="G43" s="97">
        <v>455</v>
      </c>
      <c r="H43" s="98">
        <f t="shared" si="0"/>
        <v>11.011000000000024</v>
      </c>
      <c r="I43" s="99">
        <f t="shared" si="1"/>
        <v>605.60500000000138</v>
      </c>
      <c r="J43" s="100">
        <f t="shared" si="3"/>
        <v>22.75</v>
      </c>
      <c r="K43" s="101">
        <f t="shared" si="2"/>
        <v>11.738999999999976</v>
      </c>
    </row>
    <row r="44" spans="1:11" ht="12.75" x14ac:dyDescent="0.2">
      <c r="A44" s="92">
        <v>45567</v>
      </c>
      <c r="B44" s="93" t="s">
        <v>37</v>
      </c>
      <c r="C44" s="94">
        <v>0.96699999999999997</v>
      </c>
      <c r="D44" s="95" t="s">
        <v>226</v>
      </c>
      <c r="E44" s="96"/>
      <c r="F44" s="96"/>
      <c r="G44" s="97">
        <v>455</v>
      </c>
      <c r="H44" s="98">
        <f t="shared" si="0"/>
        <v>15.014999999999986</v>
      </c>
      <c r="I44" s="99">
        <f t="shared" si="1"/>
        <v>825.82499999999925</v>
      </c>
      <c r="J44" s="100">
        <f t="shared" si="3"/>
        <v>22.75</v>
      </c>
      <c r="K44" s="101">
        <f t="shared" si="2"/>
        <v>7.7350000000000136</v>
      </c>
    </row>
    <row r="45" spans="1:11" ht="12.75" x14ac:dyDescent="0.2">
      <c r="A45" s="92">
        <v>45568</v>
      </c>
      <c r="B45" s="93" t="s">
        <v>39</v>
      </c>
      <c r="C45" s="94">
        <v>0.98460000000000003</v>
      </c>
      <c r="D45" s="95" t="s">
        <v>226</v>
      </c>
      <c r="E45" s="96"/>
      <c r="F45" s="96"/>
      <c r="G45" s="97">
        <v>455</v>
      </c>
      <c r="H45" s="98">
        <f t="shared" si="0"/>
        <v>7.007000000000005</v>
      </c>
      <c r="I45" s="99">
        <f t="shared" si="1"/>
        <v>385.38500000000028</v>
      </c>
      <c r="J45" s="100">
        <f t="shared" si="3"/>
        <v>22.75</v>
      </c>
      <c r="K45" s="101">
        <f t="shared" si="2"/>
        <v>15.742999999999995</v>
      </c>
    </row>
    <row r="46" spans="1:11" ht="12.75" x14ac:dyDescent="0.2">
      <c r="A46" s="92">
        <v>45569</v>
      </c>
      <c r="B46" s="93" t="s">
        <v>41</v>
      </c>
      <c r="C46" s="94">
        <v>0.95599999999999996</v>
      </c>
      <c r="D46" s="95" t="s">
        <v>226</v>
      </c>
      <c r="E46" s="96"/>
      <c r="F46" s="96"/>
      <c r="G46" s="97">
        <v>455</v>
      </c>
      <c r="H46" s="98">
        <f t="shared" si="0"/>
        <v>20.020000000000039</v>
      </c>
      <c r="I46" s="99">
        <f t="shared" si="1"/>
        <v>1101.1000000000022</v>
      </c>
      <c r="J46" s="100">
        <f t="shared" si="3"/>
        <v>22.75</v>
      </c>
      <c r="K46" s="101">
        <f t="shared" si="2"/>
        <v>2.7299999999999613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0"/>
        <v>0</v>
      </c>
      <c r="I47" s="99">
        <f t="shared" si="1"/>
        <v>0</v>
      </c>
      <c r="J47" s="100">
        <f t="shared" si="3"/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0"/>
        <v>0</v>
      </c>
      <c r="I48" s="99">
        <f t="shared" si="1"/>
        <v>0</v>
      </c>
      <c r="J48" s="100">
        <f t="shared" si="3"/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0"/>
        <v>0</v>
      </c>
      <c r="I49" s="99">
        <f t="shared" si="1"/>
        <v>0</v>
      </c>
      <c r="J49" s="100">
        <f t="shared" si="3"/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0"/>
        <v>0</v>
      </c>
      <c r="I50" s="99">
        <f t="shared" si="1"/>
        <v>0</v>
      </c>
      <c r="J50" s="100">
        <f t="shared" si="3"/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0"/>
        <v>0</v>
      </c>
      <c r="I51" s="99">
        <f t="shared" si="1"/>
        <v>0</v>
      </c>
      <c r="J51" s="100">
        <f t="shared" si="3"/>
        <v>0</v>
      </c>
      <c r="K51" s="101">
        <f t="shared" si="2"/>
        <v>0</v>
      </c>
    </row>
    <row r="52" spans="1:11" ht="12.75" x14ac:dyDescent="0.2">
      <c r="A52" s="92">
        <v>45579</v>
      </c>
      <c r="B52" s="93" t="s">
        <v>33</v>
      </c>
      <c r="C52" s="94">
        <v>0.9516</v>
      </c>
      <c r="D52" s="95" t="s">
        <v>226</v>
      </c>
      <c r="E52" s="96"/>
      <c r="F52" s="96"/>
      <c r="G52" s="97">
        <v>455</v>
      </c>
      <c r="H52" s="98">
        <f t="shared" si="0"/>
        <v>22.021999999999991</v>
      </c>
      <c r="I52" s="99">
        <f t="shared" si="1"/>
        <v>1211.2099999999996</v>
      </c>
      <c r="J52" s="100">
        <f t="shared" si="3"/>
        <v>22.75</v>
      </c>
      <c r="K52" s="101">
        <f t="shared" si="2"/>
        <v>0.72800000000000864</v>
      </c>
    </row>
    <row r="53" spans="1:11" ht="12.75" x14ac:dyDescent="0.2">
      <c r="A53" s="92">
        <v>45580</v>
      </c>
      <c r="B53" s="93" t="s">
        <v>35</v>
      </c>
      <c r="C53" s="94">
        <v>0.96260000000000001</v>
      </c>
      <c r="D53" s="95" t="s">
        <v>226</v>
      </c>
      <c r="E53" s="96"/>
      <c r="F53" s="96"/>
      <c r="G53" s="97">
        <v>455</v>
      </c>
      <c r="H53" s="98">
        <f t="shared" si="0"/>
        <v>17.016999999999996</v>
      </c>
      <c r="I53" s="99">
        <f t="shared" si="1"/>
        <v>935.93499999999972</v>
      </c>
      <c r="J53" s="100">
        <f t="shared" si="3"/>
        <v>22.75</v>
      </c>
      <c r="K53" s="101">
        <f t="shared" si="2"/>
        <v>5.7330000000000041</v>
      </c>
    </row>
    <row r="54" spans="1:11" ht="12.75" x14ac:dyDescent="0.2">
      <c r="A54" s="92">
        <v>45581</v>
      </c>
      <c r="B54" s="93" t="s">
        <v>37</v>
      </c>
      <c r="C54" s="115">
        <v>0.98680000000000001</v>
      </c>
      <c r="D54" s="95" t="s">
        <v>226</v>
      </c>
      <c r="E54" s="96"/>
      <c r="F54" s="116"/>
      <c r="G54" s="97">
        <v>455</v>
      </c>
      <c r="H54" s="98">
        <f t="shared" si="0"/>
        <v>6.0059999999999718</v>
      </c>
      <c r="I54" s="99">
        <f t="shared" si="1"/>
        <v>330.32999999999845</v>
      </c>
      <c r="J54" s="100">
        <f t="shared" si="3"/>
        <v>22.75</v>
      </c>
      <c r="K54" s="101">
        <f t="shared" si="2"/>
        <v>16.744000000000028</v>
      </c>
    </row>
    <row r="55" spans="1:11" ht="12.75" x14ac:dyDescent="0.2">
      <c r="A55" s="92">
        <v>45582</v>
      </c>
      <c r="B55" s="93" t="s">
        <v>39</v>
      </c>
      <c r="C55" s="94">
        <v>0.97360000000000002</v>
      </c>
      <c r="D55" s="95" t="s">
        <v>226</v>
      </c>
      <c r="E55" s="96"/>
      <c r="F55" s="96"/>
      <c r="G55" s="97">
        <v>455</v>
      </c>
      <c r="H55" s="98">
        <f t="shared" si="0"/>
        <v>12.012</v>
      </c>
      <c r="I55" s="99">
        <f t="shared" si="1"/>
        <v>660.66000000000008</v>
      </c>
      <c r="J55" s="100">
        <f t="shared" si="3"/>
        <v>22.75</v>
      </c>
      <c r="K55" s="101">
        <f t="shared" si="2"/>
        <v>10.738</v>
      </c>
    </row>
    <row r="56" spans="1:11" ht="12.75" x14ac:dyDescent="0.2">
      <c r="A56" s="92">
        <v>45583</v>
      </c>
      <c r="B56" s="93" t="s">
        <v>41</v>
      </c>
      <c r="C56" s="94">
        <v>0.96699999999999997</v>
      </c>
      <c r="D56" s="95" t="s">
        <v>226</v>
      </c>
      <c r="E56" s="96"/>
      <c r="F56" s="96"/>
      <c r="G56" s="97">
        <v>455</v>
      </c>
      <c r="H56" s="98">
        <f t="shared" si="0"/>
        <v>15.014999999999986</v>
      </c>
      <c r="I56" s="99">
        <f t="shared" si="1"/>
        <v>825.82499999999925</v>
      </c>
      <c r="J56" s="100">
        <f t="shared" si="3"/>
        <v>22.75</v>
      </c>
      <c r="K56" s="101">
        <f t="shared" si="2"/>
        <v>7.7350000000000136</v>
      </c>
    </row>
    <row r="57" spans="1:11" ht="12.75" x14ac:dyDescent="0.2">
      <c r="A57" s="92">
        <v>45586</v>
      </c>
      <c r="B57" s="93" t="s">
        <v>33</v>
      </c>
      <c r="C57" s="94">
        <v>0.95820000000000005</v>
      </c>
      <c r="D57" s="95" t="s">
        <v>226</v>
      </c>
      <c r="E57" s="96"/>
      <c r="F57" s="96"/>
      <c r="G57" s="97">
        <v>455</v>
      </c>
      <c r="H57" s="98">
        <f t="shared" si="0"/>
        <v>19.018999999999949</v>
      </c>
      <c r="I57" s="99">
        <f t="shared" si="1"/>
        <v>1046.0449999999971</v>
      </c>
      <c r="J57" s="100">
        <f t="shared" si="3"/>
        <v>22.75</v>
      </c>
      <c r="K57" s="101">
        <f t="shared" si="2"/>
        <v>3.7310000000000514</v>
      </c>
    </row>
    <row r="58" spans="1:11" ht="12.75" x14ac:dyDescent="0.2">
      <c r="A58" s="92">
        <v>45587</v>
      </c>
      <c r="B58" s="93" t="s">
        <v>35</v>
      </c>
      <c r="C58" s="94">
        <v>0.96260000000000001</v>
      </c>
      <c r="D58" s="95" t="s">
        <v>226</v>
      </c>
      <c r="E58" s="96"/>
      <c r="F58" s="96"/>
      <c r="G58" s="97">
        <v>455</v>
      </c>
      <c r="H58" s="98">
        <f t="shared" si="0"/>
        <v>17.016999999999996</v>
      </c>
      <c r="I58" s="99">
        <f t="shared" si="1"/>
        <v>935.93499999999972</v>
      </c>
      <c r="J58" s="100">
        <f t="shared" si="3"/>
        <v>22.75</v>
      </c>
      <c r="K58" s="101">
        <f t="shared" si="2"/>
        <v>5.7330000000000041</v>
      </c>
    </row>
    <row r="59" spans="1:11" ht="12.75" x14ac:dyDescent="0.2">
      <c r="A59" s="92">
        <v>45588</v>
      </c>
      <c r="B59" s="93" t="s">
        <v>37</v>
      </c>
      <c r="C59" s="94">
        <v>0.94950000000000001</v>
      </c>
      <c r="D59" s="95" t="s">
        <v>226</v>
      </c>
      <c r="E59" s="96"/>
      <c r="F59" s="96"/>
      <c r="G59" s="97">
        <v>455</v>
      </c>
      <c r="H59" s="98">
        <f t="shared" si="0"/>
        <v>22.97750000000002</v>
      </c>
      <c r="I59" s="99">
        <f t="shared" si="1"/>
        <v>1263.7625000000012</v>
      </c>
      <c r="J59" s="100">
        <f t="shared" si="3"/>
        <v>22.75</v>
      </c>
      <c r="K59" s="101">
        <f t="shared" si="2"/>
        <v>-0.22750000000002046</v>
      </c>
    </row>
    <row r="60" spans="1:11" ht="12.75" x14ac:dyDescent="0.2">
      <c r="A60" s="92">
        <v>45589</v>
      </c>
      <c r="B60" s="93" t="s">
        <v>39</v>
      </c>
      <c r="C60" s="94">
        <v>0.94510000000000005</v>
      </c>
      <c r="D60" s="95" t="s">
        <v>226</v>
      </c>
      <c r="E60" s="96"/>
      <c r="F60" s="96"/>
      <c r="G60" s="97">
        <v>455</v>
      </c>
      <c r="H60" s="98">
        <f t="shared" si="0"/>
        <v>24.979499999999973</v>
      </c>
      <c r="I60" s="99">
        <f t="shared" si="1"/>
        <v>1373.8724999999986</v>
      </c>
      <c r="J60" s="100">
        <f t="shared" si="3"/>
        <v>22.75</v>
      </c>
      <c r="K60" s="101">
        <f t="shared" si="2"/>
        <v>-2.2294999999999732</v>
      </c>
    </row>
    <row r="61" spans="1:11" ht="12.75" x14ac:dyDescent="0.2">
      <c r="A61" s="92">
        <v>45590</v>
      </c>
      <c r="B61" s="93" t="s">
        <v>41</v>
      </c>
      <c r="C61" s="94">
        <v>0.96040000000000003</v>
      </c>
      <c r="D61" s="95" t="s">
        <v>226</v>
      </c>
      <c r="E61" s="96"/>
      <c r="F61" s="96"/>
      <c r="G61" s="97">
        <v>455</v>
      </c>
      <c r="H61" s="98">
        <f t="shared" si="0"/>
        <v>18.017999999999972</v>
      </c>
      <c r="I61" s="99">
        <f t="shared" si="1"/>
        <v>990.98999999999842</v>
      </c>
      <c r="J61" s="100">
        <f t="shared" si="3"/>
        <v>22.75</v>
      </c>
      <c r="K61" s="101">
        <f t="shared" si="2"/>
        <v>4.7320000000000277</v>
      </c>
    </row>
    <row r="62" spans="1:11" ht="12.75" x14ac:dyDescent="0.2">
      <c r="A62" s="92">
        <v>45593</v>
      </c>
      <c r="B62" s="93" t="s">
        <v>33</v>
      </c>
      <c r="C62" s="94">
        <v>0.94289999999999996</v>
      </c>
      <c r="D62" s="95" t="s">
        <v>226</v>
      </c>
      <c r="E62" s="96"/>
      <c r="F62" s="96"/>
      <c r="G62" s="97">
        <v>455</v>
      </c>
      <c r="H62" s="98">
        <f t="shared" si="0"/>
        <v>25.980500000000006</v>
      </c>
      <c r="I62" s="99">
        <f t="shared" si="1"/>
        <v>1428.9275000000002</v>
      </c>
      <c r="J62" s="100">
        <f t="shared" si="3"/>
        <v>22.75</v>
      </c>
      <c r="K62" s="101">
        <f t="shared" si="2"/>
        <v>-3.2305000000000064</v>
      </c>
    </row>
    <row r="63" spans="1:11" ht="12.75" x14ac:dyDescent="0.2">
      <c r="A63" s="92">
        <v>45594</v>
      </c>
      <c r="B63" s="93" t="s">
        <v>35</v>
      </c>
      <c r="C63" s="94">
        <v>0.98019999999999996</v>
      </c>
      <c r="D63" s="95" t="s">
        <v>226</v>
      </c>
      <c r="E63" s="96"/>
      <c r="F63" s="96"/>
      <c r="G63" s="97">
        <v>455</v>
      </c>
      <c r="H63" s="98">
        <f t="shared" si="0"/>
        <v>9.0090000000000146</v>
      </c>
      <c r="I63" s="99">
        <f t="shared" si="1"/>
        <v>495.4950000000008</v>
      </c>
      <c r="J63" s="100">
        <f t="shared" si="3"/>
        <v>22.75</v>
      </c>
      <c r="K63" s="101">
        <f t="shared" si="2"/>
        <v>13.740999999999985</v>
      </c>
    </row>
    <row r="64" spans="1:11" ht="12.75" x14ac:dyDescent="0.2">
      <c r="A64" s="92">
        <v>45595</v>
      </c>
      <c r="B64" s="93" t="s">
        <v>37</v>
      </c>
      <c r="C64" s="94">
        <v>0.97140000000000004</v>
      </c>
      <c r="D64" s="95" t="s">
        <v>226</v>
      </c>
      <c r="E64" s="96"/>
      <c r="F64" s="96"/>
      <c r="G64" s="97">
        <v>455</v>
      </c>
      <c r="H64" s="98">
        <f t="shared" si="0"/>
        <v>13.012999999999977</v>
      </c>
      <c r="I64" s="99">
        <f t="shared" si="1"/>
        <v>715.71499999999878</v>
      </c>
      <c r="J64" s="100">
        <f t="shared" si="3"/>
        <v>22.75</v>
      </c>
      <c r="K64" s="101">
        <f t="shared" si="2"/>
        <v>9.7370000000000232</v>
      </c>
    </row>
    <row r="65" spans="1:11" ht="12.75" x14ac:dyDescent="0.2">
      <c r="A65" s="92">
        <v>45596</v>
      </c>
      <c r="B65" s="93" t="s">
        <v>39</v>
      </c>
      <c r="C65" s="94">
        <v>0.97360000000000002</v>
      </c>
      <c r="D65" s="95" t="s">
        <v>226</v>
      </c>
      <c r="E65" s="96"/>
      <c r="F65" s="96"/>
      <c r="G65" s="97">
        <v>455</v>
      </c>
      <c r="H65" s="98">
        <f t="shared" si="0"/>
        <v>12.012</v>
      </c>
      <c r="I65" s="99">
        <f t="shared" si="1"/>
        <v>660.66000000000008</v>
      </c>
      <c r="J65" s="100">
        <f t="shared" si="3"/>
        <v>22.75</v>
      </c>
      <c r="K65" s="101">
        <f t="shared" si="2"/>
        <v>10.738</v>
      </c>
    </row>
    <row r="66" spans="1:11" ht="12.75" x14ac:dyDescent="0.2">
      <c r="A66" s="92">
        <v>45597</v>
      </c>
      <c r="B66" s="93" t="s">
        <v>41</v>
      </c>
      <c r="C66" s="94">
        <v>0.96040000000000003</v>
      </c>
      <c r="D66" s="95" t="s">
        <v>226</v>
      </c>
      <c r="E66" s="96"/>
      <c r="F66" s="96"/>
      <c r="G66" s="97">
        <v>455</v>
      </c>
      <c r="H66" s="98">
        <f t="shared" si="0"/>
        <v>18.017999999999972</v>
      </c>
      <c r="I66" s="99">
        <f t="shared" si="1"/>
        <v>990.98999999999842</v>
      </c>
      <c r="J66" s="100">
        <f t="shared" si="3"/>
        <v>22.75</v>
      </c>
      <c r="K66" s="101">
        <f t="shared" si="2"/>
        <v>4.7320000000000277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0"/>
        <v>0</v>
      </c>
      <c r="I67" s="99">
        <f t="shared" si="1"/>
        <v>0</v>
      </c>
      <c r="J67" s="100">
        <f t="shared" si="3"/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0"/>
        <v>0</v>
      </c>
      <c r="I68" s="99">
        <f t="shared" si="1"/>
        <v>0</v>
      </c>
      <c r="J68" s="100">
        <f t="shared" si="3"/>
        <v>0</v>
      </c>
      <c r="K68" s="101">
        <f t="shared" si="2"/>
        <v>0</v>
      </c>
    </row>
    <row r="69" spans="1:11" ht="12.75" x14ac:dyDescent="0.2">
      <c r="A69" s="92">
        <v>45602</v>
      </c>
      <c r="B69" s="93" t="s">
        <v>37</v>
      </c>
      <c r="C69" s="94">
        <v>0.98460000000000003</v>
      </c>
      <c r="D69" s="95" t="s">
        <v>226</v>
      </c>
      <c r="E69" s="96"/>
      <c r="F69" s="96"/>
      <c r="G69" s="97">
        <v>455</v>
      </c>
      <c r="H69" s="98">
        <f t="shared" si="0"/>
        <v>7.007000000000005</v>
      </c>
      <c r="I69" s="99">
        <f t="shared" si="1"/>
        <v>385.38500000000028</v>
      </c>
      <c r="J69" s="100">
        <f t="shared" si="3"/>
        <v>22.75</v>
      </c>
      <c r="K69" s="101">
        <f t="shared" si="2"/>
        <v>15.742999999999995</v>
      </c>
    </row>
    <row r="70" spans="1:11" ht="12.75" x14ac:dyDescent="0.2">
      <c r="A70" s="92">
        <v>45603</v>
      </c>
      <c r="B70" s="93" t="s">
        <v>39</v>
      </c>
      <c r="C70" s="94">
        <v>0.98019999999999996</v>
      </c>
      <c r="D70" s="102" t="s">
        <v>226</v>
      </c>
      <c r="E70" s="96"/>
      <c r="F70" s="96"/>
      <c r="G70" s="97">
        <v>455</v>
      </c>
      <c r="H70" s="98">
        <f t="shared" si="0"/>
        <v>9.0090000000000146</v>
      </c>
      <c r="I70" s="99">
        <f t="shared" si="1"/>
        <v>495.4950000000008</v>
      </c>
      <c r="J70" s="100">
        <f t="shared" si="3"/>
        <v>22.75</v>
      </c>
      <c r="K70" s="101">
        <f t="shared" si="2"/>
        <v>13.740999999999985</v>
      </c>
    </row>
    <row r="71" spans="1:11" ht="12.75" x14ac:dyDescent="0.2">
      <c r="A71" s="92">
        <v>45604</v>
      </c>
      <c r="B71" s="93" t="s">
        <v>41</v>
      </c>
      <c r="C71" s="94">
        <v>0.95820000000000005</v>
      </c>
      <c r="D71" s="102" t="s">
        <v>226</v>
      </c>
      <c r="E71" s="96"/>
      <c r="F71" s="96"/>
      <c r="G71" s="97">
        <v>455</v>
      </c>
      <c r="H71" s="98">
        <f t="shared" si="0"/>
        <v>19.018999999999949</v>
      </c>
      <c r="I71" s="99">
        <f t="shared" si="1"/>
        <v>1046.0449999999971</v>
      </c>
      <c r="J71" s="100">
        <f t="shared" si="3"/>
        <v>22.75</v>
      </c>
      <c r="K71" s="101">
        <f t="shared" si="2"/>
        <v>3.7310000000000514</v>
      </c>
    </row>
    <row r="72" spans="1:11" ht="12.75" x14ac:dyDescent="0.2">
      <c r="A72" s="92">
        <v>45607</v>
      </c>
      <c r="B72" s="93" t="s">
        <v>33</v>
      </c>
      <c r="C72" s="94">
        <v>0.94069999999999998</v>
      </c>
      <c r="D72" s="102" t="s">
        <v>226</v>
      </c>
      <c r="E72" s="96"/>
      <c r="F72" s="96"/>
      <c r="G72" s="97">
        <v>455</v>
      </c>
      <c r="H72" s="98">
        <f t="shared" si="0"/>
        <v>26.981499999999983</v>
      </c>
      <c r="I72" s="99">
        <f t="shared" si="1"/>
        <v>1483.9824999999992</v>
      </c>
      <c r="J72" s="100">
        <f t="shared" si="3"/>
        <v>22.75</v>
      </c>
      <c r="K72" s="101">
        <f t="shared" si="2"/>
        <v>-4.2314999999999827</v>
      </c>
    </row>
    <row r="73" spans="1:11" ht="25.5" x14ac:dyDescent="0.2">
      <c r="A73" s="92">
        <v>45608</v>
      </c>
      <c r="B73" s="93" t="s">
        <v>35</v>
      </c>
      <c r="C73" s="94">
        <v>0.93610000000000004</v>
      </c>
      <c r="D73" s="95" t="s">
        <v>226</v>
      </c>
      <c r="E73" s="96" t="s">
        <v>233</v>
      </c>
      <c r="F73" s="96" t="s">
        <v>478</v>
      </c>
      <c r="G73" s="97">
        <v>454</v>
      </c>
      <c r="H73" s="98">
        <f t="shared" si="0"/>
        <v>29.010599999999954</v>
      </c>
      <c r="I73" s="99">
        <f t="shared" si="1"/>
        <v>1595.5829999999974</v>
      </c>
      <c r="J73" s="100">
        <f t="shared" si="3"/>
        <v>22.700000000000045</v>
      </c>
      <c r="K73" s="101">
        <f t="shared" si="2"/>
        <v>-6.3105999999999085</v>
      </c>
    </row>
    <row r="74" spans="1:11" ht="12.75" x14ac:dyDescent="0.2">
      <c r="A74" s="92">
        <v>45609</v>
      </c>
      <c r="B74" s="93" t="s">
        <v>37</v>
      </c>
      <c r="C74" s="94">
        <v>0.95369999999999999</v>
      </c>
      <c r="D74" s="95" t="s">
        <v>226</v>
      </c>
      <c r="E74" s="96"/>
      <c r="F74" s="96"/>
      <c r="G74" s="97">
        <v>454</v>
      </c>
      <c r="H74" s="98">
        <f t="shared" si="0"/>
        <v>21.020199999999988</v>
      </c>
      <c r="I74" s="99">
        <f t="shared" si="1"/>
        <v>1156.1109999999994</v>
      </c>
      <c r="J74" s="100">
        <f t="shared" si="3"/>
        <v>22.700000000000045</v>
      </c>
      <c r="K74" s="101">
        <f t="shared" si="2"/>
        <v>1.679800000000057</v>
      </c>
    </row>
    <row r="75" spans="1:11" ht="12.75" x14ac:dyDescent="0.2">
      <c r="A75" s="92">
        <v>45610</v>
      </c>
      <c r="B75" s="93" t="s">
        <v>39</v>
      </c>
      <c r="C75" s="94">
        <v>0.96479999999999999</v>
      </c>
      <c r="D75" s="95" t="s">
        <v>226</v>
      </c>
      <c r="E75" s="96"/>
      <c r="F75" s="96"/>
      <c r="G75" s="97">
        <v>454</v>
      </c>
      <c r="H75" s="98">
        <f t="shared" si="0"/>
        <v>15.980799999999988</v>
      </c>
      <c r="I75" s="99">
        <f t="shared" si="1"/>
        <v>878.94399999999928</v>
      </c>
      <c r="J75" s="100">
        <f t="shared" si="3"/>
        <v>22.700000000000045</v>
      </c>
      <c r="K75" s="101">
        <f t="shared" si="2"/>
        <v>6.7192000000000576</v>
      </c>
    </row>
    <row r="76" spans="1:11" ht="12.75" x14ac:dyDescent="0.2">
      <c r="A76" s="92">
        <v>45611</v>
      </c>
      <c r="B76" s="93" t="s">
        <v>41</v>
      </c>
      <c r="C76" s="94">
        <v>0.96919999999999995</v>
      </c>
      <c r="D76" s="95" t="s">
        <v>226</v>
      </c>
      <c r="E76" s="96"/>
      <c r="F76" s="96"/>
      <c r="G76" s="97">
        <v>454</v>
      </c>
      <c r="H76" s="98">
        <f t="shared" si="0"/>
        <v>13.983200000000011</v>
      </c>
      <c r="I76" s="99">
        <f t="shared" si="1"/>
        <v>769.07600000000059</v>
      </c>
      <c r="J76" s="100">
        <f t="shared" si="3"/>
        <v>22.700000000000045</v>
      </c>
      <c r="K76" s="101">
        <f t="shared" si="2"/>
        <v>8.7168000000000347</v>
      </c>
    </row>
    <row r="77" spans="1:11" ht="12.75" x14ac:dyDescent="0.2">
      <c r="A77" s="92">
        <v>45614</v>
      </c>
      <c r="B77" s="93" t="s">
        <v>33</v>
      </c>
      <c r="C77" s="94">
        <v>0.96040000000000003</v>
      </c>
      <c r="D77" s="95" t="s">
        <v>226</v>
      </c>
      <c r="E77" s="96"/>
      <c r="F77" s="96"/>
      <c r="G77" s="97">
        <v>454</v>
      </c>
      <c r="H77" s="98">
        <f t="shared" si="0"/>
        <v>17.978399999999965</v>
      </c>
      <c r="I77" s="99">
        <f t="shared" si="1"/>
        <v>988.81199999999808</v>
      </c>
      <c r="J77" s="100">
        <f t="shared" si="3"/>
        <v>22.700000000000045</v>
      </c>
      <c r="K77" s="101">
        <f t="shared" si="2"/>
        <v>4.7216000000000804</v>
      </c>
    </row>
    <row r="78" spans="1:11" ht="12.75" x14ac:dyDescent="0.2">
      <c r="A78" s="92">
        <v>45615</v>
      </c>
      <c r="B78" s="93" t="s">
        <v>35</v>
      </c>
      <c r="C78" s="94">
        <v>0.97799999999999998</v>
      </c>
      <c r="D78" s="95" t="s">
        <v>226</v>
      </c>
      <c r="E78" s="96"/>
      <c r="F78" s="96"/>
      <c r="G78" s="97">
        <v>454</v>
      </c>
      <c r="H78" s="98">
        <f t="shared" si="0"/>
        <v>9.9879999999999995</v>
      </c>
      <c r="I78" s="99">
        <f t="shared" si="1"/>
        <v>549.33999999999992</v>
      </c>
      <c r="J78" s="100">
        <f t="shared" si="3"/>
        <v>22.700000000000045</v>
      </c>
      <c r="K78" s="101">
        <f t="shared" si="2"/>
        <v>12.712000000000046</v>
      </c>
    </row>
    <row r="79" spans="1:11" ht="12.75" x14ac:dyDescent="0.2">
      <c r="A79" s="92">
        <v>45616</v>
      </c>
      <c r="B79" s="93" t="s">
        <v>37</v>
      </c>
      <c r="C79" s="94">
        <v>0.95809999999999995</v>
      </c>
      <c r="D79" s="95" t="s">
        <v>226</v>
      </c>
      <c r="E79" s="96"/>
      <c r="F79" s="96"/>
      <c r="G79" s="97">
        <v>454</v>
      </c>
      <c r="H79" s="98">
        <f t="shared" si="0"/>
        <v>19.022600000000011</v>
      </c>
      <c r="I79" s="99">
        <f t="shared" si="1"/>
        <v>1046.2430000000006</v>
      </c>
      <c r="J79" s="100">
        <f t="shared" si="3"/>
        <v>22.700000000000045</v>
      </c>
      <c r="K79" s="101">
        <f t="shared" si="2"/>
        <v>3.6774000000000342</v>
      </c>
    </row>
    <row r="80" spans="1:11" ht="12.75" x14ac:dyDescent="0.2">
      <c r="A80" s="92">
        <v>45617</v>
      </c>
      <c r="B80" s="93" t="s">
        <v>39</v>
      </c>
      <c r="C80" s="94">
        <v>0.9758</v>
      </c>
      <c r="D80" s="95" t="s">
        <v>226</v>
      </c>
      <c r="E80" s="96"/>
      <c r="F80" s="96"/>
      <c r="G80" s="97">
        <v>454</v>
      </c>
      <c r="H80" s="98">
        <f t="shared" si="0"/>
        <v>10.986800000000017</v>
      </c>
      <c r="I80" s="99">
        <f t="shared" si="1"/>
        <v>604.27400000000091</v>
      </c>
      <c r="J80" s="100">
        <f t="shared" si="3"/>
        <v>22.700000000000045</v>
      </c>
      <c r="K80" s="101">
        <f t="shared" si="2"/>
        <v>11.713200000000029</v>
      </c>
    </row>
    <row r="81" spans="1:11" ht="38.25" x14ac:dyDescent="0.2">
      <c r="A81" s="92">
        <v>45618</v>
      </c>
      <c r="B81" s="93" t="s">
        <v>41</v>
      </c>
      <c r="C81" s="94">
        <v>0.90310000000000001</v>
      </c>
      <c r="D81" s="95" t="s">
        <v>226</v>
      </c>
      <c r="E81" s="96" t="s">
        <v>233</v>
      </c>
      <c r="F81" s="96" t="s">
        <v>479</v>
      </c>
      <c r="G81" s="97">
        <v>454</v>
      </c>
      <c r="H81" s="98">
        <f t="shared" si="0"/>
        <v>43.992599999999982</v>
      </c>
      <c r="I81" s="99">
        <f t="shared" si="1"/>
        <v>2419.5929999999989</v>
      </c>
      <c r="J81" s="100">
        <f t="shared" si="3"/>
        <v>22.700000000000045</v>
      </c>
      <c r="K81" s="101">
        <f t="shared" si="2"/>
        <v>-21.292599999999936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0"/>
        <v>0</v>
      </c>
      <c r="I82" s="99">
        <f t="shared" si="1"/>
        <v>0</v>
      </c>
      <c r="J82" s="100">
        <f t="shared" si="3"/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0"/>
        <v>0</v>
      </c>
      <c r="I83" s="99">
        <f t="shared" si="1"/>
        <v>0</v>
      </c>
      <c r="J83" s="100">
        <f t="shared" si="3"/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0"/>
        <v>0</v>
      </c>
      <c r="I84" s="99">
        <f t="shared" si="1"/>
        <v>0</v>
      </c>
      <c r="J84" s="100">
        <f t="shared" si="3"/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0"/>
        <v>0</v>
      </c>
      <c r="I85" s="99">
        <f t="shared" si="1"/>
        <v>0</v>
      </c>
      <c r="J85" s="100">
        <f t="shared" si="3"/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0"/>
        <v>0</v>
      </c>
      <c r="I86" s="99">
        <f t="shared" si="1"/>
        <v>0</v>
      </c>
      <c r="J86" s="100">
        <f t="shared" si="3"/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0.94710000000000005</v>
      </c>
      <c r="D87" s="95" t="s">
        <v>226</v>
      </c>
      <c r="E87" s="96"/>
      <c r="F87" s="96"/>
      <c r="G87" s="97">
        <v>454</v>
      </c>
      <c r="H87" s="98">
        <f t="shared" si="0"/>
        <v>24.016599999999983</v>
      </c>
      <c r="I87" s="99">
        <f t="shared" si="1"/>
        <v>1320.9129999999991</v>
      </c>
      <c r="J87" s="100">
        <f t="shared" si="3"/>
        <v>22.700000000000045</v>
      </c>
      <c r="K87" s="101">
        <f t="shared" si="2"/>
        <v>-1.3165999999999372</v>
      </c>
    </row>
    <row r="88" spans="1:11" ht="12.75" x14ac:dyDescent="0.2">
      <c r="A88" s="92">
        <v>45629</v>
      </c>
      <c r="B88" s="93" t="s">
        <v>35</v>
      </c>
      <c r="C88" s="94">
        <v>0.9758</v>
      </c>
      <c r="D88" s="95" t="s">
        <v>226</v>
      </c>
      <c r="E88" s="96"/>
      <c r="F88" s="96"/>
      <c r="G88" s="97">
        <v>454</v>
      </c>
      <c r="H88" s="98">
        <f t="shared" si="0"/>
        <v>10.986800000000017</v>
      </c>
      <c r="I88" s="99">
        <f t="shared" si="1"/>
        <v>604.27400000000091</v>
      </c>
      <c r="J88" s="100">
        <f t="shared" si="3"/>
        <v>22.700000000000045</v>
      </c>
      <c r="K88" s="101">
        <f t="shared" si="2"/>
        <v>11.713200000000029</v>
      </c>
    </row>
    <row r="89" spans="1:11" ht="12.75" x14ac:dyDescent="0.2">
      <c r="A89" s="92">
        <v>45630</v>
      </c>
      <c r="B89" s="93" t="s">
        <v>37</v>
      </c>
      <c r="C89" s="94">
        <v>0.96040000000000003</v>
      </c>
      <c r="D89" s="95" t="s">
        <v>225</v>
      </c>
      <c r="E89" s="96"/>
      <c r="F89" s="96"/>
      <c r="G89" s="97">
        <v>454</v>
      </c>
      <c r="H89" s="98">
        <f t="shared" si="0"/>
        <v>17.978399999999965</v>
      </c>
      <c r="I89" s="99">
        <f t="shared" si="1"/>
        <v>988.81199999999808</v>
      </c>
      <c r="J89" s="100">
        <f t="shared" si="3"/>
        <v>22.700000000000045</v>
      </c>
      <c r="K89" s="101">
        <f t="shared" si="2"/>
        <v>4.7216000000000804</v>
      </c>
    </row>
    <row r="90" spans="1:11" ht="12.75" x14ac:dyDescent="0.2">
      <c r="A90" s="92">
        <v>45631</v>
      </c>
      <c r="B90" s="93" t="s">
        <v>39</v>
      </c>
      <c r="C90" s="94">
        <v>0.97140000000000004</v>
      </c>
      <c r="D90" s="95" t="s">
        <v>226</v>
      </c>
      <c r="E90" s="96"/>
      <c r="F90" s="96"/>
      <c r="G90" s="97">
        <v>454</v>
      </c>
      <c r="H90" s="98">
        <f t="shared" si="0"/>
        <v>12.984399999999994</v>
      </c>
      <c r="I90" s="99">
        <f t="shared" si="1"/>
        <v>714.1419999999996</v>
      </c>
      <c r="J90" s="100">
        <f t="shared" si="3"/>
        <v>22.700000000000045</v>
      </c>
      <c r="K90" s="101">
        <f t="shared" si="2"/>
        <v>9.7156000000000518</v>
      </c>
    </row>
    <row r="91" spans="1:11" ht="12.75" x14ac:dyDescent="0.2">
      <c r="A91" s="92">
        <v>45632</v>
      </c>
      <c r="B91" s="93" t="s">
        <v>41</v>
      </c>
      <c r="C91" s="94">
        <v>0.93389999999999995</v>
      </c>
      <c r="D91" s="95" t="s">
        <v>226</v>
      </c>
      <c r="E91" s="96"/>
      <c r="F91" s="96"/>
      <c r="G91" s="97">
        <v>454</v>
      </c>
      <c r="H91" s="98">
        <f t="shared" si="0"/>
        <v>30.009400000000028</v>
      </c>
      <c r="I91" s="99">
        <f t="shared" si="1"/>
        <v>1650.5170000000016</v>
      </c>
      <c r="J91" s="100">
        <f t="shared" si="3"/>
        <v>22.700000000000045</v>
      </c>
      <c r="K91" s="101">
        <f t="shared" si="2"/>
        <v>-7.3093999999999824</v>
      </c>
    </row>
    <row r="92" spans="1:11" ht="12.75" x14ac:dyDescent="0.2">
      <c r="A92" s="92">
        <v>45635</v>
      </c>
      <c r="B92" s="93" t="s">
        <v>33</v>
      </c>
      <c r="C92" s="94">
        <v>0.95150000000000001</v>
      </c>
      <c r="D92" s="95" t="s">
        <v>226</v>
      </c>
      <c r="E92" s="96"/>
      <c r="F92" s="96"/>
      <c r="G92" s="97">
        <v>454</v>
      </c>
      <c r="H92" s="98">
        <f t="shared" si="0"/>
        <v>22.019000000000005</v>
      </c>
      <c r="I92" s="99">
        <f t="shared" si="1"/>
        <v>1211.0450000000003</v>
      </c>
      <c r="J92" s="100">
        <f t="shared" si="3"/>
        <v>22.700000000000045</v>
      </c>
      <c r="K92" s="101">
        <f t="shared" si="2"/>
        <v>0.68100000000004002</v>
      </c>
    </row>
    <row r="93" spans="1:11" ht="12.75" x14ac:dyDescent="0.2">
      <c r="A93" s="92">
        <v>45636</v>
      </c>
      <c r="B93" s="93" t="s">
        <v>35</v>
      </c>
      <c r="C93" s="94">
        <v>0.96479999999999999</v>
      </c>
      <c r="D93" s="95" t="s">
        <v>226</v>
      </c>
      <c r="E93" s="96"/>
      <c r="F93" s="96"/>
      <c r="G93" s="97">
        <v>454</v>
      </c>
      <c r="H93" s="98">
        <f t="shared" si="0"/>
        <v>15.980799999999988</v>
      </c>
      <c r="I93" s="99">
        <f t="shared" si="1"/>
        <v>878.94399999999928</v>
      </c>
      <c r="J93" s="100">
        <f t="shared" si="3"/>
        <v>22.700000000000045</v>
      </c>
      <c r="K93" s="101">
        <f t="shared" si="2"/>
        <v>6.7192000000000576</v>
      </c>
    </row>
    <row r="94" spans="1:11" ht="12.75" x14ac:dyDescent="0.2">
      <c r="A94" s="92">
        <v>45637</v>
      </c>
      <c r="B94" s="93" t="s">
        <v>37</v>
      </c>
      <c r="C94" s="94">
        <v>0.96919999999999995</v>
      </c>
      <c r="D94" s="95" t="s">
        <v>226</v>
      </c>
      <c r="E94" s="96"/>
      <c r="F94" s="96"/>
      <c r="G94" s="97">
        <v>454</v>
      </c>
      <c r="H94" s="98">
        <f t="shared" si="0"/>
        <v>13.983200000000011</v>
      </c>
      <c r="I94" s="99">
        <f t="shared" si="1"/>
        <v>769.07600000000059</v>
      </c>
      <c r="J94" s="100">
        <f t="shared" si="3"/>
        <v>22.700000000000045</v>
      </c>
      <c r="K94" s="101">
        <f t="shared" si="2"/>
        <v>8.7168000000000347</v>
      </c>
    </row>
    <row r="95" spans="1:11" ht="12.75" x14ac:dyDescent="0.2">
      <c r="A95" s="92">
        <v>45638</v>
      </c>
      <c r="B95" s="93" t="s">
        <v>39</v>
      </c>
      <c r="C95" s="94">
        <v>0.96699999999999997</v>
      </c>
      <c r="D95" s="95" t="s">
        <v>226</v>
      </c>
      <c r="E95" s="96"/>
      <c r="F95" s="96"/>
      <c r="G95" s="97">
        <v>454</v>
      </c>
      <c r="H95" s="98">
        <f t="shared" si="0"/>
        <v>14.982000000000028</v>
      </c>
      <c r="I95" s="99">
        <f t="shared" si="1"/>
        <v>824.01000000000158</v>
      </c>
      <c r="J95" s="100">
        <f t="shared" si="3"/>
        <v>22.700000000000045</v>
      </c>
      <c r="K95" s="101">
        <f t="shared" si="2"/>
        <v>7.7180000000000177</v>
      </c>
    </row>
    <row r="96" spans="1:11" ht="12.75" x14ac:dyDescent="0.2">
      <c r="A96" s="92">
        <v>45639</v>
      </c>
      <c r="B96" s="93" t="s">
        <v>41</v>
      </c>
      <c r="C96" s="94">
        <v>0.94710000000000005</v>
      </c>
      <c r="D96" s="95" t="s">
        <v>226</v>
      </c>
      <c r="E96" s="96"/>
      <c r="F96" s="96"/>
      <c r="G96" s="97">
        <v>454</v>
      </c>
      <c r="H96" s="98">
        <f t="shared" si="0"/>
        <v>24.016599999999983</v>
      </c>
      <c r="I96" s="99">
        <f t="shared" si="1"/>
        <v>1320.9129999999991</v>
      </c>
      <c r="J96" s="100">
        <f t="shared" si="3"/>
        <v>22.700000000000045</v>
      </c>
      <c r="K96" s="101">
        <f t="shared" si="2"/>
        <v>-1.3165999999999372</v>
      </c>
    </row>
    <row r="97" spans="1:11" ht="12.75" x14ac:dyDescent="0.2">
      <c r="A97" s="92">
        <v>45642</v>
      </c>
      <c r="B97" s="93" t="s">
        <v>33</v>
      </c>
      <c r="C97" s="94">
        <v>0.93830000000000002</v>
      </c>
      <c r="D97" s="95" t="s">
        <v>226</v>
      </c>
      <c r="E97" s="96"/>
      <c r="F97" s="96"/>
      <c r="G97" s="97">
        <v>454</v>
      </c>
      <c r="H97" s="98">
        <f t="shared" si="0"/>
        <v>28.011799999999994</v>
      </c>
      <c r="I97" s="99">
        <f t="shared" si="1"/>
        <v>1540.6489999999997</v>
      </c>
      <c r="J97" s="100">
        <f t="shared" si="3"/>
        <v>22.700000000000045</v>
      </c>
      <c r="K97" s="101">
        <f t="shared" si="2"/>
        <v>-5.3117999999999483</v>
      </c>
    </row>
    <row r="98" spans="1:11" ht="12.75" x14ac:dyDescent="0.2">
      <c r="A98" s="92">
        <v>45643</v>
      </c>
      <c r="B98" s="93" t="s">
        <v>35</v>
      </c>
      <c r="C98" s="94">
        <v>0.96040000000000003</v>
      </c>
      <c r="D98" s="95" t="s">
        <v>226</v>
      </c>
      <c r="E98" s="96"/>
      <c r="F98" s="96"/>
      <c r="G98" s="97">
        <v>454</v>
      </c>
      <c r="H98" s="98">
        <f t="shared" si="0"/>
        <v>17.978399999999965</v>
      </c>
      <c r="I98" s="99">
        <f t="shared" si="1"/>
        <v>988.81199999999808</v>
      </c>
      <c r="J98" s="100">
        <f t="shared" si="3"/>
        <v>22.700000000000045</v>
      </c>
      <c r="K98" s="101">
        <f t="shared" si="2"/>
        <v>4.7216000000000804</v>
      </c>
    </row>
    <row r="99" spans="1:11" ht="12.75" x14ac:dyDescent="0.2">
      <c r="A99" s="92">
        <v>45644</v>
      </c>
      <c r="B99" s="93" t="s">
        <v>37</v>
      </c>
      <c r="C99" s="94">
        <v>0.96260000000000001</v>
      </c>
      <c r="D99" s="95" t="s">
        <v>226</v>
      </c>
      <c r="E99" s="96"/>
      <c r="F99" s="96"/>
      <c r="G99" s="97">
        <v>454</v>
      </c>
      <c r="H99" s="98">
        <f t="shared" si="0"/>
        <v>16.979600000000005</v>
      </c>
      <c r="I99" s="99">
        <f t="shared" si="1"/>
        <v>933.87800000000027</v>
      </c>
      <c r="J99" s="100">
        <f t="shared" si="3"/>
        <v>22.700000000000045</v>
      </c>
      <c r="K99" s="101">
        <f t="shared" si="2"/>
        <v>5.7204000000000406</v>
      </c>
    </row>
    <row r="100" spans="1:11" ht="12.75" x14ac:dyDescent="0.2">
      <c r="A100" s="92">
        <v>45645</v>
      </c>
      <c r="B100" s="93" t="s">
        <v>39</v>
      </c>
      <c r="C100" s="94">
        <v>0.97360000000000002</v>
      </c>
      <c r="D100" s="95" t="s">
        <v>226</v>
      </c>
      <c r="E100" s="96"/>
      <c r="F100" s="96"/>
      <c r="G100" s="97">
        <v>454</v>
      </c>
      <c r="H100" s="98">
        <f t="shared" si="0"/>
        <v>11.985599999999977</v>
      </c>
      <c r="I100" s="99">
        <f t="shared" si="1"/>
        <v>659.20799999999872</v>
      </c>
      <c r="J100" s="100">
        <f t="shared" si="3"/>
        <v>22.700000000000045</v>
      </c>
      <c r="K100" s="101">
        <f t="shared" si="2"/>
        <v>10.714400000000069</v>
      </c>
    </row>
    <row r="101" spans="1:11" ht="12.75" x14ac:dyDescent="0.2">
      <c r="A101" s="92">
        <v>45646</v>
      </c>
      <c r="B101" s="93" t="s">
        <v>41</v>
      </c>
      <c r="C101" s="94">
        <v>0.95369999999999999</v>
      </c>
      <c r="D101" s="95" t="s">
        <v>226</v>
      </c>
      <c r="E101" s="96"/>
      <c r="F101" s="96"/>
      <c r="G101" s="97">
        <v>454</v>
      </c>
      <c r="H101" s="98">
        <f t="shared" si="0"/>
        <v>21.020199999999988</v>
      </c>
      <c r="I101" s="99">
        <f t="shared" si="1"/>
        <v>1156.1109999999994</v>
      </c>
      <c r="J101" s="100">
        <f t="shared" si="3"/>
        <v>22.700000000000045</v>
      </c>
      <c r="K101" s="101">
        <f t="shared" si="2"/>
        <v>1.679800000000057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0"/>
        <v>0</v>
      </c>
      <c r="I102" s="99">
        <f t="shared" si="1"/>
        <v>0</v>
      </c>
      <c r="J102" s="100">
        <f t="shared" si="3"/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0"/>
        <v>0</v>
      </c>
      <c r="I103" s="99">
        <f t="shared" si="1"/>
        <v>0</v>
      </c>
      <c r="J103" s="100">
        <f t="shared" si="3"/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0"/>
        <v>0</v>
      </c>
      <c r="I104" s="99">
        <f t="shared" si="1"/>
        <v>0</v>
      </c>
      <c r="J104" s="100">
        <f t="shared" si="3"/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0"/>
        <v>0</v>
      </c>
      <c r="I105" s="99">
        <f t="shared" si="1"/>
        <v>0</v>
      </c>
      <c r="J105" s="100">
        <f t="shared" si="3"/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0"/>
        <v>0</v>
      </c>
      <c r="I106" s="99">
        <f t="shared" si="1"/>
        <v>0</v>
      </c>
      <c r="J106" s="100">
        <f t="shared" si="3"/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0"/>
        <v>0</v>
      </c>
      <c r="I107" s="99">
        <f t="shared" si="1"/>
        <v>0</v>
      </c>
      <c r="J107" s="100">
        <f t="shared" si="3"/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0"/>
        <v>0</v>
      </c>
      <c r="I108" s="99">
        <f t="shared" si="1"/>
        <v>0</v>
      </c>
      <c r="J108" s="100">
        <f t="shared" si="3"/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0"/>
        <v>0</v>
      </c>
      <c r="I109" s="99">
        <f t="shared" si="1"/>
        <v>0</v>
      </c>
      <c r="J109" s="100">
        <f t="shared" si="3"/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0"/>
        <v>0</v>
      </c>
      <c r="I110" s="99">
        <f t="shared" si="1"/>
        <v>0</v>
      </c>
      <c r="J110" s="100">
        <f t="shared" si="3"/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0"/>
        <v>0</v>
      </c>
      <c r="I111" s="99">
        <f t="shared" si="1"/>
        <v>0</v>
      </c>
      <c r="J111" s="100">
        <f t="shared" si="3"/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0"/>
        <v>0</v>
      </c>
      <c r="I112" s="99">
        <f t="shared" si="1"/>
        <v>0</v>
      </c>
      <c r="J112" s="100">
        <f t="shared" si="3"/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0"/>
        <v>0</v>
      </c>
      <c r="I113" s="99">
        <f t="shared" si="1"/>
        <v>0</v>
      </c>
      <c r="J113" s="100">
        <f t="shared" si="3"/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0.94269999999999998</v>
      </c>
      <c r="D114" s="95" t="s">
        <v>226</v>
      </c>
      <c r="E114" s="96"/>
      <c r="F114" s="96"/>
      <c r="G114" s="97">
        <v>454</v>
      </c>
      <c r="H114" s="98">
        <f t="shared" si="0"/>
        <v>26.014200000000017</v>
      </c>
      <c r="I114" s="99">
        <f t="shared" si="1"/>
        <v>1430.7810000000009</v>
      </c>
      <c r="J114" s="100">
        <f t="shared" si="3"/>
        <v>22.700000000000045</v>
      </c>
      <c r="K114" s="101">
        <f t="shared" si="2"/>
        <v>-3.3141999999999712</v>
      </c>
    </row>
    <row r="115" spans="1:11" ht="12.75" x14ac:dyDescent="0.2">
      <c r="A115" s="92">
        <v>45666</v>
      </c>
      <c r="B115" s="93" t="s">
        <v>39</v>
      </c>
      <c r="C115" s="94">
        <v>0.97130000000000005</v>
      </c>
      <c r="D115" s="95" t="s">
        <v>226</v>
      </c>
      <c r="E115" s="96"/>
      <c r="F115" s="96"/>
      <c r="G115" s="97">
        <v>453</v>
      </c>
      <c r="H115" s="98">
        <f t="shared" si="0"/>
        <v>13.001099999999951</v>
      </c>
      <c r="I115" s="99">
        <f t="shared" si="1"/>
        <v>715.06049999999732</v>
      </c>
      <c r="J115" s="100">
        <f t="shared" si="3"/>
        <v>22.650000000000034</v>
      </c>
      <c r="K115" s="101">
        <f t="shared" si="2"/>
        <v>9.6489000000000829</v>
      </c>
    </row>
    <row r="116" spans="1:11" ht="12.75" x14ac:dyDescent="0.2">
      <c r="A116" s="92">
        <v>45667</v>
      </c>
      <c r="B116" s="93" t="s">
        <v>41</v>
      </c>
      <c r="C116" s="94">
        <v>0.94899999999999995</v>
      </c>
      <c r="D116" s="95" t="s">
        <v>226</v>
      </c>
      <c r="E116" s="96"/>
      <c r="F116" s="96"/>
      <c r="G116" s="97">
        <v>451</v>
      </c>
      <c r="H116" s="98">
        <f t="shared" si="0"/>
        <v>23.001000000000033</v>
      </c>
      <c r="I116" s="99">
        <f t="shared" si="1"/>
        <v>1265.0550000000019</v>
      </c>
      <c r="J116" s="100">
        <f t="shared" si="3"/>
        <v>22.550000000000011</v>
      </c>
      <c r="K116" s="101">
        <f t="shared" si="2"/>
        <v>-0.45100000000002183</v>
      </c>
    </row>
    <row r="117" spans="1:11" ht="12.75" x14ac:dyDescent="0.2">
      <c r="A117" s="92">
        <v>45670</v>
      </c>
      <c r="B117" s="93" t="s">
        <v>33</v>
      </c>
      <c r="C117" s="94">
        <v>0.95789999999999997</v>
      </c>
      <c r="D117" s="95" t="s">
        <v>226</v>
      </c>
      <c r="E117" s="96"/>
      <c r="F117" s="96"/>
      <c r="G117" s="97">
        <v>451</v>
      </c>
      <c r="H117" s="98">
        <f t="shared" si="0"/>
        <v>18.987099999999998</v>
      </c>
      <c r="I117" s="99">
        <f t="shared" si="1"/>
        <v>1044.2904999999998</v>
      </c>
      <c r="J117" s="100">
        <f t="shared" si="3"/>
        <v>22.550000000000011</v>
      </c>
      <c r="K117" s="101">
        <f t="shared" si="2"/>
        <v>3.5629000000000133</v>
      </c>
    </row>
    <row r="118" spans="1:11" ht="12.75" x14ac:dyDescent="0.2">
      <c r="A118" s="92">
        <v>45671</v>
      </c>
      <c r="B118" s="93" t="s">
        <v>35</v>
      </c>
      <c r="C118" s="94">
        <v>0.96009999999999995</v>
      </c>
      <c r="D118" s="95"/>
      <c r="E118" s="96"/>
      <c r="F118" s="96"/>
      <c r="G118" s="97">
        <v>451</v>
      </c>
      <c r="H118" s="98">
        <f t="shared" si="0"/>
        <v>17.99490000000003</v>
      </c>
      <c r="I118" s="99">
        <f t="shared" si="1"/>
        <v>989.71950000000163</v>
      </c>
      <c r="J118" s="100">
        <f t="shared" si="3"/>
        <v>22.550000000000011</v>
      </c>
      <c r="K118" s="101">
        <f t="shared" si="2"/>
        <v>4.5550999999999817</v>
      </c>
    </row>
    <row r="119" spans="1:11" ht="12.75" x14ac:dyDescent="0.2">
      <c r="A119" s="92">
        <v>45672</v>
      </c>
      <c r="B119" s="93" t="s">
        <v>37</v>
      </c>
      <c r="C119" s="94">
        <v>0.95789999999999997</v>
      </c>
      <c r="D119" s="95" t="s">
        <v>226</v>
      </c>
      <c r="E119" s="96"/>
      <c r="F119" s="96"/>
      <c r="G119" s="97">
        <v>451</v>
      </c>
      <c r="H119" s="98">
        <f t="shared" si="0"/>
        <v>18.987099999999998</v>
      </c>
      <c r="I119" s="99">
        <f t="shared" si="1"/>
        <v>1044.2904999999998</v>
      </c>
      <c r="J119" s="100">
        <f t="shared" si="3"/>
        <v>22.550000000000011</v>
      </c>
      <c r="K119" s="101">
        <f t="shared" si="2"/>
        <v>3.5629000000000133</v>
      </c>
    </row>
    <row r="120" spans="1:11" ht="12.75" x14ac:dyDescent="0.2">
      <c r="A120" s="92">
        <v>45673</v>
      </c>
      <c r="B120" s="93" t="s">
        <v>39</v>
      </c>
      <c r="C120" s="94">
        <v>0.92459999999999998</v>
      </c>
      <c r="D120" s="95" t="s">
        <v>226</v>
      </c>
      <c r="E120" s="96"/>
      <c r="F120" s="96"/>
      <c r="G120" s="97">
        <v>451</v>
      </c>
      <c r="H120" s="98">
        <f t="shared" si="0"/>
        <v>34.005400000000009</v>
      </c>
      <c r="I120" s="99">
        <f t="shared" si="1"/>
        <v>1870.2970000000005</v>
      </c>
      <c r="J120" s="100">
        <f t="shared" si="3"/>
        <v>22.550000000000011</v>
      </c>
      <c r="K120" s="101">
        <f t="shared" si="2"/>
        <v>-11.455399999999997</v>
      </c>
    </row>
    <row r="121" spans="1:11" ht="25.5" x14ac:dyDescent="0.2">
      <c r="A121" s="92">
        <v>45674</v>
      </c>
      <c r="B121" s="93" t="s">
        <v>41</v>
      </c>
      <c r="C121" s="94">
        <v>0.95109999999999995</v>
      </c>
      <c r="D121" s="95" t="s">
        <v>226</v>
      </c>
      <c r="E121" s="96" t="s">
        <v>233</v>
      </c>
      <c r="F121" s="96" t="s">
        <v>480</v>
      </c>
      <c r="G121" s="97">
        <v>450</v>
      </c>
      <c r="H121" s="98">
        <f t="shared" si="0"/>
        <v>22.005000000000052</v>
      </c>
      <c r="I121" s="99">
        <f t="shared" si="1"/>
        <v>1210.2750000000028</v>
      </c>
      <c r="J121" s="100">
        <f t="shared" si="3"/>
        <v>22.5</v>
      </c>
      <c r="K121" s="101">
        <f t="shared" si="2"/>
        <v>0.4949999999999477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0"/>
        <v>0</v>
      </c>
      <c r="I122" s="99">
        <f t="shared" si="1"/>
        <v>0</v>
      </c>
      <c r="J122" s="100">
        <f t="shared" si="3"/>
        <v>0</v>
      </c>
      <c r="K122" s="101">
        <f t="shared" si="2"/>
        <v>0</v>
      </c>
    </row>
    <row r="123" spans="1:11" ht="12.75" x14ac:dyDescent="0.2">
      <c r="A123" s="92">
        <v>45678</v>
      </c>
      <c r="B123" s="93" t="s">
        <v>35</v>
      </c>
      <c r="C123" s="95"/>
      <c r="D123" s="95"/>
      <c r="E123" s="96" t="s">
        <v>246</v>
      </c>
      <c r="F123" s="96" t="s">
        <v>481</v>
      </c>
      <c r="H123" s="98">
        <f t="shared" si="0"/>
        <v>0</v>
      </c>
      <c r="I123" s="99">
        <f t="shared" si="1"/>
        <v>0</v>
      </c>
      <c r="J123" s="100">
        <f t="shared" si="3"/>
        <v>0</v>
      </c>
      <c r="K123" s="101">
        <f t="shared" si="2"/>
        <v>0</v>
      </c>
    </row>
    <row r="124" spans="1:11" ht="12.75" x14ac:dyDescent="0.2">
      <c r="A124" s="92">
        <v>45679</v>
      </c>
      <c r="B124" s="93" t="s">
        <v>37</v>
      </c>
      <c r="C124" s="95"/>
      <c r="D124" s="95"/>
      <c r="E124" s="96" t="s">
        <v>246</v>
      </c>
      <c r="F124" s="96" t="s">
        <v>482</v>
      </c>
      <c r="H124" s="98">
        <f t="shared" si="0"/>
        <v>0</v>
      </c>
      <c r="I124" s="99">
        <f t="shared" si="1"/>
        <v>0</v>
      </c>
      <c r="J124" s="100">
        <f t="shared" si="3"/>
        <v>0</v>
      </c>
      <c r="K124" s="101">
        <f t="shared" si="2"/>
        <v>0</v>
      </c>
    </row>
    <row r="125" spans="1:11" ht="12.75" x14ac:dyDescent="0.2">
      <c r="A125" s="92">
        <v>45680</v>
      </c>
      <c r="B125" s="93" t="s">
        <v>39</v>
      </c>
      <c r="C125" s="94">
        <v>0.91110000000000002</v>
      </c>
      <c r="D125" s="95" t="s">
        <v>226</v>
      </c>
      <c r="E125" s="96" t="s">
        <v>246</v>
      </c>
      <c r="F125" s="96" t="s">
        <v>483</v>
      </c>
      <c r="G125" s="97">
        <v>450</v>
      </c>
      <c r="H125" s="98">
        <f t="shared" si="0"/>
        <v>40.004999999999995</v>
      </c>
      <c r="I125" s="99">
        <f t="shared" si="1"/>
        <v>2200.2749999999996</v>
      </c>
      <c r="J125" s="100">
        <f t="shared" si="3"/>
        <v>22.5</v>
      </c>
      <c r="K125" s="101">
        <f t="shared" si="2"/>
        <v>-17.504999999999995</v>
      </c>
    </row>
    <row r="126" spans="1:11" ht="12.75" x14ac:dyDescent="0.2">
      <c r="A126" s="92">
        <v>45681</v>
      </c>
      <c r="B126" s="93" t="s">
        <v>41</v>
      </c>
      <c r="C126" s="94">
        <v>0.94220000000000004</v>
      </c>
      <c r="D126" s="95" t="s">
        <v>226</v>
      </c>
      <c r="E126" s="96"/>
      <c r="F126" s="96"/>
      <c r="G126" s="97">
        <v>450</v>
      </c>
      <c r="H126" s="98">
        <f t="shared" si="0"/>
        <v>26.009999999999991</v>
      </c>
      <c r="I126" s="99">
        <f t="shared" si="1"/>
        <v>1430.5499999999995</v>
      </c>
      <c r="J126" s="100">
        <f t="shared" si="3"/>
        <v>22.5</v>
      </c>
      <c r="K126" s="101">
        <f t="shared" si="2"/>
        <v>-3.5099999999999909</v>
      </c>
    </row>
    <row r="127" spans="1:11" ht="12.75" x14ac:dyDescent="0.2">
      <c r="A127" s="92">
        <v>45684</v>
      </c>
      <c r="B127" s="93" t="s">
        <v>33</v>
      </c>
      <c r="C127" s="94">
        <v>0.96220000000000006</v>
      </c>
      <c r="D127" s="95" t="s">
        <v>226</v>
      </c>
      <c r="E127" s="96"/>
      <c r="F127" s="96"/>
      <c r="G127" s="97">
        <v>450</v>
      </c>
      <c r="H127" s="98">
        <f t="shared" si="0"/>
        <v>17.009999999999991</v>
      </c>
      <c r="I127" s="99">
        <f t="shared" si="1"/>
        <v>935.5499999999995</v>
      </c>
      <c r="J127" s="100">
        <f t="shared" si="3"/>
        <v>22.5</v>
      </c>
      <c r="K127" s="101">
        <f t="shared" si="2"/>
        <v>5.4900000000000091</v>
      </c>
    </row>
    <row r="128" spans="1:11" ht="12.75" x14ac:dyDescent="0.2">
      <c r="A128" s="92">
        <v>45685</v>
      </c>
      <c r="B128" s="93" t="s">
        <v>35</v>
      </c>
      <c r="C128" s="94">
        <v>0.9778</v>
      </c>
      <c r="D128" s="95" t="s">
        <v>226</v>
      </c>
      <c r="E128" s="96"/>
      <c r="F128" s="96"/>
      <c r="G128" s="97">
        <v>450</v>
      </c>
      <c r="H128" s="98">
        <f t="shared" si="0"/>
        <v>9.9900000000000091</v>
      </c>
      <c r="I128" s="99">
        <f t="shared" si="1"/>
        <v>549.4500000000005</v>
      </c>
      <c r="J128" s="100">
        <f t="shared" si="3"/>
        <v>22.5</v>
      </c>
      <c r="K128" s="101">
        <f t="shared" si="2"/>
        <v>12.509999999999991</v>
      </c>
    </row>
    <row r="129" spans="1:11" ht="12.75" x14ac:dyDescent="0.2">
      <c r="A129" s="92">
        <v>45686</v>
      </c>
      <c r="B129" s="93" t="s">
        <v>37</v>
      </c>
      <c r="C129" s="94">
        <v>0.97560000000000002</v>
      </c>
      <c r="D129" s="95" t="s">
        <v>226</v>
      </c>
      <c r="E129" s="96"/>
      <c r="F129" s="96"/>
      <c r="G129" s="97">
        <v>450</v>
      </c>
      <c r="H129" s="98">
        <f t="shared" si="0"/>
        <v>10.980000000000018</v>
      </c>
      <c r="I129" s="99">
        <f t="shared" si="1"/>
        <v>603.900000000001</v>
      </c>
      <c r="J129" s="100">
        <f t="shared" si="3"/>
        <v>22.5</v>
      </c>
      <c r="K129" s="101">
        <f t="shared" si="2"/>
        <v>11.519999999999982</v>
      </c>
    </row>
    <row r="130" spans="1:11" ht="12.75" x14ac:dyDescent="0.2">
      <c r="A130" s="92">
        <v>45687</v>
      </c>
      <c r="B130" s="93" t="s">
        <v>39</v>
      </c>
      <c r="C130" s="94">
        <v>0.98</v>
      </c>
      <c r="D130" s="95" t="s">
        <v>226</v>
      </c>
      <c r="E130" s="96"/>
      <c r="F130" s="96"/>
      <c r="G130" s="97">
        <v>450</v>
      </c>
      <c r="H130" s="98">
        <f t="shared" si="0"/>
        <v>9</v>
      </c>
      <c r="I130" s="99">
        <f t="shared" si="1"/>
        <v>495</v>
      </c>
      <c r="J130" s="100">
        <f t="shared" si="3"/>
        <v>22.5</v>
      </c>
      <c r="K130" s="101">
        <f t="shared" si="2"/>
        <v>13.5</v>
      </c>
    </row>
    <row r="131" spans="1:11" ht="12.75" x14ac:dyDescent="0.2">
      <c r="A131" s="92">
        <v>45688</v>
      </c>
      <c r="B131" s="93" t="s">
        <v>41</v>
      </c>
      <c r="C131" s="94">
        <v>0.96</v>
      </c>
      <c r="D131" s="95" t="s">
        <v>226</v>
      </c>
      <c r="E131" s="96"/>
      <c r="F131" s="96"/>
      <c r="G131" s="97">
        <v>450</v>
      </c>
      <c r="H131" s="98">
        <f t="shared" si="0"/>
        <v>18</v>
      </c>
      <c r="I131" s="99">
        <f t="shared" si="1"/>
        <v>990</v>
      </c>
      <c r="J131" s="100">
        <f t="shared" si="3"/>
        <v>22.5</v>
      </c>
      <c r="K131" s="101">
        <f t="shared" si="2"/>
        <v>4.5</v>
      </c>
    </row>
    <row r="132" spans="1:11" ht="25.5" x14ac:dyDescent="0.2">
      <c r="A132" s="92">
        <v>45691</v>
      </c>
      <c r="B132" s="93" t="s">
        <v>33</v>
      </c>
      <c r="C132" s="94">
        <v>0.8911</v>
      </c>
      <c r="D132" s="95" t="s">
        <v>227</v>
      </c>
      <c r="E132" s="96" t="s">
        <v>233</v>
      </c>
      <c r="F132" s="96" t="s">
        <v>484</v>
      </c>
      <c r="G132" s="97">
        <v>450</v>
      </c>
      <c r="H132" s="98">
        <f t="shared" si="0"/>
        <v>49.004999999999995</v>
      </c>
      <c r="I132" s="99">
        <f t="shared" si="1"/>
        <v>2695.2749999999996</v>
      </c>
      <c r="J132" s="100">
        <f t="shared" si="3"/>
        <v>22.5</v>
      </c>
      <c r="K132" s="101">
        <f t="shared" si="2"/>
        <v>-26.504999999999995</v>
      </c>
    </row>
    <row r="133" spans="1:11" ht="12.75" x14ac:dyDescent="0.2">
      <c r="A133" s="92">
        <v>45692</v>
      </c>
      <c r="B133" s="93" t="s">
        <v>35</v>
      </c>
      <c r="C133" s="94">
        <v>0.9667</v>
      </c>
      <c r="D133" s="95" t="s">
        <v>226</v>
      </c>
      <c r="E133" s="96"/>
      <c r="F133" s="96"/>
      <c r="G133" s="97">
        <v>450</v>
      </c>
      <c r="H133" s="98">
        <f t="shared" si="0"/>
        <v>14.985000000000014</v>
      </c>
      <c r="I133" s="99">
        <f t="shared" si="1"/>
        <v>824.17500000000075</v>
      </c>
      <c r="J133" s="100">
        <f t="shared" si="3"/>
        <v>22.5</v>
      </c>
      <c r="K133" s="101">
        <f t="shared" si="2"/>
        <v>7.5149999999999864</v>
      </c>
    </row>
    <row r="134" spans="1:11" ht="12.75" x14ac:dyDescent="0.2">
      <c r="A134" s="92">
        <v>45693</v>
      </c>
      <c r="B134" s="93" t="s">
        <v>37</v>
      </c>
      <c r="C134" s="94">
        <v>0.96760000000000002</v>
      </c>
      <c r="D134" s="95" t="s">
        <v>226</v>
      </c>
      <c r="E134" s="96"/>
      <c r="F134" s="96"/>
      <c r="G134" s="97">
        <v>450</v>
      </c>
      <c r="H134" s="98">
        <f t="shared" si="0"/>
        <v>14.579999999999984</v>
      </c>
      <c r="I134" s="99">
        <f t="shared" si="1"/>
        <v>801.89999999999918</v>
      </c>
      <c r="J134" s="100">
        <f t="shared" si="3"/>
        <v>22.5</v>
      </c>
      <c r="K134" s="101">
        <f t="shared" si="2"/>
        <v>7.9200000000000159</v>
      </c>
    </row>
    <row r="135" spans="1:11" ht="12.75" x14ac:dyDescent="0.2">
      <c r="A135" s="92">
        <v>45694</v>
      </c>
      <c r="B135" s="93" t="s">
        <v>39</v>
      </c>
      <c r="C135" s="94">
        <v>0.98</v>
      </c>
      <c r="D135" s="95" t="s">
        <v>226</v>
      </c>
      <c r="E135" s="96"/>
      <c r="F135" s="96"/>
      <c r="G135" s="97">
        <v>450</v>
      </c>
      <c r="H135" s="98">
        <f t="shared" si="0"/>
        <v>9</v>
      </c>
      <c r="I135" s="99">
        <f t="shared" si="1"/>
        <v>495</v>
      </c>
      <c r="J135" s="100">
        <f t="shared" si="3"/>
        <v>22.5</v>
      </c>
      <c r="K135" s="101">
        <f t="shared" si="2"/>
        <v>13.5</v>
      </c>
    </row>
    <row r="136" spans="1:11" ht="12.75" x14ac:dyDescent="0.2">
      <c r="A136" s="92">
        <v>45695</v>
      </c>
      <c r="B136" s="93" t="s">
        <v>41</v>
      </c>
      <c r="C136" s="94">
        <v>0.9667</v>
      </c>
      <c r="D136" s="95" t="s">
        <v>226</v>
      </c>
      <c r="E136" s="96"/>
      <c r="F136" s="96"/>
      <c r="G136" s="97">
        <v>450</v>
      </c>
      <c r="H136" s="98">
        <f t="shared" si="0"/>
        <v>14.985000000000014</v>
      </c>
      <c r="I136" s="99">
        <f t="shared" si="1"/>
        <v>824.17500000000075</v>
      </c>
      <c r="J136" s="100">
        <f t="shared" si="3"/>
        <v>22.5</v>
      </c>
      <c r="K136" s="101">
        <f t="shared" si="2"/>
        <v>7.5149999999999864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0"/>
        <v>0</v>
      </c>
      <c r="I137" s="99">
        <f t="shared" si="1"/>
        <v>0</v>
      </c>
      <c r="J137" s="100">
        <f t="shared" si="3"/>
        <v>0</v>
      </c>
      <c r="K137" s="101">
        <f t="shared" si="2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0"/>
        <v>0</v>
      </c>
      <c r="I138" s="99">
        <f t="shared" si="1"/>
        <v>0</v>
      </c>
      <c r="J138" s="100">
        <f t="shared" si="3"/>
        <v>0</v>
      </c>
      <c r="K138" s="101">
        <f t="shared" si="2"/>
        <v>0</v>
      </c>
    </row>
    <row r="139" spans="1:11" ht="12.75" x14ac:dyDescent="0.2">
      <c r="A139" s="92">
        <v>45700</v>
      </c>
      <c r="B139" s="93" t="s">
        <v>37</v>
      </c>
      <c r="C139" s="94">
        <v>0.9556</v>
      </c>
      <c r="D139" s="95" t="s">
        <v>226</v>
      </c>
      <c r="E139" s="96"/>
      <c r="F139" s="96"/>
      <c r="G139" s="97">
        <v>450</v>
      </c>
      <c r="H139" s="98">
        <f t="shared" si="0"/>
        <v>19.980000000000018</v>
      </c>
      <c r="I139" s="99">
        <f t="shared" si="1"/>
        <v>1098.900000000001</v>
      </c>
      <c r="J139" s="100">
        <f t="shared" si="3"/>
        <v>22.5</v>
      </c>
      <c r="K139" s="101">
        <f t="shared" si="2"/>
        <v>2.5199999999999818</v>
      </c>
    </row>
    <row r="140" spans="1:11" ht="12.75" x14ac:dyDescent="0.2">
      <c r="A140" s="92">
        <v>45701</v>
      </c>
      <c r="B140" s="93" t="s">
        <v>39</v>
      </c>
      <c r="C140" s="94">
        <v>0.98</v>
      </c>
      <c r="D140" s="95" t="s">
        <v>226</v>
      </c>
      <c r="E140" s="96"/>
      <c r="F140" s="96"/>
      <c r="G140" s="97">
        <v>450</v>
      </c>
      <c r="H140" s="98">
        <f t="shared" si="0"/>
        <v>9</v>
      </c>
      <c r="I140" s="99">
        <f t="shared" si="1"/>
        <v>495</v>
      </c>
      <c r="J140" s="100">
        <f t="shared" si="3"/>
        <v>22.5</v>
      </c>
      <c r="K140" s="101">
        <f t="shared" si="2"/>
        <v>13.5</v>
      </c>
    </row>
    <row r="141" spans="1:11" ht="12.75" x14ac:dyDescent="0.2">
      <c r="A141" s="92">
        <v>45702</v>
      </c>
      <c r="B141" s="93" t="s">
        <v>41</v>
      </c>
      <c r="C141" s="94">
        <v>0.94440000000000002</v>
      </c>
      <c r="D141" s="95" t="s">
        <v>226</v>
      </c>
      <c r="E141" s="96"/>
      <c r="F141" s="96"/>
      <c r="G141" s="97">
        <v>450</v>
      </c>
      <c r="H141" s="98">
        <f t="shared" si="0"/>
        <v>25.019999999999982</v>
      </c>
      <c r="I141" s="99">
        <f t="shared" si="1"/>
        <v>1376.099999999999</v>
      </c>
      <c r="J141" s="100">
        <f t="shared" si="3"/>
        <v>22.5</v>
      </c>
      <c r="K141" s="101">
        <f t="shared" si="2"/>
        <v>-2.5199999999999818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0"/>
        <v>0</v>
      </c>
      <c r="I142" s="99">
        <f t="shared" si="1"/>
        <v>0</v>
      </c>
      <c r="J142" s="100">
        <f t="shared" si="3"/>
        <v>0</v>
      </c>
      <c r="K142" s="101">
        <f t="shared" si="2"/>
        <v>0</v>
      </c>
    </row>
    <row r="143" spans="1:11" ht="12.75" x14ac:dyDescent="0.2">
      <c r="A143" s="92">
        <v>45706</v>
      </c>
      <c r="B143" s="93" t="s">
        <v>35</v>
      </c>
      <c r="C143" s="94">
        <v>0.98</v>
      </c>
      <c r="D143" s="95" t="s">
        <v>226</v>
      </c>
      <c r="E143" s="96"/>
      <c r="F143" s="96"/>
      <c r="G143" s="97">
        <v>449</v>
      </c>
      <c r="H143" s="98">
        <f t="shared" si="0"/>
        <v>8.9800000000000182</v>
      </c>
      <c r="I143" s="99">
        <f t="shared" si="1"/>
        <v>493.900000000001</v>
      </c>
      <c r="J143" s="100">
        <f t="shared" si="3"/>
        <v>22.450000000000045</v>
      </c>
      <c r="K143" s="101">
        <f t="shared" si="2"/>
        <v>13.470000000000027</v>
      </c>
    </row>
    <row r="144" spans="1:11" ht="12.75" x14ac:dyDescent="0.2">
      <c r="A144" s="92">
        <v>45707</v>
      </c>
      <c r="B144" s="93" t="s">
        <v>37</v>
      </c>
      <c r="C144" s="94">
        <v>0.9889</v>
      </c>
      <c r="D144" s="95" t="s">
        <v>226</v>
      </c>
      <c r="E144" s="96"/>
      <c r="F144" s="96"/>
      <c r="G144" s="97">
        <v>449</v>
      </c>
      <c r="H144" s="98">
        <f t="shared" si="0"/>
        <v>4.9839000000000055</v>
      </c>
      <c r="I144" s="99">
        <f t="shared" si="1"/>
        <v>274.11450000000031</v>
      </c>
      <c r="J144" s="100">
        <f t="shared" si="3"/>
        <v>22.450000000000045</v>
      </c>
      <c r="K144" s="101">
        <f t="shared" si="2"/>
        <v>17.46610000000004</v>
      </c>
    </row>
    <row r="145" spans="1:11" ht="12.75" x14ac:dyDescent="0.2">
      <c r="A145" s="92">
        <v>45708</v>
      </c>
      <c r="B145" s="93" t="s">
        <v>39</v>
      </c>
      <c r="C145" s="94">
        <v>0.96660000000000001</v>
      </c>
      <c r="D145" s="95" t="s">
        <v>226</v>
      </c>
      <c r="E145" s="96"/>
      <c r="F145" s="96"/>
      <c r="G145" s="97">
        <v>449</v>
      </c>
      <c r="H145" s="98">
        <f t="shared" si="0"/>
        <v>14.996600000000001</v>
      </c>
      <c r="I145" s="99">
        <f t="shared" si="1"/>
        <v>824.8130000000001</v>
      </c>
      <c r="J145" s="100">
        <f t="shared" si="3"/>
        <v>22.450000000000045</v>
      </c>
      <c r="K145" s="101">
        <f t="shared" si="2"/>
        <v>7.4534000000000447</v>
      </c>
    </row>
    <row r="146" spans="1:11" ht="25.5" x14ac:dyDescent="0.2">
      <c r="A146" s="92">
        <v>45709</v>
      </c>
      <c r="B146" s="93" t="s">
        <v>41</v>
      </c>
      <c r="C146" s="94">
        <v>0.94869999999999999</v>
      </c>
      <c r="D146" s="95" t="s">
        <v>226</v>
      </c>
      <c r="E146" s="96" t="s">
        <v>246</v>
      </c>
      <c r="F146" s="96" t="s">
        <v>485</v>
      </c>
      <c r="G146" s="97">
        <v>448</v>
      </c>
      <c r="H146" s="98">
        <f t="shared" si="0"/>
        <v>22.982399999999984</v>
      </c>
      <c r="I146" s="99">
        <f t="shared" si="1"/>
        <v>1264.0319999999992</v>
      </c>
      <c r="J146" s="100">
        <f t="shared" si="3"/>
        <v>22.400000000000034</v>
      </c>
      <c r="K146" s="101">
        <f t="shared" si="2"/>
        <v>-0.58239999999995007</v>
      </c>
    </row>
    <row r="147" spans="1:11" ht="12.75" x14ac:dyDescent="0.2">
      <c r="A147" s="92">
        <v>45712</v>
      </c>
      <c r="B147" s="93" t="s">
        <v>33</v>
      </c>
      <c r="C147" s="94">
        <v>0.95760000000000001</v>
      </c>
      <c r="D147" s="95" t="s">
        <v>226</v>
      </c>
      <c r="E147" s="96"/>
      <c r="F147" s="96"/>
      <c r="G147" s="97">
        <v>448</v>
      </c>
      <c r="H147" s="98">
        <f t="shared" si="0"/>
        <v>18.995200000000011</v>
      </c>
      <c r="I147" s="99">
        <f t="shared" si="1"/>
        <v>1044.7360000000006</v>
      </c>
      <c r="J147" s="100">
        <f t="shared" si="3"/>
        <v>22.400000000000034</v>
      </c>
      <c r="K147" s="101">
        <f t="shared" si="2"/>
        <v>3.4048000000000229</v>
      </c>
    </row>
    <row r="148" spans="1:11" ht="12.75" x14ac:dyDescent="0.2">
      <c r="A148" s="92">
        <v>45713</v>
      </c>
      <c r="B148" s="93" t="s">
        <v>35</v>
      </c>
      <c r="C148" s="94">
        <v>0.97319999999999995</v>
      </c>
      <c r="D148" s="95" t="s">
        <v>226</v>
      </c>
      <c r="E148" s="96"/>
      <c r="F148" s="96"/>
      <c r="G148" s="97">
        <v>448</v>
      </c>
      <c r="H148" s="98">
        <f t="shared" si="0"/>
        <v>12.006400000000042</v>
      </c>
      <c r="I148" s="99">
        <f t="shared" si="1"/>
        <v>660.35200000000236</v>
      </c>
      <c r="J148" s="100">
        <f t="shared" si="3"/>
        <v>22.400000000000034</v>
      </c>
      <c r="K148" s="101">
        <f t="shared" si="2"/>
        <v>10.393599999999992</v>
      </c>
    </row>
    <row r="149" spans="1:11" ht="12.75" x14ac:dyDescent="0.2">
      <c r="A149" s="92">
        <v>45714</v>
      </c>
      <c r="B149" s="93" t="s">
        <v>37</v>
      </c>
      <c r="C149" s="94">
        <v>0.94869999999999999</v>
      </c>
      <c r="D149" s="95" t="s">
        <v>226</v>
      </c>
      <c r="E149" s="96"/>
      <c r="F149" s="96"/>
      <c r="G149" s="97">
        <v>448</v>
      </c>
      <c r="H149" s="98">
        <f t="shared" si="0"/>
        <v>22.982399999999984</v>
      </c>
      <c r="I149" s="99">
        <f t="shared" si="1"/>
        <v>1264.0319999999992</v>
      </c>
      <c r="J149" s="100">
        <f t="shared" si="3"/>
        <v>22.400000000000034</v>
      </c>
      <c r="K149" s="101">
        <f t="shared" si="2"/>
        <v>-0.58239999999995007</v>
      </c>
    </row>
    <row r="150" spans="1:11" ht="12.75" x14ac:dyDescent="0.2">
      <c r="A150" s="92">
        <v>45715</v>
      </c>
      <c r="B150" s="93" t="s">
        <v>39</v>
      </c>
      <c r="C150" s="94">
        <v>0.94869999999999999</v>
      </c>
      <c r="D150" s="95" t="s">
        <v>226</v>
      </c>
      <c r="E150" s="96"/>
      <c r="F150" s="96"/>
      <c r="G150" s="97">
        <v>448</v>
      </c>
      <c r="H150" s="98">
        <f t="shared" si="0"/>
        <v>22.982399999999984</v>
      </c>
      <c r="I150" s="99">
        <f t="shared" si="1"/>
        <v>1264.0319999999992</v>
      </c>
      <c r="J150" s="100">
        <f t="shared" si="3"/>
        <v>22.400000000000034</v>
      </c>
      <c r="K150" s="101">
        <f t="shared" si="2"/>
        <v>-0.58239999999995007</v>
      </c>
    </row>
    <row r="151" spans="1:11" ht="12.75" x14ac:dyDescent="0.2">
      <c r="A151" s="92">
        <v>45716</v>
      </c>
      <c r="B151" s="93" t="s">
        <v>41</v>
      </c>
      <c r="C151" s="94">
        <v>0.94420000000000004</v>
      </c>
      <c r="D151" s="95" t="s">
        <v>226</v>
      </c>
      <c r="E151" s="96"/>
      <c r="F151" s="96"/>
      <c r="G151" s="97">
        <v>448</v>
      </c>
      <c r="H151" s="98">
        <f t="shared" si="0"/>
        <v>24.998400000000004</v>
      </c>
      <c r="I151" s="99">
        <f t="shared" si="1"/>
        <v>1374.9120000000003</v>
      </c>
      <c r="J151" s="100">
        <f t="shared" si="3"/>
        <v>22.400000000000034</v>
      </c>
      <c r="K151" s="101">
        <f t="shared" si="2"/>
        <v>-2.5983999999999696</v>
      </c>
    </row>
    <row r="152" spans="1:11" ht="12.75" x14ac:dyDescent="0.2">
      <c r="A152" s="92">
        <v>45719</v>
      </c>
      <c r="B152" s="93" t="s">
        <v>33</v>
      </c>
      <c r="C152" s="94">
        <v>0.93740000000000001</v>
      </c>
      <c r="D152" s="95" t="s">
        <v>226</v>
      </c>
      <c r="E152" s="96"/>
      <c r="F152" s="96"/>
      <c r="G152" s="97">
        <v>447</v>
      </c>
      <c r="H152" s="98">
        <f t="shared" si="0"/>
        <v>27.982199999999978</v>
      </c>
      <c r="I152" s="99">
        <f t="shared" si="1"/>
        <v>1539.0209999999988</v>
      </c>
      <c r="J152" s="100">
        <f t="shared" si="3"/>
        <v>22.350000000000023</v>
      </c>
      <c r="K152" s="101">
        <f t="shared" si="2"/>
        <v>-5.6321999999999548</v>
      </c>
    </row>
    <row r="153" spans="1:11" ht="12.75" x14ac:dyDescent="0.2">
      <c r="A153" s="92">
        <v>45720</v>
      </c>
      <c r="B153" s="93" t="s">
        <v>35</v>
      </c>
      <c r="C153" s="94">
        <v>0.93530000000000002</v>
      </c>
      <c r="D153" s="95" t="s">
        <v>226</v>
      </c>
      <c r="E153" s="96"/>
      <c r="F153" s="96"/>
      <c r="G153" s="97">
        <v>448</v>
      </c>
      <c r="H153" s="98">
        <f t="shared" si="0"/>
        <v>28.985599999999977</v>
      </c>
      <c r="I153" s="99">
        <f t="shared" si="1"/>
        <v>1594.2079999999987</v>
      </c>
      <c r="J153" s="100">
        <f t="shared" si="3"/>
        <v>22.400000000000034</v>
      </c>
      <c r="K153" s="101">
        <f t="shared" si="2"/>
        <v>-6.5855999999999426</v>
      </c>
    </row>
    <row r="154" spans="1:11" ht="12.75" x14ac:dyDescent="0.2">
      <c r="A154" s="92">
        <v>45721</v>
      </c>
      <c r="B154" s="93" t="s">
        <v>37</v>
      </c>
      <c r="C154" s="94">
        <v>0.98209999999999997</v>
      </c>
      <c r="D154" s="95" t="s">
        <v>226</v>
      </c>
      <c r="E154" s="96"/>
      <c r="F154" s="96"/>
      <c r="G154" s="97">
        <v>448</v>
      </c>
      <c r="H154" s="98">
        <f t="shared" si="0"/>
        <v>8.0192000000000121</v>
      </c>
      <c r="I154" s="99">
        <f t="shared" si="1"/>
        <v>441.05600000000067</v>
      </c>
      <c r="J154" s="100">
        <f t="shared" si="3"/>
        <v>22.400000000000034</v>
      </c>
      <c r="K154" s="101">
        <f t="shared" si="2"/>
        <v>14.380800000000022</v>
      </c>
    </row>
    <row r="155" spans="1:11" ht="12.75" x14ac:dyDescent="0.2">
      <c r="A155" s="92">
        <v>45722</v>
      </c>
      <c r="B155" s="93" t="s">
        <v>39</v>
      </c>
      <c r="C155" s="94">
        <v>0.96209999999999996</v>
      </c>
      <c r="D155" s="95" t="s">
        <v>226</v>
      </c>
      <c r="E155" s="96"/>
      <c r="F155" s="96"/>
      <c r="G155" s="97">
        <v>448</v>
      </c>
      <c r="H155" s="98">
        <f t="shared" si="0"/>
        <v>16.979199999999992</v>
      </c>
      <c r="I155" s="99">
        <f t="shared" si="1"/>
        <v>933.85599999999954</v>
      </c>
      <c r="J155" s="100">
        <f t="shared" si="3"/>
        <v>22.400000000000034</v>
      </c>
      <c r="K155" s="101">
        <f t="shared" si="2"/>
        <v>5.4208000000000425</v>
      </c>
    </row>
    <row r="156" spans="1:11" ht="12.75" x14ac:dyDescent="0.2">
      <c r="A156" s="92">
        <v>45723</v>
      </c>
      <c r="B156" s="93" t="s">
        <v>41</v>
      </c>
      <c r="C156" s="94">
        <v>0.91069999999999995</v>
      </c>
      <c r="D156" s="95" t="s">
        <v>226</v>
      </c>
      <c r="E156" s="96" t="s">
        <v>233</v>
      </c>
      <c r="F156" s="96" t="s">
        <v>486</v>
      </c>
      <c r="G156" s="97">
        <v>448</v>
      </c>
      <c r="H156" s="98">
        <f t="shared" si="0"/>
        <v>40.006400000000042</v>
      </c>
      <c r="I156" s="99">
        <f t="shared" si="1"/>
        <v>2200.3520000000021</v>
      </c>
      <c r="J156" s="100">
        <f t="shared" si="3"/>
        <v>22.400000000000034</v>
      </c>
      <c r="K156" s="101">
        <f t="shared" si="2"/>
        <v>-17.606400000000008</v>
      </c>
    </row>
    <row r="157" spans="1:11" ht="12.75" x14ac:dyDescent="0.2">
      <c r="A157" s="123">
        <v>45726</v>
      </c>
      <c r="B157" s="124" t="s">
        <v>33</v>
      </c>
      <c r="C157" s="94">
        <v>0.95979999999999999</v>
      </c>
      <c r="D157" s="95" t="s">
        <v>226</v>
      </c>
      <c r="E157" s="96"/>
      <c r="F157" s="96"/>
      <c r="G157" s="97">
        <v>448</v>
      </c>
      <c r="H157" s="98">
        <f t="shared" si="0"/>
        <v>18.009599999999978</v>
      </c>
      <c r="I157" s="99">
        <f t="shared" si="1"/>
        <v>990.52799999999877</v>
      </c>
      <c r="J157" s="100">
        <f t="shared" si="3"/>
        <v>22.400000000000034</v>
      </c>
      <c r="K157" s="101">
        <f t="shared" si="2"/>
        <v>4.3904000000000565</v>
      </c>
    </row>
    <row r="158" spans="1:11" ht="12.75" x14ac:dyDescent="0.2">
      <c r="A158" s="123">
        <v>45727</v>
      </c>
      <c r="B158" s="124" t="s">
        <v>35</v>
      </c>
      <c r="C158" s="94">
        <v>0.96879999999999999</v>
      </c>
      <c r="D158" s="95" t="s">
        <v>226</v>
      </c>
      <c r="E158" s="96"/>
      <c r="F158" s="96"/>
      <c r="G158" s="97">
        <v>448</v>
      </c>
      <c r="H158" s="98">
        <f t="shared" si="0"/>
        <v>13.977599999999995</v>
      </c>
      <c r="I158" s="99">
        <f t="shared" si="1"/>
        <v>768.7679999999998</v>
      </c>
      <c r="J158" s="100">
        <f t="shared" si="3"/>
        <v>22.400000000000034</v>
      </c>
      <c r="K158" s="101">
        <f t="shared" si="2"/>
        <v>8.4224000000000387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0"/>
        <v>0</v>
      </c>
      <c r="I159" s="99">
        <f t="shared" si="1"/>
        <v>0</v>
      </c>
      <c r="J159" s="100">
        <f t="shared" si="3"/>
        <v>0</v>
      </c>
      <c r="K159" s="101">
        <f t="shared" si="2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0"/>
        <v>0</v>
      </c>
      <c r="I160" s="99">
        <f t="shared" si="1"/>
        <v>0</v>
      </c>
      <c r="J160" s="100">
        <f t="shared" si="3"/>
        <v>0</v>
      </c>
      <c r="K160" s="101">
        <f t="shared" si="2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0"/>
        <v>0</v>
      </c>
      <c r="I161" s="99">
        <f t="shared" si="1"/>
        <v>0</v>
      </c>
      <c r="J161" s="100">
        <f t="shared" si="3"/>
        <v>0</v>
      </c>
      <c r="K161" s="101">
        <f t="shared" si="2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0"/>
        <v>0</v>
      </c>
      <c r="I162" s="99">
        <f t="shared" si="1"/>
        <v>0</v>
      </c>
      <c r="J162" s="100">
        <f t="shared" si="3"/>
        <v>0</v>
      </c>
      <c r="K162" s="101">
        <f t="shared" si="2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0"/>
        <v>0</v>
      </c>
      <c r="I163" s="99">
        <f t="shared" si="1"/>
        <v>0</v>
      </c>
      <c r="J163" s="100">
        <f t="shared" si="3"/>
        <v>0</v>
      </c>
      <c r="K163" s="101">
        <f t="shared" si="2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0"/>
        <v>0</v>
      </c>
      <c r="I164" s="99">
        <f t="shared" si="1"/>
        <v>0</v>
      </c>
      <c r="J164" s="100">
        <f t="shared" si="3"/>
        <v>0</v>
      </c>
      <c r="K164" s="101">
        <f t="shared" si="2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0"/>
        <v>0</v>
      </c>
      <c r="I165" s="99">
        <f t="shared" si="1"/>
        <v>0</v>
      </c>
      <c r="J165" s="100">
        <f t="shared" si="3"/>
        <v>0</v>
      </c>
      <c r="K165" s="101">
        <f t="shared" si="2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0"/>
        <v>0</v>
      </c>
      <c r="I166" s="99">
        <f t="shared" si="1"/>
        <v>0</v>
      </c>
      <c r="J166" s="100">
        <f t="shared" si="3"/>
        <v>0</v>
      </c>
      <c r="K166" s="101">
        <f t="shared" si="2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0"/>
        <v>0</v>
      </c>
      <c r="I167" s="99">
        <f t="shared" si="1"/>
        <v>0</v>
      </c>
      <c r="J167" s="100">
        <f t="shared" si="3"/>
        <v>0</v>
      </c>
      <c r="K167" s="101">
        <f t="shared" si="2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0"/>
        <v>0</v>
      </c>
      <c r="I168" s="99">
        <f t="shared" si="1"/>
        <v>0</v>
      </c>
      <c r="J168" s="100">
        <f t="shared" si="3"/>
        <v>0</v>
      </c>
      <c r="K168" s="101">
        <f t="shared" si="2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0"/>
        <v>0</v>
      </c>
      <c r="I169" s="99">
        <f t="shared" si="1"/>
        <v>0</v>
      </c>
      <c r="J169" s="100">
        <f t="shared" si="3"/>
        <v>0</v>
      </c>
      <c r="K169" s="101">
        <f t="shared" si="2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0"/>
        <v>0</v>
      </c>
      <c r="I170" s="99">
        <f t="shared" si="1"/>
        <v>0</v>
      </c>
      <c r="J170" s="100">
        <f t="shared" si="3"/>
        <v>0</v>
      </c>
      <c r="K170" s="101">
        <f t="shared" si="2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0"/>
        <v>0</v>
      </c>
      <c r="I171" s="99">
        <f t="shared" si="1"/>
        <v>0</v>
      </c>
      <c r="J171" s="100">
        <f t="shared" si="3"/>
        <v>0</v>
      </c>
      <c r="K171" s="101">
        <f t="shared" si="2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0"/>
        <v>0</v>
      </c>
      <c r="I172" s="99">
        <f t="shared" si="1"/>
        <v>0</v>
      </c>
      <c r="J172" s="100">
        <f t="shared" si="3"/>
        <v>0</v>
      </c>
      <c r="K172" s="101">
        <f t="shared" si="2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0"/>
        <v>0</v>
      </c>
      <c r="I173" s="99">
        <f t="shared" si="1"/>
        <v>0</v>
      </c>
      <c r="J173" s="100">
        <f t="shared" si="3"/>
        <v>0</v>
      </c>
      <c r="K173" s="101">
        <f t="shared" si="2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0"/>
        <v>0</v>
      </c>
      <c r="I174" s="99">
        <f t="shared" si="1"/>
        <v>0</v>
      </c>
      <c r="J174" s="100">
        <f t="shared" si="3"/>
        <v>0</v>
      </c>
      <c r="K174" s="101">
        <f t="shared" si="2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0"/>
        <v>0</v>
      </c>
      <c r="I175" s="99">
        <f t="shared" si="1"/>
        <v>0</v>
      </c>
      <c r="J175" s="100">
        <f t="shared" si="3"/>
        <v>0</v>
      </c>
      <c r="K175" s="101">
        <f t="shared" si="2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0"/>
        <v>0</v>
      </c>
      <c r="I176" s="99">
        <f t="shared" si="1"/>
        <v>0</v>
      </c>
      <c r="J176" s="100">
        <f t="shared" si="3"/>
        <v>0</v>
      </c>
      <c r="K176" s="101">
        <f t="shared" si="2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0"/>
        <v>0</v>
      </c>
      <c r="I177" s="99">
        <f t="shared" si="1"/>
        <v>0</v>
      </c>
      <c r="J177" s="100">
        <f t="shared" si="3"/>
        <v>0</v>
      </c>
      <c r="K177" s="101">
        <f t="shared" si="2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0"/>
        <v>0</v>
      </c>
      <c r="I178" s="99">
        <f t="shared" si="1"/>
        <v>0</v>
      </c>
      <c r="J178" s="100">
        <f t="shared" si="3"/>
        <v>0</v>
      </c>
      <c r="K178" s="101">
        <f t="shared" si="2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0"/>
        <v>0</v>
      </c>
      <c r="I179" s="99">
        <f t="shared" si="1"/>
        <v>0</v>
      </c>
      <c r="J179" s="100">
        <f t="shared" si="3"/>
        <v>0</v>
      </c>
      <c r="K179" s="101">
        <f t="shared" si="2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0"/>
        <v>0</v>
      </c>
      <c r="I180" s="99">
        <f t="shared" si="1"/>
        <v>0</v>
      </c>
      <c r="J180" s="100">
        <f t="shared" si="3"/>
        <v>0</v>
      </c>
      <c r="K180" s="101">
        <f t="shared" si="2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0"/>
        <v>0</v>
      </c>
      <c r="I181" s="99">
        <f t="shared" si="1"/>
        <v>0</v>
      </c>
      <c r="J181" s="100">
        <f t="shared" si="3"/>
        <v>0</v>
      </c>
      <c r="K181" s="101">
        <f t="shared" si="2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0"/>
        <v>0</v>
      </c>
      <c r="I182" s="99">
        <f t="shared" si="1"/>
        <v>0</v>
      </c>
      <c r="J182" s="100">
        <f t="shared" si="3"/>
        <v>0</v>
      </c>
      <c r="K182" s="101">
        <f t="shared" si="2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0"/>
        <v>0</v>
      </c>
      <c r="I183" s="99">
        <f t="shared" si="1"/>
        <v>0</v>
      </c>
      <c r="J183" s="100">
        <f t="shared" si="3"/>
        <v>0</v>
      </c>
      <c r="K183" s="101">
        <f t="shared" si="2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0"/>
        <v>0</v>
      </c>
      <c r="I184" s="99">
        <f t="shared" si="1"/>
        <v>0</v>
      </c>
      <c r="J184" s="100">
        <f t="shared" si="3"/>
        <v>0</v>
      </c>
      <c r="K184" s="101">
        <f t="shared" si="2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0"/>
        <v>0</v>
      </c>
      <c r="I185" s="99">
        <f t="shared" si="1"/>
        <v>0</v>
      </c>
      <c r="J185" s="100">
        <f t="shared" si="3"/>
        <v>0</v>
      </c>
      <c r="K185" s="101">
        <f t="shared" si="2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0"/>
        <v>0</v>
      </c>
      <c r="I186" s="99">
        <f t="shared" si="1"/>
        <v>0</v>
      </c>
      <c r="J186" s="100">
        <f t="shared" si="3"/>
        <v>0</v>
      </c>
      <c r="K186" s="101">
        <f t="shared" si="2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0"/>
        <v>0</v>
      </c>
      <c r="I187" s="99">
        <f t="shared" si="1"/>
        <v>0</v>
      </c>
      <c r="J187" s="100">
        <f t="shared" si="3"/>
        <v>0</v>
      </c>
      <c r="K187" s="101">
        <f t="shared" si="2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0"/>
        <v>0</v>
      </c>
      <c r="I188" s="99">
        <f t="shared" si="1"/>
        <v>0</v>
      </c>
      <c r="J188" s="100">
        <f t="shared" si="3"/>
        <v>0</v>
      </c>
      <c r="K188" s="101">
        <f t="shared" si="2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0"/>
        <v>0</v>
      </c>
      <c r="I189" s="99">
        <f t="shared" si="1"/>
        <v>0</v>
      </c>
      <c r="J189" s="100">
        <f t="shared" si="3"/>
        <v>0</v>
      </c>
      <c r="K189" s="101">
        <f t="shared" si="2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0"/>
        <v>0</v>
      </c>
      <c r="I190" s="99">
        <f t="shared" si="1"/>
        <v>0</v>
      </c>
      <c r="J190" s="100">
        <f t="shared" si="3"/>
        <v>0</v>
      </c>
      <c r="K190" s="101">
        <f t="shared" si="2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0"/>
        <v>0</v>
      </c>
      <c r="I191" s="99">
        <f t="shared" si="1"/>
        <v>0</v>
      </c>
      <c r="J191" s="100">
        <f t="shared" si="3"/>
        <v>0</v>
      </c>
      <c r="K191" s="101">
        <f t="shared" si="2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0"/>
        <v>0</v>
      </c>
      <c r="I192" s="99">
        <f t="shared" si="1"/>
        <v>0</v>
      </c>
      <c r="J192" s="100">
        <f t="shared" si="3"/>
        <v>0</v>
      </c>
      <c r="K192" s="101">
        <f t="shared" si="2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0"/>
        <v>0</v>
      </c>
      <c r="I193" s="99">
        <f t="shared" si="1"/>
        <v>0</v>
      </c>
      <c r="J193" s="100">
        <f t="shared" si="3"/>
        <v>0</v>
      </c>
      <c r="K193" s="101">
        <f t="shared" si="2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0"/>
        <v>0</v>
      </c>
      <c r="I194" s="99">
        <f t="shared" si="1"/>
        <v>0</v>
      </c>
      <c r="J194" s="100">
        <f t="shared" si="3"/>
        <v>0</v>
      </c>
      <c r="K194" s="101">
        <f t="shared" si="2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0"/>
        <v>0</v>
      </c>
      <c r="I195" s="99">
        <f t="shared" si="1"/>
        <v>0</v>
      </c>
      <c r="J195" s="100">
        <f t="shared" si="3"/>
        <v>0</v>
      </c>
      <c r="K195" s="101">
        <f t="shared" si="2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0"/>
        <v>0</v>
      </c>
      <c r="I196" s="99">
        <f t="shared" si="1"/>
        <v>0</v>
      </c>
      <c r="J196" s="100">
        <f t="shared" si="3"/>
        <v>0</v>
      </c>
      <c r="K196" s="101">
        <f t="shared" si="2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0"/>
        <v>0</v>
      </c>
      <c r="I197" s="99">
        <f t="shared" si="1"/>
        <v>0</v>
      </c>
      <c r="J197" s="100">
        <f t="shared" si="3"/>
        <v>0</v>
      </c>
      <c r="K197" s="101">
        <f t="shared" si="2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0"/>
        <v>0</v>
      </c>
      <c r="I198" s="99">
        <f t="shared" si="1"/>
        <v>0</v>
      </c>
      <c r="J198" s="100">
        <f t="shared" si="3"/>
        <v>0</v>
      </c>
      <c r="K198" s="101">
        <f t="shared" si="2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0"/>
        <v>0</v>
      </c>
      <c r="I199" s="99">
        <f t="shared" si="1"/>
        <v>0</v>
      </c>
      <c r="J199" s="100">
        <f t="shared" si="3"/>
        <v>0</v>
      </c>
      <c r="K199" s="101">
        <f t="shared" si="2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0"/>
        <v>0</v>
      </c>
      <c r="I200" s="99">
        <f t="shared" si="1"/>
        <v>0</v>
      </c>
      <c r="J200" s="100">
        <f t="shared" si="3"/>
        <v>0</v>
      </c>
      <c r="K200" s="101">
        <f t="shared" si="2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0"/>
        <v>0</v>
      </c>
      <c r="I201" s="99">
        <f t="shared" si="1"/>
        <v>0</v>
      </c>
      <c r="J201" s="100">
        <f t="shared" si="3"/>
        <v>0</v>
      </c>
      <c r="K201" s="101">
        <f t="shared" si="2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0"/>
        <v>0</v>
      </c>
      <c r="I202" s="99">
        <f t="shared" si="1"/>
        <v>0</v>
      </c>
      <c r="J202" s="100">
        <f t="shared" si="3"/>
        <v>0</v>
      </c>
      <c r="K202" s="101">
        <f t="shared" si="2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0"/>
        <v>0</v>
      </c>
      <c r="I203" s="99">
        <f t="shared" si="1"/>
        <v>0</v>
      </c>
      <c r="J203" s="100">
        <f t="shared" si="3"/>
        <v>0</v>
      </c>
      <c r="K203" s="101">
        <f t="shared" si="2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0"/>
        <v>0</v>
      </c>
      <c r="I204" s="99">
        <f t="shared" si="1"/>
        <v>0</v>
      </c>
      <c r="J204" s="100">
        <f t="shared" si="3"/>
        <v>0</v>
      </c>
      <c r="K204" s="101">
        <f t="shared" si="2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0"/>
        <v>0</v>
      </c>
      <c r="I205" s="99">
        <f t="shared" si="1"/>
        <v>0</v>
      </c>
      <c r="J205" s="100">
        <f t="shared" si="3"/>
        <v>0</v>
      </c>
      <c r="K205" s="101">
        <f t="shared" si="2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0"/>
        <v>0</v>
      </c>
      <c r="I206" s="99">
        <f t="shared" si="1"/>
        <v>0</v>
      </c>
      <c r="J206" s="100">
        <f t="shared" si="3"/>
        <v>0</v>
      </c>
      <c r="K206" s="101">
        <f t="shared" si="2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0"/>
        <v>0</v>
      </c>
      <c r="I207" s="99">
        <f t="shared" si="1"/>
        <v>0</v>
      </c>
      <c r="J207" s="100">
        <f t="shared" si="3"/>
        <v>0</v>
      </c>
      <c r="K207" s="101">
        <f t="shared" si="2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0"/>
        <v>0</v>
      </c>
      <c r="I208" s="99">
        <f t="shared" si="1"/>
        <v>0</v>
      </c>
      <c r="J208" s="100">
        <f t="shared" si="3"/>
        <v>0</v>
      </c>
      <c r="K208" s="101">
        <f t="shared" si="2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0"/>
        <v>0</v>
      </c>
      <c r="I209" s="99">
        <f t="shared" si="1"/>
        <v>0</v>
      </c>
      <c r="J209" s="100">
        <f t="shared" si="3"/>
        <v>0</v>
      </c>
      <c r="K209" s="101">
        <f t="shared" si="2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0"/>
        <v>0</v>
      </c>
      <c r="I210" s="99">
        <f t="shared" si="1"/>
        <v>0</v>
      </c>
      <c r="J210" s="100">
        <f t="shared" si="3"/>
        <v>0</v>
      </c>
      <c r="K210" s="101">
        <f t="shared" si="2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0"/>
        <v>0</v>
      </c>
      <c r="I211" s="99">
        <f t="shared" si="1"/>
        <v>0</v>
      </c>
      <c r="J211" s="100">
        <f t="shared" si="3"/>
        <v>0</v>
      </c>
      <c r="K211" s="101">
        <f t="shared" si="2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0"/>
        <v>0</v>
      </c>
      <c r="I212" s="99">
        <f t="shared" si="1"/>
        <v>0</v>
      </c>
      <c r="J212" s="100">
        <f t="shared" si="3"/>
        <v>0</v>
      </c>
      <c r="K212" s="101">
        <f t="shared" si="2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0"/>
        <v>0</v>
      </c>
      <c r="I213" s="99">
        <f t="shared" si="1"/>
        <v>0</v>
      </c>
      <c r="J213" s="100">
        <f t="shared" si="3"/>
        <v>0</v>
      </c>
      <c r="K213" s="101">
        <f t="shared" si="2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0"/>
        <v>0</v>
      </c>
      <c r="I214" s="99">
        <f t="shared" si="1"/>
        <v>0</v>
      </c>
      <c r="J214" s="100">
        <f t="shared" si="3"/>
        <v>0</v>
      </c>
      <c r="K214" s="101">
        <f t="shared" si="2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0"/>
        <v>0</v>
      </c>
      <c r="I215" s="99">
        <f t="shared" si="1"/>
        <v>0</v>
      </c>
      <c r="J215" s="100">
        <f t="shared" si="3"/>
        <v>0</v>
      </c>
      <c r="K215" s="101">
        <f t="shared" si="2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D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12" priority="4" operator="lessThan">
      <formula>"92%"</formula>
    </cfRule>
  </conditionalFormatting>
  <conditionalFormatting sqref="C7:C215">
    <cfRule type="cellIs" dxfId="11" priority="1" operator="lessThan">
      <formula>"90%"</formula>
    </cfRule>
    <cfRule type="cellIs" dxfId="10" priority="2" operator="lessThan">
      <formula>"94%"</formula>
    </cfRule>
  </conditionalFormatting>
  <conditionalFormatting sqref="K1:K853">
    <cfRule type="cellIs" dxfId="9" priority="3" operator="lessThan">
      <formula>0</formula>
    </cfRule>
  </conditionalFormatting>
  <dataValidations count="1">
    <dataValidation type="list" allowBlank="1" sqref="E7:E215" xr:uid="{00000000-0002-0000-0D00-000000000000}">
      <formula1>"Weather,Health,Safety,Other"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73763"/>
    <outlinePr summaryBelow="0" summaryRight="0"/>
    <pageSetUpPr fitToPage="1"/>
  </sheetPr>
  <dimension ref="A1:K212"/>
  <sheetViews>
    <sheetView workbookViewId="0"/>
  </sheetViews>
  <sheetFormatPr defaultColWidth="12.5703125" defaultRowHeight="15.75" customHeight="1" x14ac:dyDescent="0.2"/>
  <cols>
    <col min="1" max="1" width="21.85546875" customWidth="1"/>
    <col min="2" max="2" width="14.5703125" customWidth="1"/>
    <col min="3" max="3" width="8.7109375" customWidth="1"/>
    <col min="4" max="4" width="11.42578125" customWidth="1"/>
    <col min="5" max="5" width="1.85546875" customWidth="1"/>
    <col min="6" max="6" width="14.28515625" customWidth="1"/>
    <col min="7" max="7" width="10.42578125" customWidth="1"/>
    <col min="8" max="8" width="19.42578125" customWidth="1"/>
    <col min="9" max="9" width="13.42578125" customWidth="1"/>
    <col min="10" max="10" width="12.42578125" customWidth="1"/>
    <col min="11" max="11" width="39.5703125" customWidth="1"/>
  </cols>
  <sheetData>
    <row r="1" spans="1:11" ht="15.75" customHeight="1" x14ac:dyDescent="0.35">
      <c r="A1" s="152" t="s">
        <v>487</v>
      </c>
      <c r="B1" s="256" t="s">
        <v>17</v>
      </c>
      <c r="C1" s="222"/>
      <c r="D1" s="222"/>
      <c r="E1" s="153"/>
      <c r="F1" s="154"/>
      <c r="G1" s="155"/>
      <c r="H1" s="155"/>
      <c r="I1" s="156"/>
      <c r="J1" s="156"/>
      <c r="K1" s="157"/>
    </row>
    <row r="2" spans="1:11" ht="15.75" customHeight="1" x14ac:dyDescent="0.3">
      <c r="A2" s="257" t="s">
        <v>488</v>
      </c>
      <c r="B2" s="206"/>
      <c r="C2" s="206"/>
      <c r="D2" s="206"/>
      <c r="E2" s="158"/>
      <c r="F2" s="258" t="s">
        <v>489</v>
      </c>
      <c r="G2" s="206"/>
      <c r="H2" s="206"/>
      <c r="I2" s="206"/>
      <c r="J2" s="206"/>
      <c r="K2" s="244"/>
    </row>
    <row r="3" spans="1:11" ht="36" x14ac:dyDescent="0.2">
      <c r="A3" s="159" t="s">
        <v>215</v>
      </c>
      <c r="B3" s="160" t="s">
        <v>490</v>
      </c>
      <c r="C3" s="161" t="s">
        <v>491</v>
      </c>
      <c r="D3" s="162" t="s">
        <v>492</v>
      </c>
      <c r="E3" s="163"/>
      <c r="F3" s="164" t="s">
        <v>493</v>
      </c>
      <c r="G3" s="165" t="s">
        <v>494</v>
      </c>
      <c r="H3" s="166" t="s">
        <v>495</v>
      </c>
      <c r="I3" s="166" t="s">
        <v>496</v>
      </c>
      <c r="J3" s="165" t="s">
        <v>497</v>
      </c>
      <c r="K3" s="167" t="s">
        <v>498</v>
      </c>
    </row>
    <row r="4" spans="1:11" ht="15.75" customHeight="1" x14ac:dyDescent="0.25">
      <c r="A4" s="168">
        <v>45516</v>
      </c>
      <c r="B4" s="169">
        <v>0</v>
      </c>
      <c r="C4" s="170">
        <v>60</v>
      </c>
      <c r="D4" s="171">
        <f t="shared" ref="D4:D212" si="0">SUM(B4:C4)</f>
        <v>60</v>
      </c>
      <c r="E4" s="172"/>
      <c r="F4" s="173" t="s">
        <v>499</v>
      </c>
      <c r="G4" s="174" t="s">
        <v>500</v>
      </c>
      <c r="H4" s="175">
        <v>51</v>
      </c>
      <c r="I4" s="95">
        <v>70</v>
      </c>
      <c r="J4" s="94">
        <f t="shared" ref="J4:J40" si="1">H4/I4</f>
        <v>0.72857142857142854</v>
      </c>
      <c r="K4" s="176"/>
    </row>
    <row r="5" spans="1:11" ht="15.75" customHeight="1" x14ac:dyDescent="0.25">
      <c r="A5" s="168">
        <v>45517</v>
      </c>
      <c r="B5" s="169">
        <v>1</v>
      </c>
      <c r="C5" s="170">
        <v>64</v>
      </c>
      <c r="D5" s="171">
        <f t="shared" si="0"/>
        <v>65</v>
      </c>
      <c r="E5" s="172"/>
      <c r="F5" s="173" t="s">
        <v>501</v>
      </c>
      <c r="G5" s="174" t="s">
        <v>502</v>
      </c>
      <c r="H5" s="175">
        <v>35</v>
      </c>
      <c r="I5" s="95">
        <v>81</v>
      </c>
      <c r="J5" s="94">
        <f t="shared" si="1"/>
        <v>0.43209876543209874</v>
      </c>
      <c r="K5" s="176"/>
    </row>
    <row r="6" spans="1:11" ht="15.75" customHeight="1" x14ac:dyDescent="0.25">
      <c r="A6" s="168">
        <v>45518</v>
      </c>
      <c r="B6" s="169">
        <v>1</v>
      </c>
      <c r="C6" s="170">
        <v>66</v>
      </c>
      <c r="D6" s="171">
        <f t="shared" si="0"/>
        <v>67</v>
      </c>
      <c r="E6" s="172"/>
      <c r="F6" s="173" t="s">
        <v>503</v>
      </c>
      <c r="G6" s="174" t="s">
        <v>504</v>
      </c>
      <c r="H6" s="175">
        <v>52</v>
      </c>
      <c r="I6" s="95">
        <v>82</v>
      </c>
      <c r="J6" s="94">
        <f t="shared" si="1"/>
        <v>0.63414634146341464</v>
      </c>
      <c r="K6" s="176"/>
    </row>
    <row r="7" spans="1:11" ht="15.75" customHeight="1" x14ac:dyDescent="0.25">
      <c r="A7" s="168">
        <v>45519</v>
      </c>
      <c r="B7" s="169">
        <v>1</v>
      </c>
      <c r="C7" s="170">
        <v>69</v>
      </c>
      <c r="D7" s="171">
        <f t="shared" si="0"/>
        <v>70</v>
      </c>
      <c r="E7" s="172"/>
      <c r="F7" s="173" t="s">
        <v>505</v>
      </c>
      <c r="G7" s="174" t="s">
        <v>506</v>
      </c>
      <c r="H7" s="175">
        <v>25</v>
      </c>
      <c r="I7" s="95">
        <v>81</v>
      </c>
      <c r="J7" s="94">
        <f t="shared" si="1"/>
        <v>0.30864197530864196</v>
      </c>
      <c r="K7" s="176"/>
    </row>
    <row r="8" spans="1:11" ht="15.75" customHeight="1" x14ac:dyDescent="0.25">
      <c r="A8" s="168">
        <v>45520</v>
      </c>
      <c r="B8" s="169">
        <v>1</v>
      </c>
      <c r="C8" s="170">
        <v>70</v>
      </c>
      <c r="D8" s="171">
        <f t="shared" si="0"/>
        <v>71</v>
      </c>
      <c r="E8" s="172"/>
      <c r="F8" s="173" t="s">
        <v>507</v>
      </c>
      <c r="G8" s="174" t="s">
        <v>508</v>
      </c>
      <c r="H8" s="175">
        <v>23</v>
      </c>
      <c r="I8" s="95">
        <v>86</v>
      </c>
      <c r="J8" s="94">
        <f t="shared" si="1"/>
        <v>0.26744186046511625</v>
      </c>
      <c r="K8" s="176"/>
    </row>
    <row r="9" spans="1:11" ht="15.75" customHeight="1" x14ac:dyDescent="0.25">
      <c r="A9" s="168">
        <v>45523</v>
      </c>
      <c r="B9" s="169">
        <v>1</v>
      </c>
      <c r="C9" s="170">
        <v>75</v>
      </c>
      <c r="D9" s="171">
        <f t="shared" si="0"/>
        <v>76</v>
      </c>
      <c r="E9" s="172"/>
      <c r="F9" s="173" t="s">
        <v>509</v>
      </c>
      <c r="G9" s="174" t="s">
        <v>510</v>
      </c>
      <c r="H9" s="175">
        <v>25</v>
      </c>
      <c r="I9" s="95">
        <v>87</v>
      </c>
      <c r="J9" s="94">
        <f t="shared" si="1"/>
        <v>0.28735632183908044</v>
      </c>
      <c r="K9" s="176"/>
    </row>
    <row r="10" spans="1:11" ht="15.75" customHeight="1" x14ac:dyDescent="0.25">
      <c r="A10" s="168">
        <v>45524</v>
      </c>
      <c r="B10" s="169">
        <v>1</v>
      </c>
      <c r="C10" s="170">
        <v>76</v>
      </c>
      <c r="D10" s="171">
        <f t="shared" si="0"/>
        <v>77</v>
      </c>
      <c r="E10" s="172"/>
      <c r="F10" s="173" t="s">
        <v>511</v>
      </c>
      <c r="G10" s="174" t="s">
        <v>512</v>
      </c>
      <c r="H10" s="175">
        <v>52</v>
      </c>
      <c r="I10" s="95">
        <v>89</v>
      </c>
      <c r="J10" s="94">
        <f t="shared" si="1"/>
        <v>0.5842696629213483</v>
      </c>
      <c r="K10" s="176"/>
    </row>
    <row r="11" spans="1:11" ht="15.75" customHeight="1" x14ac:dyDescent="0.25">
      <c r="A11" s="168">
        <v>45525</v>
      </c>
      <c r="B11" s="169">
        <v>15</v>
      </c>
      <c r="C11" s="170">
        <v>82</v>
      </c>
      <c r="D11" s="171">
        <f t="shared" si="0"/>
        <v>97</v>
      </c>
      <c r="E11" s="172"/>
      <c r="F11" s="173" t="s">
        <v>513</v>
      </c>
      <c r="G11" s="174" t="s">
        <v>514</v>
      </c>
      <c r="H11" s="175">
        <v>43</v>
      </c>
      <c r="I11" s="95">
        <v>84</v>
      </c>
      <c r="J11" s="94">
        <f t="shared" si="1"/>
        <v>0.51190476190476186</v>
      </c>
      <c r="K11" s="176"/>
    </row>
    <row r="12" spans="1:11" ht="15.75" customHeight="1" x14ac:dyDescent="0.25">
      <c r="A12" s="168">
        <v>45526</v>
      </c>
      <c r="B12" s="169">
        <v>15</v>
      </c>
      <c r="C12" s="170">
        <v>82</v>
      </c>
      <c r="D12" s="171">
        <f t="shared" si="0"/>
        <v>97</v>
      </c>
      <c r="E12" s="172"/>
      <c r="F12" s="173" t="s">
        <v>515</v>
      </c>
      <c r="G12" s="174" t="s">
        <v>516</v>
      </c>
      <c r="H12" s="175">
        <v>47</v>
      </c>
      <c r="I12" s="95">
        <v>85</v>
      </c>
      <c r="J12" s="94">
        <f t="shared" si="1"/>
        <v>0.55294117647058827</v>
      </c>
      <c r="K12" s="176"/>
    </row>
    <row r="13" spans="1:11" ht="15.75" customHeight="1" x14ac:dyDescent="0.25">
      <c r="A13" s="168">
        <v>45527</v>
      </c>
      <c r="B13" s="169">
        <v>15</v>
      </c>
      <c r="C13" s="170">
        <v>81</v>
      </c>
      <c r="D13" s="171">
        <f t="shared" si="0"/>
        <v>96</v>
      </c>
      <c r="E13" s="172"/>
      <c r="F13" s="173" t="s">
        <v>517</v>
      </c>
      <c r="G13" s="174" t="s">
        <v>518</v>
      </c>
      <c r="H13" s="175">
        <v>48</v>
      </c>
      <c r="I13" s="95">
        <v>85</v>
      </c>
      <c r="J13" s="94">
        <f t="shared" si="1"/>
        <v>0.56470588235294117</v>
      </c>
      <c r="K13" s="176"/>
    </row>
    <row r="14" spans="1:11" ht="15.75" customHeight="1" x14ac:dyDescent="0.25">
      <c r="A14" s="168">
        <v>45530</v>
      </c>
      <c r="B14" s="169">
        <v>15</v>
      </c>
      <c r="C14" s="170">
        <v>82</v>
      </c>
      <c r="D14" s="171">
        <f t="shared" si="0"/>
        <v>97</v>
      </c>
      <c r="E14" s="172"/>
      <c r="F14" s="173" t="s">
        <v>519</v>
      </c>
      <c r="G14" s="174" t="s">
        <v>520</v>
      </c>
      <c r="H14" s="175">
        <v>49</v>
      </c>
      <c r="I14" s="95">
        <v>84</v>
      </c>
      <c r="J14" s="94">
        <f t="shared" si="1"/>
        <v>0.58333333333333337</v>
      </c>
      <c r="K14" s="176"/>
    </row>
    <row r="15" spans="1:11" ht="15.75" customHeight="1" x14ac:dyDescent="0.25">
      <c r="A15" s="168">
        <v>45531</v>
      </c>
      <c r="B15" s="169">
        <v>15</v>
      </c>
      <c r="C15" s="170">
        <v>82</v>
      </c>
      <c r="D15" s="171">
        <f t="shared" si="0"/>
        <v>97</v>
      </c>
      <c r="E15" s="172"/>
      <c r="F15" s="173" t="s">
        <v>521</v>
      </c>
      <c r="G15" s="174" t="s">
        <v>522</v>
      </c>
      <c r="H15" s="175">
        <v>49</v>
      </c>
      <c r="I15" s="95">
        <v>84</v>
      </c>
      <c r="J15" s="94">
        <f t="shared" si="1"/>
        <v>0.58333333333333337</v>
      </c>
      <c r="K15" s="176"/>
    </row>
    <row r="16" spans="1:11" ht="15.75" customHeight="1" x14ac:dyDescent="0.25">
      <c r="A16" s="168">
        <v>45532</v>
      </c>
      <c r="B16" s="169">
        <v>15</v>
      </c>
      <c r="C16" s="170">
        <v>82</v>
      </c>
      <c r="D16" s="171">
        <f t="shared" si="0"/>
        <v>97</v>
      </c>
      <c r="E16" s="172"/>
      <c r="F16" s="173" t="s">
        <v>523</v>
      </c>
      <c r="G16" s="174" t="s">
        <v>524</v>
      </c>
      <c r="H16" s="175">
        <v>49</v>
      </c>
      <c r="I16" s="95">
        <v>84</v>
      </c>
      <c r="J16" s="94">
        <f t="shared" si="1"/>
        <v>0.58333333333333337</v>
      </c>
      <c r="K16" s="176"/>
    </row>
    <row r="17" spans="1:11" ht="15.75" customHeight="1" x14ac:dyDescent="0.25">
      <c r="A17" s="168">
        <v>45533</v>
      </c>
      <c r="B17" s="169">
        <v>15</v>
      </c>
      <c r="C17" s="170">
        <v>82</v>
      </c>
      <c r="D17" s="171">
        <f t="shared" si="0"/>
        <v>97</v>
      </c>
      <c r="E17" s="172"/>
      <c r="F17" s="173" t="s">
        <v>525</v>
      </c>
      <c r="G17" s="174" t="s">
        <v>526</v>
      </c>
      <c r="H17" s="175">
        <v>37</v>
      </c>
      <c r="I17" s="95">
        <v>83</v>
      </c>
      <c r="J17" s="94">
        <f t="shared" si="1"/>
        <v>0.44578313253012047</v>
      </c>
      <c r="K17" s="176"/>
    </row>
    <row r="18" spans="1:11" ht="15.75" customHeight="1" x14ac:dyDescent="0.25">
      <c r="A18" s="168">
        <v>45534</v>
      </c>
      <c r="B18" s="169">
        <v>15</v>
      </c>
      <c r="C18" s="170">
        <v>82</v>
      </c>
      <c r="D18" s="171">
        <f t="shared" si="0"/>
        <v>97</v>
      </c>
      <c r="E18" s="172"/>
      <c r="F18" s="173" t="s">
        <v>527</v>
      </c>
      <c r="G18" s="174" t="s">
        <v>528</v>
      </c>
      <c r="H18" s="175">
        <v>41</v>
      </c>
      <c r="I18" s="95">
        <v>78</v>
      </c>
      <c r="J18" s="94">
        <f t="shared" si="1"/>
        <v>0.52564102564102566</v>
      </c>
      <c r="K18" s="176"/>
    </row>
    <row r="19" spans="1:11" ht="15.75" customHeight="1" x14ac:dyDescent="0.25">
      <c r="A19" s="103">
        <v>45537</v>
      </c>
      <c r="B19" s="177"/>
      <c r="C19" s="106"/>
      <c r="D19" s="171">
        <f t="shared" si="0"/>
        <v>0</v>
      </c>
      <c r="E19" s="172"/>
      <c r="F19" s="173" t="s">
        <v>529</v>
      </c>
      <c r="G19" s="174" t="s">
        <v>530</v>
      </c>
      <c r="H19" s="175">
        <v>35</v>
      </c>
      <c r="I19" s="95">
        <v>74</v>
      </c>
      <c r="J19" s="94">
        <f t="shared" si="1"/>
        <v>0.47297297297297297</v>
      </c>
      <c r="K19" s="176"/>
    </row>
    <row r="20" spans="1:11" ht="15.75" customHeight="1" x14ac:dyDescent="0.25">
      <c r="A20" s="168">
        <v>45538</v>
      </c>
      <c r="B20" s="169">
        <v>15</v>
      </c>
      <c r="C20" s="170">
        <v>82</v>
      </c>
      <c r="D20" s="171">
        <f t="shared" si="0"/>
        <v>97</v>
      </c>
      <c r="E20" s="172"/>
      <c r="F20" s="173" t="s">
        <v>531</v>
      </c>
      <c r="G20" s="174" t="s">
        <v>532</v>
      </c>
      <c r="H20" s="175">
        <v>33</v>
      </c>
      <c r="I20" s="95">
        <v>70</v>
      </c>
      <c r="J20" s="94">
        <f t="shared" si="1"/>
        <v>0.47142857142857142</v>
      </c>
      <c r="K20" s="176"/>
    </row>
    <row r="21" spans="1:11" ht="15.75" customHeight="1" x14ac:dyDescent="0.25">
      <c r="A21" s="168">
        <v>45539</v>
      </c>
      <c r="B21" s="169">
        <v>15</v>
      </c>
      <c r="C21" s="170">
        <v>82</v>
      </c>
      <c r="D21" s="171">
        <f t="shared" si="0"/>
        <v>97</v>
      </c>
      <c r="E21" s="172"/>
      <c r="F21" s="173" t="s">
        <v>533</v>
      </c>
      <c r="G21" s="174" t="s">
        <v>534</v>
      </c>
      <c r="H21" s="175">
        <v>34</v>
      </c>
      <c r="I21" s="95">
        <v>74</v>
      </c>
      <c r="J21" s="94">
        <f t="shared" si="1"/>
        <v>0.45945945945945948</v>
      </c>
      <c r="K21" s="176"/>
    </row>
    <row r="22" spans="1:11" ht="15.75" customHeight="1" x14ac:dyDescent="0.25">
      <c r="A22" s="168">
        <v>45540</v>
      </c>
      <c r="B22" s="169">
        <v>15</v>
      </c>
      <c r="C22" s="170">
        <v>81</v>
      </c>
      <c r="D22" s="171">
        <f t="shared" si="0"/>
        <v>96</v>
      </c>
      <c r="E22" s="172"/>
      <c r="F22" s="173" t="s">
        <v>535</v>
      </c>
      <c r="G22" s="174" t="s">
        <v>536</v>
      </c>
      <c r="H22" s="175">
        <v>43</v>
      </c>
      <c r="I22" s="95">
        <v>73</v>
      </c>
      <c r="J22" s="94">
        <f t="shared" si="1"/>
        <v>0.58904109589041098</v>
      </c>
      <c r="K22" s="176"/>
    </row>
    <row r="23" spans="1:11" ht="15.75" customHeight="1" x14ac:dyDescent="0.25">
      <c r="A23" s="168">
        <v>45541</v>
      </c>
      <c r="B23" s="169">
        <v>14</v>
      </c>
      <c r="C23" s="170">
        <v>81</v>
      </c>
      <c r="D23" s="171">
        <f t="shared" si="0"/>
        <v>95</v>
      </c>
      <c r="E23" s="172"/>
      <c r="F23" s="173" t="s">
        <v>537</v>
      </c>
      <c r="G23" s="174" t="s">
        <v>538</v>
      </c>
      <c r="H23" s="175">
        <v>33</v>
      </c>
      <c r="I23" s="95">
        <v>75</v>
      </c>
      <c r="J23" s="94">
        <f t="shared" si="1"/>
        <v>0.44</v>
      </c>
      <c r="K23" s="176"/>
    </row>
    <row r="24" spans="1:11" ht="15.75" customHeight="1" x14ac:dyDescent="0.25">
      <c r="A24" s="168">
        <v>45544</v>
      </c>
      <c r="B24" s="169">
        <v>14</v>
      </c>
      <c r="C24" s="170">
        <v>82</v>
      </c>
      <c r="D24" s="171">
        <f t="shared" si="0"/>
        <v>96</v>
      </c>
      <c r="E24" s="172"/>
      <c r="F24" s="173" t="s">
        <v>539</v>
      </c>
      <c r="G24" s="174" t="s">
        <v>540</v>
      </c>
      <c r="H24" s="175">
        <v>44</v>
      </c>
      <c r="I24" s="95">
        <v>76</v>
      </c>
      <c r="J24" s="94">
        <f t="shared" si="1"/>
        <v>0.57894736842105265</v>
      </c>
      <c r="K24" s="176"/>
    </row>
    <row r="25" spans="1:11" ht="15.75" customHeight="1" x14ac:dyDescent="0.25">
      <c r="A25" s="168">
        <v>45545</v>
      </c>
      <c r="B25" s="169">
        <v>14</v>
      </c>
      <c r="C25" s="170">
        <v>82</v>
      </c>
      <c r="D25" s="171">
        <f t="shared" si="0"/>
        <v>96</v>
      </c>
      <c r="E25" s="172"/>
      <c r="F25" s="173" t="s">
        <v>541</v>
      </c>
      <c r="G25" s="174" t="s">
        <v>542</v>
      </c>
      <c r="H25" s="175">
        <v>32</v>
      </c>
      <c r="I25" s="95">
        <v>80</v>
      </c>
      <c r="J25" s="94">
        <f t="shared" si="1"/>
        <v>0.4</v>
      </c>
      <c r="K25" s="176"/>
    </row>
    <row r="26" spans="1:11" ht="15.75" customHeight="1" x14ac:dyDescent="0.25">
      <c r="A26" s="168">
        <v>45546</v>
      </c>
      <c r="B26" s="169">
        <v>14</v>
      </c>
      <c r="C26" s="170">
        <v>85</v>
      </c>
      <c r="D26" s="171">
        <f t="shared" si="0"/>
        <v>99</v>
      </c>
      <c r="E26" s="172"/>
      <c r="F26" s="173" t="s">
        <v>543</v>
      </c>
      <c r="G26" s="174" t="s">
        <v>544</v>
      </c>
      <c r="H26" s="175">
        <v>30</v>
      </c>
      <c r="I26" s="95">
        <v>80</v>
      </c>
      <c r="J26" s="94">
        <f t="shared" si="1"/>
        <v>0.375</v>
      </c>
      <c r="K26" s="176"/>
    </row>
    <row r="27" spans="1:11" ht="15.75" customHeight="1" x14ac:dyDescent="0.25">
      <c r="A27" s="168">
        <v>45547</v>
      </c>
      <c r="B27" s="169">
        <v>14</v>
      </c>
      <c r="C27" s="170">
        <v>85</v>
      </c>
      <c r="D27" s="171">
        <f t="shared" si="0"/>
        <v>99</v>
      </c>
      <c r="E27" s="172"/>
      <c r="F27" s="173" t="s">
        <v>545</v>
      </c>
      <c r="G27" s="174" t="s">
        <v>546</v>
      </c>
      <c r="H27" s="175">
        <v>22</v>
      </c>
      <c r="I27" s="95">
        <v>73</v>
      </c>
      <c r="J27" s="94">
        <f t="shared" si="1"/>
        <v>0.30136986301369861</v>
      </c>
      <c r="K27" s="176"/>
    </row>
    <row r="28" spans="1:11" ht="15.75" customHeight="1" x14ac:dyDescent="0.25">
      <c r="A28" s="168">
        <v>45548</v>
      </c>
      <c r="B28" s="169">
        <v>14</v>
      </c>
      <c r="C28" s="170">
        <v>86</v>
      </c>
      <c r="D28" s="171">
        <f t="shared" si="0"/>
        <v>100</v>
      </c>
      <c r="E28" s="172"/>
      <c r="F28" s="173" t="s">
        <v>547</v>
      </c>
      <c r="G28" s="174" t="s">
        <v>548</v>
      </c>
      <c r="H28" s="175">
        <v>34</v>
      </c>
      <c r="I28" s="95">
        <v>68</v>
      </c>
      <c r="J28" s="94">
        <f t="shared" si="1"/>
        <v>0.5</v>
      </c>
      <c r="K28" s="176"/>
    </row>
    <row r="29" spans="1:11" ht="15.75" customHeight="1" x14ac:dyDescent="0.25">
      <c r="A29" s="109">
        <v>45551</v>
      </c>
      <c r="B29" s="178"/>
      <c r="C29" s="112"/>
      <c r="D29" s="171">
        <f t="shared" si="0"/>
        <v>0</v>
      </c>
      <c r="E29" s="172"/>
      <c r="F29" s="173" t="s">
        <v>549</v>
      </c>
      <c r="G29" s="174" t="s">
        <v>550</v>
      </c>
      <c r="H29" s="175"/>
      <c r="I29" s="95"/>
      <c r="J29" s="94" t="e">
        <f t="shared" si="1"/>
        <v>#DIV/0!</v>
      </c>
      <c r="K29" s="176"/>
    </row>
    <row r="30" spans="1:11" ht="15.75" customHeight="1" x14ac:dyDescent="0.25">
      <c r="A30" s="168">
        <v>45552</v>
      </c>
      <c r="B30" s="169">
        <v>14</v>
      </c>
      <c r="C30" s="170">
        <v>87</v>
      </c>
      <c r="D30" s="171">
        <f t="shared" si="0"/>
        <v>101</v>
      </c>
      <c r="E30" s="172"/>
      <c r="F30" s="173"/>
      <c r="G30" s="174" t="s">
        <v>551</v>
      </c>
      <c r="H30" s="175"/>
      <c r="I30" s="95"/>
      <c r="J30" s="94" t="e">
        <f t="shared" si="1"/>
        <v>#DIV/0!</v>
      </c>
      <c r="K30" s="176"/>
    </row>
    <row r="31" spans="1:11" ht="15.75" customHeight="1" x14ac:dyDescent="0.25">
      <c r="A31" s="168">
        <v>45553</v>
      </c>
      <c r="B31" s="169">
        <v>14</v>
      </c>
      <c r="C31" s="170">
        <v>87</v>
      </c>
      <c r="D31" s="171">
        <f t="shared" si="0"/>
        <v>101</v>
      </c>
      <c r="E31" s="172"/>
      <c r="F31" s="173"/>
      <c r="G31" s="174" t="s">
        <v>552</v>
      </c>
      <c r="H31" s="175"/>
      <c r="I31" s="95"/>
      <c r="J31" s="94" t="e">
        <f t="shared" si="1"/>
        <v>#DIV/0!</v>
      </c>
      <c r="K31" s="176"/>
    </row>
    <row r="32" spans="1:11" ht="15.75" customHeight="1" x14ac:dyDescent="0.25">
      <c r="A32" s="168">
        <v>45554</v>
      </c>
      <c r="B32" s="169">
        <v>14</v>
      </c>
      <c r="C32" s="170">
        <v>87</v>
      </c>
      <c r="D32" s="171">
        <f t="shared" si="0"/>
        <v>101</v>
      </c>
      <c r="E32" s="179"/>
      <c r="F32" s="173"/>
      <c r="G32" s="174" t="s">
        <v>553</v>
      </c>
      <c r="H32" s="175"/>
      <c r="I32" s="95"/>
      <c r="J32" s="94" t="e">
        <f t="shared" si="1"/>
        <v>#DIV/0!</v>
      </c>
      <c r="K32" s="180"/>
    </row>
    <row r="33" spans="1:11" ht="15.75" customHeight="1" x14ac:dyDescent="0.25">
      <c r="A33" s="168">
        <v>45555</v>
      </c>
      <c r="B33" s="169">
        <v>14</v>
      </c>
      <c r="C33" s="170">
        <v>87</v>
      </c>
      <c r="D33" s="171">
        <f t="shared" si="0"/>
        <v>101</v>
      </c>
      <c r="E33" s="179"/>
      <c r="F33" s="173"/>
      <c r="G33" s="174" t="s">
        <v>554</v>
      </c>
      <c r="H33" s="175"/>
      <c r="I33" s="95"/>
      <c r="J33" s="94" t="e">
        <f t="shared" si="1"/>
        <v>#DIV/0!</v>
      </c>
      <c r="K33" s="180"/>
    </row>
    <row r="34" spans="1:11" ht="15.75" customHeight="1" x14ac:dyDescent="0.25">
      <c r="A34" s="168">
        <v>45558</v>
      </c>
      <c r="B34" s="169">
        <v>15</v>
      </c>
      <c r="C34" s="170">
        <v>86</v>
      </c>
      <c r="D34" s="171">
        <f t="shared" si="0"/>
        <v>101</v>
      </c>
      <c r="E34" s="179"/>
      <c r="F34" s="173"/>
      <c r="G34" s="174" t="s">
        <v>555</v>
      </c>
      <c r="H34" s="175"/>
      <c r="I34" s="95"/>
      <c r="J34" s="94" t="e">
        <f t="shared" si="1"/>
        <v>#DIV/0!</v>
      </c>
      <c r="K34" s="180"/>
    </row>
    <row r="35" spans="1:11" ht="15.75" customHeight="1" x14ac:dyDescent="0.25">
      <c r="A35" s="168">
        <v>45559</v>
      </c>
      <c r="B35" s="169">
        <v>15</v>
      </c>
      <c r="C35" s="170">
        <v>86</v>
      </c>
      <c r="D35" s="171">
        <f t="shared" si="0"/>
        <v>101</v>
      </c>
      <c r="E35" s="179"/>
      <c r="F35" s="173"/>
      <c r="G35" s="174" t="s">
        <v>556</v>
      </c>
      <c r="H35" s="175"/>
      <c r="I35" s="95"/>
      <c r="J35" s="94" t="e">
        <f t="shared" si="1"/>
        <v>#DIV/0!</v>
      </c>
      <c r="K35" s="180"/>
    </row>
    <row r="36" spans="1:11" ht="15.75" customHeight="1" x14ac:dyDescent="0.25">
      <c r="A36" s="168">
        <v>45560</v>
      </c>
      <c r="B36" s="169">
        <v>15</v>
      </c>
      <c r="C36" s="170">
        <v>86</v>
      </c>
      <c r="D36" s="171">
        <f t="shared" si="0"/>
        <v>101</v>
      </c>
      <c r="E36" s="179"/>
      <c r="F36" s="173"/>
      <c r="G36" s="174" t="s">
        <v>557</v>
      </c>
      <c r="H36" s="175"/>
      <c r="I36" s="95"/>
      <c r="J36" s="94" t="e">
        <f t="shared" si="1"/>
        <v>#DIV/0!</v>
      </c>
      <c r="K36" s="180"/>
    </row>
    <row r="37" spans="1:11" ht="15" x14ac:dyDescent="0.25">
      <c r="A37" s="168">
        <v>45561</v>
      </c>
      <c r="B37" s="169">
        <v>15</v>
      </c>
      <c r="C37" s="170">
        <v>89</v>
      </c>
      <c r="D37" s="171">
        <f t="shared" si="0"/>
        <v>104</v>
      </c>
      <c r="E37" s="179"/>
      <c r="F37" s="173"/>
      <c r="G37" s="174" t="s">
        <v>558</v>
      </c>
      <c r="H37" s="175"/>
      <c r="I37" s="95"/>
      <c r="J37" s="94" t="e">
        <f t="shared" si="1"/>
        <v>#DIV/0!</v>
      </c>
      <c r="K37" s="180"/>
    </row>
    <row r="38" spans="1:11" ht="15" x14ac:dyDescent="0.25">
      <c r="A38" s="168">
        <v>45562</v>
      </c>
      <c r="B38" s="169">
        <v>15</v>
      </c>
      <c r="C38" s="170">
        <v>89</v>
      </c>
      <c r="D38" s="171">
        <f t="shared" si="0"/>
        <v>104</v>
      </c>
      <c r="E38" s="179"/>
      <c r="F38" s="173"/>
      <c r="G38" s="174" t="s">
        <v>559</v>
      </c>
      <c r="H38" s="175"/>
      <c r="I38" s="95"/>
      <c r="J38" s="94" t="e">
        <f t="shared" si="1"/>
        <v>#DIV/0!</v>
      </c>
      <c r="K38" s="180"/>
    </row>
    <row r="39" spans="1:11" ht="15" x14ac:dyDescent="0.25">
      <c r="A39" s="168">
        <v>45565</v>
      </c>
      <c r="B39" s="169">
        <v>15</v>
      </c>
      <c r="C39" s="170">
        <v>89</v>
      </c>
      <c r="D39" s="171">
        <f t="shared" si="0"/>
        <v>104</v>
      </c>
      <c r="E39" s="179"/>
      <c r="F39" s="173"/>
      <c r="G39" s="174" t="s">
        <v>560</v>
      </c>
      <c r="H39" s="175"/>
      <c r="I39" s="95"/>
      <c r="J39" s="94" t="e">
        <f t="shared" si="1"/>
        <v>#DIV/0!</v>
      </c>
      <c r="K39" s="180"/>
    </row>
    <row r="40" spans="1:11" ht="15" x14ac:dyDescent="0.25">
      <c r="A40" s="168">
        <v>45566</v>
      </c>
      <c r="B40" s="169">
        <v>15</v>
      </c>
      <c r="C40" s="170">
        <v>90</v>
      </c>
      <c r="D40" s="171">
        <f t="shared" si="0"/>
        <v>105</v>
      </c>
      <c r="E40" s="179"/>
      <c r="F40" s="173"/>
      <c r="G40" s="174" t="s">
        <v>561</v>
      </c>
      <c r="H40" s="175"/>
      <c r="I40" s="95"/>
      <c r="J40" s="94" t="e">
        <f t="shared" si="1"/>
        <v>#DIV/0!</v>
      </c>
      <c r="K40" s="180"/>
    </row>
    <row r="41" spans="1:11" ht="15" x14ac:dyDescent="0.25">
      <c r="A41" s="168">
        <v>45567</v>
      </c>
      <c r="B41" s="169">
        <v>15</v>
      </c>
      <c r="C41" s="170">
        <v>90</v>
      </c>
      <c r="D41" s="171">
        <f t="shared" si="0"/>
        <v>105</v>
      </c>
      <c r="E41" s="179"/>
      <c r="F41" s="181"/>
      <c r="G41" s="182"/>
      <c r="H41" s="175"/>
      <c r="I41" s="95"/>
      <c r="J41" s="95"/>
      <c r="K41" s="180"/>
    </row>
    <row r="42" spans="1:11" ht="15" x14ac:dyDescent="0.25">
      <c r="A42" s="168">
        <v>45568</v>
      </c>
      <c r="B42" s="169">
        <v>19</v>
      </c>
      <c r="C42" s="170">
        <v>84</v>
      </c>
      <c r="D42" s="171">
        <f t="shared" si="0"/>
        <v>103</v>
      </c>
      <c r="E42" s="179"/>
      <c r="F42" s="181"/>
      <c r="G42" s="182"/>
      <c r="H42" s="175"/>
      <c r="I42" s="95"/>
      <c r="J42" s="95"/>
      <c r="K42" s="180"/>
    </row>
    <row r="43" spans="1:11" ht="15" x14ac:dyDescent="0.25">
      <c r="A43" s="168">
        <v>45569</v>
      </c>
      <c r="B43" s="169">
        <v>19</v>
      </c>
      <c r="C43" s="170">
        <v>84</v>
      </c>
      <c r="D43" s="171">
        <f t="shared" si="0"/>
        <v>103</v>
      </c>
      <c r="E43" s="179"/>
      <c r="F43" s="181"/>
      <c r="G43" s="182"/>
      <c r="H43" s="175"/>
      <c r="I43" s="95"/>
      <c r="J43" s="95"/>
      <c r="K43" s="180"/>
    </row>
    <row r="44" spans="1:11" ht="15" x14ac:dyDescent="0.25">
      <c r="A44" s="103">
        <v>45572</v>
      </c>
      <c r="B44" s="177">
        <v>0</v>
      </c>
      <c r="C44" s="106">
        <v>0</v>
      </c>
      <c r="D44" s="171">
        <f t="shared" si="0"/>
        <v>0</v>
      </c>
      <c r="E44" s="179"/>
      <c r="F44" s="181"/>
      <c r="G44" s="182"/>
      <c r="H44" s="175"/>
      <c r="I44" s="95"/>
      <c r="J44" s="95"/>
      <c r="K44" s="180"/>
    </row>
    <row r="45" spans="1:11" ht="15" x14ac:dyDescent="0.25">
      <c r="A45" s="103">
        <v>45573</v>
      </c>
      <c r="B45" s="177">
        <v>0</v>
      </c>
      <c r="C45" s="106">
        <v>0</v>
      </c>
      <c r="D45" s="171">
        <f t="shared" si="0"/>
        <v>0</v>
      </c>
      <c r="E45" s="179"/>
      <c r="F45" s="181"/>
      <c r="G45" s="182"/>
      <c r="H45" s="175"/>
      <c r="I45" s="95"/>
      <c r="J45" s="95"/>
      <c r="K45" s="180"/>
    </row>
    <row r="46" spans="1:11" ht="15" x14ac:dyDescent="0.25">
      <c r="A46" s="103">
        <v>45574</v>
      </c>
      <c r="B46" s="177"/>
      <c r="C46" s="106"/>
      <c r="D46" s="171">
        <f t="shared" si="0"/>
        <v>0</v>
      </c>
      <c r="E46" s="179"/>
      <c r="F46" s="181"/>
      <c r="G46" s="182"/>
      <c r="H46" s="175"/>
      <c r="I46" s="95"/>
      <c r="J46" s="95"/>
      <c r="K46" s="180"/>
    </row>
    <row r="47" spans="1:11" ht="15" x14ac:dyDescent="0.25">
      <c r="A47" s="103">
        <v>45575</v>
      </c>
      <c r="B47" s="177"/>
      <c r="C47" s="106"/>
      <c r="D47" s="171">
        <f t="shared" si="0"/>
        <v>0</v>
      </c>
      <c r="E47" s="179"/>
      <c r="F47" s="181"/>
      <c r="G47" s="182"/>
      <c r="H47" s="175"/>
      <c r="I47" s="95"/>
      <c r="J47" s="95"/>
      <c r="K47" s="180"/>
    </row>
    <row r="48" spans="1:11" ht="15" x14ac:dyDescent="0.25">
      <c r="A48" s="103">
        <v>45576</v>
      </c>
      <c r="B48" s="177"/>
      <c r="C48" s="106"/>
      <c r="D48" s="171">
        <f t="shared" si="0"/>
        <v>0</v>
      </c>
      <c r="E48" s="179"/>
      <c r="F48" s="181"/>
      <c r="G48" s="182"/>
      <c r="H48" s="175"/>
      <c r="I48" s="95"/>
      <c r="J48" s="95"/>
      <c r="K48" s="180"/>
    </row>
    <row r="49" spans="1:11" ht="15" x14ac:dyDescent="0.25">
      <c r="A49" s="168">
        <v>45579</v>
      </c>
      <c r="B49" s="169">
        <v>19</v>
      </c>
      <c r="C49" s="170">
        <v>84</v>
      </c>
      <c r="D49" s="171">
        <f t="shared" si="0"/>
        <v>103</v>
      </c>
      <c r="E49" s="179"/>
      <c r="F49" s="181"/>
      <c r="G49" s="182"/>
      <c r="H49" s="175"/>
      <c r="I49" s="95"/>
      <c r="J49" s="95"/>
      <c r="K49" s="180"/>
    </row>
    <row r="50" spans="1:11" ht="15" x14ac:dyDescent="0.25">
      <c r="A50" s="168">
        <v>45580</v>
      </c>
      <c r="B50" s="169">
        <v>19</v>
      </c>
      <c r="C50" s="170">
        <v>84</v>
      </c>
      <c r="D50" s="171">
        <f t="shared" si="0"/>
        <v>103</v>
      </c>
      <c r="E50" s="179"/>
      <c r="F50" s="181"/>
      <c r="G50" s="182"/>
      <c r="H50" s="175"/>
      <c r="I50" s="95"/>
      <c r="J50" s="95"/>
      <c r="K50" s="180"/>
    </row>
    <row r="51" spans="1:11" ht="15" x14ac:dyDescent="0.25">
      <c r="A51" s="168">
        <v>45581</v>
      </c>
      <c r="B51" s="169">
        <v>19</v>
      </c>
      <c r="C51" s="170">
        <v>85</v>
      </c>
      <c r="D51" s="171">
        <f t="shared" si="0"/>
        <v>104</v>
      </c>
      <c r="E51" s="179"/>
      <c r="F51" s="181"/>
      <c r="G51" s="182"/>
      <c r="H51" s="175"/>
      <c r="I51" s="95"/>
      <c r="J51" s="95"/>
      <c r="K51" s="180"/>
    </row>
    <row r="52" spans="1:11" ht="15" x14ac:dyDescent="0.25">
      <c r="A52" s="168">
        <v>45582</v>
      </c>
      <c r="B52" s="169">
        <v>19</v>
      </c>
      <c r="C52" s="170">
        <v>86</v>
      </c>
      <c r="D52" s="171">
        <f t="shared" si="0"/>
        <v>105</v>
      </c>
      <c r="E52" s="179"/>
      <c r="F52" s="181"/>
      <c r="G52" s="182"/>
      <c r="H52" s="175"/>
      <c r="I52" s="95"/>
      <c r="J52" s="95"/>
      <c r="K52" s="180"/>
    </row>
    <row r="53" spans="1:11" ht="15" x14ac:dyDescent="0.25">
      <c r="A53" s="168">
        <v>45583</v>
      </c>
      <c r="B53" s="169">
        <v>19</v>
      </c>
      <c r="C53" s="170">
        <v>85</v>
      </c>
      <c r="D53" s="171">
        <f t="shared" si="0"/>
        <v>104</v>
      </c>
      <c r="E53" s="179"/>
      <c r="F53" s="181"/>
      <c r="G53" s="182"/>
      <c r="H53" s="175"/>
      <c r="I53" s="95"/>
      <c r="J53" s="95"/>
      <c r="K53" s="180"/>
    </row>
    <row r="54" spans="1:11" ht="15" x14ac:dyDescent="0.25">
      <c r="A54" s="168">
        <v>45586</v>
      </c>
      <c r="B54" s="169">
        <v>19</v>
      </c>
      <c r="C54" s="170">
        <v>85</v>
      </c>
      <c r="D54" s="171">
        <f t="shared" si="0"/>
        <v>104</v>
      </c>
      <c r="E54" s="179"/>
      <c r="F54" s="181"/>
      <c r="G54" s="182"/>
      <c r="H54" s="175"/>
      <c r="I54" s="95"/>
      <c r="J54" s="95"/>
      <c r="K54" s="180"/>
    </row>
    <row r="55" spans="1:11" ht="15" x14ac:dyDescent="0.25">
      <c r="A55" s="168">
        <v>45587</v>
      </c>
      <c r="B55" s="169">
        <v>19</v>
      </c>
      <c r="C55" s="170">
        <v>85</v>
      </c>
      <c r="D55" s="171">
        <f t="shared" si="0"/>
        <v>104</v>
      </c>
      <c r="E55" s="179"/>
      <c r="F55" s="181"/>
      <c r="G55" s="182"/>
      <c r="H55" s="175"/>
      <c r="I55" s="95"/>
      <c r="J55" s="95"/>
      <c r="K55" s="180"/>
    </row>
    <row r="56" spans="1:11" ht="15" x14ac:dyDescent="0.25">
      <c r="A56" s="168">
        <v>45588</v>
      </c>
      <c r="B56" s="169">
        <v>19</v>
      </c>
      <c r="C56" s="170">
        <v>85</v>
      </c>
      <c r="D56" s="171">
        <f t="shared" si="0"/>
        <v>104</v>
      </c>
      <c r="E56" s="179"/>
      <c r="F56" s="181"/>
      <c r="G56" s="182"/>
      <c r="H56" s="175"/>
      <c r="I56" s="95"/>
      <c r="J56" s="95"/>
      <c r="K56" s="180"/>
    </row>
    <row r="57" spans="1:11" ht="15" x14ac:dyDescent="0.25">
      <c r="A57" s="168">
        <v>45589</v>
      </c>
      <c r="B57" s="169">
        <v>19</v>
      </c>
      <c r="C57" s="170">
        <v>85</v>
      </c>
      <c r="D57" s="171">
        <f t="shared" si="0"/>
        <v>104</v>
      </c>
      <c r="E57" s="179"/>
      <c r="F57" s="181"/>
      <c r="G57" s="182"/>
      <c r="H57" s="175"/>
      <c r="I57" s="95"/>
      <c r="J57" s="95"/>
      <c r="K57" s="180"/>
    </row>
    <row r="58" spans="1:11" ht="15" x14ac:dyDescent="0.25">
      <c r="A58" s="168">
        <v>45590</v>
      </c>
      <c r="B58" s="169">
        <v>19</v>
      </c>
      <c r="C58" s="170">
        <v>85</v>
      </c>
      <c r="D58" s="171">
        <f t="shared" si="0"/>
        <v>104</v>
      </c>
      <c r="E58" s="179"/>
      <c r="F58" s="181"/>
      <c r="G58" s="182"/>
      <c r="H58" s="175"/>
      <c r="I58" s="95"/>
      <c r="J58" s="95"/>
      <c r="K58" s="180"/>
    </row>
    <row r="59" spans="1:11" ht="15" x14ac:dyDescent="0.25">
      <c r="A59" s="168">
        <v>45593</v>
      </c>
      <c r="B59" s="169">
        <v>19</v>
      </c>
      <c r="C59" s="170">
        <v>86</v>
      </c>
      <c r="D59" s="171">
        <f t="shared" si="0"/>
        <v>105</v>
      </c>
      <c r="E59" s="179"/>
      <c r="F59" s="181"/>
      <c r="G59" s="182"/>
      <c r="H59" s="175"/>
      <c r="I59" s="95"/>
      <c r="J59" s="95"/>
      <c r="K59" s="180"/>
    </row>
    <row r="60" spans="1:11" ht="15" x14ac:dyDescent="0.25">
      <c r="A60" s="168">
        <v>45594</v>
      </c>
      <c r="B60" s="169">
        <v>19</v>
      </c>
      <c r="C60" s="170">
        <v>86</v>
      </c>
      <c r="D60" s="171">
        <f t="shared" si="0"/>
        <v>105</v>
      </c>
      <c r="E60" s="179"/>
      <c r="F60" s="181"/>
      <c r="G60" s="182"/>
      <c r="H60" s="175"/>
      <c r="I60" s="95"/>
      <c r="J60" s="95"/>
      <c r="K60" s="180"/>
    </row>
    <row r="61" spans="1:11" ht="15" x14ac:dyDescent="0.25">
      <c r="A61" s="168">
        <v>45595</v>
      </c>
      <c r="B61" s="169">
        <v>19</v>
      </c>
      <c r="C61" s="170">
        <v>84</v>
      </c>
      <c r="D61" s="171">
        <f t="shared" si="0"/>
        <v>103</v>
      </c>
      <c r="E61" s="179"/>
      <c r="F61" s="181"/>
      <c r="G61" s="182"/>
      <c r="H61" s="175"/>
      <c r="I61" s="95"/>
      <c r="J61" s="95"/>
      <c r="K61" s="180"/>
    </row>
    <row r="62" spans="1:11" ht="15" x14ac:dyDescent="0.25">
      <c r="A62" s="168">
        <v>45596</v>
      </c>
      <c r="B62" s="169">
        <v>19</v>
      </c>
      <c r="C62" s="170">
        <v>84</v>
      </c>
      <c r="D62" s="171">
        <f t="shared" si="0"/>
        <v>103</v>
      </c>
      <c r="E62" s="179"/>
      <c r="F62" s="181"/>
      <c r="G62" s="182"/>
      <c r="H62" s="175"/>
      <c r="I62" s="95"/>
      <c r="J62" s="95"/>
      <c r="K62" s="180"/>
    </row>
    <row r="63" spans="1:11" ht="15" x14ac:dyDescent="0.25">
      <c r="A63" s="168">
        <v>45597</v>
      </c>
      <c r="B63" s="169">
        <v>19</v>
      </c>
      <c r="C63" s="170">
        <v>84</v>
      </c>
      <c r="D63" s="171">
        <f t="shared" si="0"/>
        <v>103</v>
      </c>
      <c r="E63" s="179"/>
      <c r="F63" s="181"/>
      <c r="G63" s="182"/>
      <c r="H63" s="175"/>
      <c r="I63" s="95"/>
      <c r="J63" s="95"/>
      <c r="K63" s="180"/>
    </row>
    <row r="64" spans="1:11" ht="15" x14ac:dyDescent="0.25">
      <c r="A64" s="117">
        <v>45600</v>
      </c>
      <c r="B64" s="183"/>
      <c r="C64" s="120"/>
      <c r="D64" s="171">
        <f t="shared" si="0"/>
        <v>0</v>
      </c>
      <c r="E64" s="179"/>
      <c r="F64" s="181"/>
      <c r="G64" s="182"/>
      <c r="H64" s="175"/>
      <c r="I64" s="95"/>
      <c r="J64" s="95"/>
      <c r="K64" s="180"/>
    </row>
    <row r="65" spans="1:11" ht="15" x14ac:dyDescent="0.25">
      <c r="A65" s="109">
        <v>45601</v>
      </c>
      <c r="B65" s="178"/>
      <c r="C65" s="112"/>
      <c r="D65" s="171">
        <f t="shared" si="0"/>
        <v>0</v>
      </c>
      <c r="E65" s="179"/>
      <c r="F65" s="181"/>
      <c r="G65" s="182"/>
      <c r="H65" s="175"/>
      <c r="I65" s="95"/>
      <c r="J65" s="95"/>
      <c r="K65" s="180"/>
    </row>
    <row r="66" spans="1:11" ht="15" x14ac:dyDescent="0.25">
      <c r="A66" s="168">
        <v>45602</v>
      </c>
      <c r="B66" s="169">
        <v>19</v>
      </c>
      <c r="C66" s="170">
        <v>84</v>
      </c>
      <c r="D66" s="171">
        <f t="shared" si="0"/>
        <v>103</v>
      </c>
      <c r="E66" s="179"/>
      <c r="F66" s="181"/>
      <c r="G66" s="182"/>
      <c r="H66" s="175"/>
      <c r="I66" s="95"/>
      <c r="J66" s="95"/>
      <c r="K66" s="180"/>
    </row>
    <row r="67" spans="1:11" ht="15" x14ac:dyDescent="0.25">
      <c r="A67" s="168">
        <v>45603</v>
      </c>
      <c r="B67" s="169">
        <v>19</v>
      </c>
      <c r="C67" s="170">
        <v>84</v>
      </c>
      <c r="D67" s="171">
        <f t="shared" si="0"/>
        <v>103</v>
      </c>
      <c r="E67" s="179"/>
      <c r="F67" s="181"/>
      <c r="G67" s="182"/>
      <c r="H67" s="175"/>
      <c r="I67" s="95"/>
      <c r="J67" s="95"/>
      <c r="K67" s="180"/>
    </row>
    <row r="68" spans="1:11" ht="15" x14ac:dyDescent="0.25">
      <c r="A68" s="168">
        <v>45604</v>
      </c>
      <c r="B68" s="169">
        <v>19</v>
      </c>
      <c r="C68" s="170">
        <v>84</v>
      </c>
      <c r="D68" s="171">
        <f t="shared" si="0"/>
        <v>103</v>
      </c>
      <c r="E68" s="179"/>
      <c r="F68" s="181"/>
      <c r="G68" s="182"/>
      <c r="H68" s="175"/>
      <c r="I68" s="95"/>
      <c r="J68" s="95"/>
      <c r="K68" s="180"/>
    </row>
    <row r="69" spans="1:11" ht="15" x14ac:dyDescent="0.25">
      <c r="A69" s="168">
        <v>45607</v>
      </c>
      <c r="B69" s="169">
        <v>19</v>
      </c>
      <c r="C69" s="170">
        <v>84</v>
      </c>
      <c r="D69" s="171">
        <f t="shared" si="0"/>
        <v>103</v>
      </c>
      <c r="E69" s="179"/>
      <c r="F69" s="181"/>
      <c r="G69" s="182"/>
      <c r="H69" s="175"/>
      <c r="I69" s="95"/>
      <c r="J69" s="95"/>
      <c r="K69" s="180"/>
    </row>
    <row r="70" spans="1:11" ht="15" x14ac:dyDescent="0.25">
      <c r="A70" s="168">
        <v>45608</v>
      </c>
      <c r="B70" s="169">
        <v>19</v>
      </c>
      <c r="C70" s="170">
        <v>84</v>
      </c>
      <c r="D70" s="171">
        <f t="shared" si="0"/>
        <v>103</v>
      </c>
      <c r="E70" s="179"/>
      <c r="F70" s="181"/>
      <c r="G70" s="182"/>
      <c r="H70" s="175"/>
      <c r="I70" s="95"/>
      <c r="J70" s="95"/>
      <c r="K70" s="180"/>
    </row>
    <row r="71" spans="1:11" ht="15" x14ac:dyDescent="0.25">
      <c r="A71" s="168">
        <v>45609</v>
      </c>
      <c r="B71" s="169">
        <v>19</v>
      </c>
      <c r="C71" s="170">
        <v>84</v>
      </c>
      <c r="D71" s="171">
        <f t="shared" si="0"/>
        <v>103</v>
      </c>
      <c r="E71" s="179"/>
      <c r="F71" s="181"/>
      <c r="G71" s="182"/>
      <c r="H71" s="175"/>
      <c r="I71" s="95"/>
      <c r="J71" s="95"/>
      <c r="K71" s="180"/>
    </row>
    <row r="72" spans="1:11" ht="15" x14ac:dyDescent="0.25">
      <c r="A72" s="168">
        <v>45610</v>
      </c>
      <c r="B72" s="169">
        <v>19</v>
      </c>
      <c r="C72" s="170">
        <v>84</v>
      </c>
      <c r="D72" s="171">
        <f t="shared" si="0"/>
        <v>103</v>
      </c>
      <c r="E72" s="179"/>
      <c r="F72" s="181"/>
      <c r="G72" s="182"/>
      <c r="H72" s="175"/>
      <c r="I72" s="95"/>
      <c r="J72" s="95"/>
      <c r="K72" s="180"/>
    </row>
    <row r="73" spans="1:11" ht="15" x14ac:dyDescent="0.25">
      <c r="A73" s="168">
        <v>45611</v>
      </c>
      <c r="B73" s="169">
        <v>19</v>
      </c>
      <c r="C73" s="170">
        <v>84</v>
      </c>
      <c r="D73" s="171">
        <f t="shared" si="0"/>
        <v>103</v>
      </c>
      <c r="E73" s="179"/>
      <c r="F73" s="181"/>
      <c r="G73" s="182"/>
      <c r="H73" s="175"/>
      <c r="I73" s="95"/>
      <c r="J73" s="95"/>
      <c r="K73" s="180"/>
    </row>
    <row r="74" spans="1:11" ht="15" x14ac:dyDescent="0.25">
      <c r="A74" s="168">
        <v>45614</v>
      </c>
      <c r="B74" s="169">
        <v>19</v>
      </c>
      <c r="C74" s="170">
        <v>84</v>
      </c>
      <c r="D74" s="171">
        <f t="shared" si="0"/>
        <v>103</v>
      </c>
      <c r="E74" s="179"/>
      <c r="F74" s="181"/>
      <c r="G74" s="182"/>
      <c r="H74" s="175"/>
      <c r="I74" s="95"/>
      <c r="J74" s="95"/>
      <c r="K74" s="180"/>
    </row>
    <row r="75" spans="1:11" ht="15" x14ac:dyDescent="0.25">
      <c r="A75" s="168">
        <v>45615</v>
      </c>
      <c r="B75" s="169">
        <v>18</v>
      </c>
      <c r="C75" s="170">
        <v>84</v>
      </c>
      <c r="D75" s="171">
        <f t="shared" si="0"/>
        <v>102</v>
      </c>
      <c r="E75" s="179"/>
      <c r="F75" s="181"/>
      <c r="G75" s="182"/>
      <c r="H75" s="175"/>
      <c r="I75" s="95"/>
      <c r="J75" s="95"/>
      <c r="K75" s="180"/>
    </row>
    <row r="76" spans="1:11" ht="15" x14ac:dyDescent="0.25">
      <c r="A76" s="168">
        <v>45616</v>
      </c>
      <c r="B76" s="169">
        <v>18</v>
      </c>
      <c r="C76" s="170">
        <v>84</v>
      </c>
      <c r="D76" s="171">
        <f t="shared" si="0"/>
        <v>102</v>
      </c>
      <c r="E76" s="179"/>
      <c r="F76" s="181"/>
      <c r="G76" s="182"/>
      <c r="H76" s="175"/>
      <c r="I76" s="95"/>
      <c r="J76" s="95"/>
      <c r="K76" s="180"/>
    </row>
    <row r="77" spans="1:11" ht="15" x14ac:dyDescent="0.25">
      <c r="A77" s="168">
        <v>45617</v>
      </c>
      <c r="B77" s="169">
        <v>18</v>
      </c>
      <c r="C77" s="170">
        <v>84</v>
      </c>
      <c r="D77" s="171">
        <f t="shared" si="0"/>
        <v>102</v>
      </c>
      <c r="E77" s="179"/>
      <c r="F77" s="181"/>
      <c r="G77" s="182"/>
      <c r="H77" s="175"/>
      <c r="I77" s="95"/>
      <c r="J77" s="95"/>
      <c r="K77" s="180"/>
    </row>
    <row r="78" spans="1:11" ht="15" x14ac:dyDescent="0.25">
      <c r="A78" s="168">
        <v>45618</v>
      </c>
      <c r="B78" s="169">
        <v>18</v>
      </c>
      <c r="C78" s="170">
        <v>83</v>
      </c>
      <c r="D78" s="171">
        <f t="shared" si="0"/>
        <v>101</v>
      </c>
      <c r="E78" s="179"/>
      <c r="F78" s="181"/>
      <c r="G78" s="182"/>
      <c r="H78" s="175"/>
      <c r="I78" s="95"/>
      <c r="J78" s="95"/>
      <c r="K78" s="180"/>
    </row>
    <row r="79" spans="1:11" ht="15" x14ac:dyDescent="0.25">
      <c r="A79" s="109">
        <v>45621</v>
      </c>
      <c r="B79" s="178"/>
      <c r="C79" s="112"/>
      <c r="D79" s="171">
        <f t="shared" si="0"/>
        <v>0</v>
      </c>
      <c r="E79" s="179"/>
      <c r="F79" s="181"/>
      <c r="G79" s="182"/>
      <c r="H79" s="175"/>
      <c r="I79" s="95"/>
      <c r="J79" s="95"/>
      <c r="K79" s="180"/>
    </row>
    <row r="80" spans="1:11" ht="15" x14ac:dyDescent="0.25">
      <c r="A80" s="109">
        <v>45622</v>
      </c>
      <c r="B80" s="178"/>
      <c r="C80" s="112"/>
      <c r="D80" s="171">
        <f t="shared" si="0"/>
        <v>0</v>
      </c>
      <c r="E80" s="179"/>
      <c r="F80" s="181"/>
      <c r="G80" s="182"/>
      <c r="H80" s="175"/>
      <c r="I80" s="95"/>
      <c r="J80" s="95"/>
      <c r="K80" s="180"/>
    </row>
    <row r="81" spans="1:11" ht="15" x14ac:dyDescent="0.25">
      <c r="A81" s="109">
        <v>45623</v>
      </c>
      <c r="B81" s="178"/>
      <c r="C81" s="112"/>
      <c r="D81" s="171">
        <f t="shared" si="0"/>
        <v>0</v>
      </c>
      <c r="E81" s="179"/>
      <c r="F81" s="181"/>
      <c r="G81" s="182"/>
      <c r="H81" s="175"/>
      <c r="I81" s="95"/>
      <c r="J81" s="95"/>
      <c r="K81" s="180"/>
    </row>
    <row r="82" spans="1:11" ht="15" x14ac:dyDescent="0.25">
      <c r="A82" s="109">
        <v>45624</v>
      </c>
      <c r="B82" s="178"/>
      <c r="C82" s="112"/>
      <c r="D82" s="171">
        <f t="shared" si="0"/>
        <v>0</v>
      </c>
      <c r="E82" s="179"/>
      <c r="F82" s="181"/>
      <c r="G82" s="182"/>
      <c r="H82" s="175"/>
      <c r="I82" s="95"/>
      <c r="J82" s="95"/>
      <c r="K82" s="180"/>
    </row>
    <row r="83" spans="1:11" ht="15" x14ac:dyDescent="0.25">
      <c r="A83" s="109">
        <v>45625</v>
      </c>
      <c r="B83" s="178"/>
      <c r="C83" s="112"/>
      <c r="D83" s="171">
        <f t="shared" si="0"/>
        <v>0</v>
      </c>
      <c r="E83" s="179"/>
      <c r="F83" s="181"/>
      <c r="G83" s="182"/>
      <c r="H83" s="175"/>
      <c r="I83" s="95"/>
      <c r="J83" s="95"/>
      <c r="K83" s="180"/>
    </row>
    <row r="84" spans="1:11" ht="15" x14ac:dyDescent="0.25">
      <c r="A84" s="168">
        <v>45628</v>
      </c>
      <c r="B84" s="169">
        <v>13</v>
      </c>
      <c r="C84" s="170">
        <v>83</v>
      </c>
      <c r="D84" s="171">
        <f t="shared" si="0"/>
        <v>96</v>
      </c>
      <c r="E84" s="179"/>
      <c r="F84" s="181"/>
      <c r="G84" s="182"/>
      <c r="H84" s="175"/>
      <c r="I84" s="95"/>
      <c r="J84" s="95"/>
      <c r="K84" s="180"/>
    </row>
    <row r="85" spans="1:11" ht="15" x14ac:dyDescent="0.25">
      <c r="A85" s="168">
        <v>45629</v>
      </c>
      <c r="B85" s="169">
        <v>11</v>
      </c>
      <c r="C85" s="170">
        <v>83</v>
      </c>
      <c r="D85" s="171">
        <f t="shared" si="0"/>
        <v>94</v>
      </c>
      <c r="E85" s="179"/>
      <c r="F85" s="181"/>
      <c r="G85" s="182"/>
      <c r="H85" s="175"/>
      <c r="I85" s="95"/>
      <c r="J85" s="95"/>
      <c r="K85" s="180"/>
    </row>
    <row r="86" spans="1:11" ht="15" x14ac:dyDescent="0.25">
      <c r="A86" s="168">
        <v>45630</v>
      </c>
      <c r="B86" s="169">
        <v>11</v>
      </c>
      <c r="C86" s="170">
        <v>79</v>
      </c>
      <c r="D86" s="171">
        <f t="shared" si="0"/>
        <v>90</v>
      </c>
      <c r="E86" s="179"/>
      <c r="F86" s="181"/>
      <c r="G86" s="182"/>
      <c r="H86" s="175"/>
      <c r="I86" s="95"/>
      <c r="J86" s="95"/>
      <c r="K86" s="180"/>
    </row>
    <row r="87" spans="1:11" ht="15" x14ac:dyDescent="0.25">
      <c r="A87" s="168">
        <v>45631</v>
      </c>
      <c r="B87" s="169">
        <v>11</v>
      </c>
      <c r="C87" s="170">
        <v>79</v>
      </c>
      <c r="D87" s="171">
        <f t="shared" si="0"/>
        <v>90</v>
      </c>
      <c r="E87" s="179"/>
      <c r="F87" s="181"/>
      <c r="G87" s="182"/>
      <c r="H87" s="175"/>
      <c r="I87" s="95"/>
      <c r="J87" s="95"/>
      <c r="K87" s="180"/>
    </row>
    <row r="88" spans="1:11" ht="15" x14ac:dyDescent="0.25">
      <c r="A88" s="168">
        <v>45632</v>
      </c>
      <c r="B88" s="169">
        <v>11</v>
      </c>
      <c r="C88" s="170">
        <v>78</v>
      </c>
      <c r="D88" s="171">
        <f t="shared" si="0"/>
        <v>89</v>
      </c>
      <c r="E88" s="179"/>
      <c r="F88" s="181"/>
      <c r="G88" s="182"/>
      <c r="H88" s="175"/>
      <c r="I88" s="95"/>
      <c r="J88" s="95"/>
      <c r="K88" s="180"/>
    </row>
    <row r="89" spans="1:11" ht="15" x14ac:dyDescent="0.25">
      <c r="A89" s="168">
        <v>45635</v>
      </c>
      <c r="B89" s="169">
        <v>11</v>
      </c>
      <c r="C89" s="170">
        <v>77</v>
      </c>
      <c r="D89" s="171">
        <f t="shared" si="0"/>
        <v>88</v>
      </c>
      <c r="E89" s="179"/>
      <c r="F89" s="181"/>
      <c r="G89" s="182"/>
      <c r="H89" s="175"/>
      <c r="I89" s="95"/>
      <c r="J89" s="95"/>
      <c r="K89" s="180"/>
    </row>
    <row r="90" spans="1:11" ht="15" x14ac:dyDescent="0.25">
      <c r="A90" s="168">
        <v>45636</v>
      </c>
      <c r="B90" s="169">
        <v>11</v>
      </c>
      <c r="C90" s="170">
        <v>76</v>
      </c>
      <c r="D90" s="171">
        <f t="shared" si="0"/>
        <v>87</v>
      </c>
      <c r="E90" s="179"/>
      <c r="F90" s="181"/>
      <c r="G90" s="182"/>
      <c r="H90" s="175"/>
      <c r="I90" s="95"/>
      <c r="J90" s="95"/>
      <c r="K90" s="180"/>
    </row>
    <row r="91" spans="1:11" ht="15" x14ac:dyDescent="0.25">
      <c r="A91" s="168">
        <v>45637</v>
      </c>
      <c r="B91" s="169">
        <v>11</v>
      </c>
      <c r="C91" s="170">
        <v>76</v>
      </c>
      <c r="D91" s="171">
        <f t="shared" si="0"/>
        <v>87</v>
      </c>
      <c r="E91" s="179"/>
      <c r="F91" s="181"/>
      <c r="G91" s="182"/>
      <c r="H91" s="175"/>
      <c r="I91" s="95"/>
      <c r="J91" s="95"/>
      <c r="K91" s="180"/>
    </row>
    <row r="92" spans="1:11" ht="15" x14ac:dyDescent="0.25">
      <c r="A92" s="168">
        <v>45638</v>
      </c>
      <c r="B92" s="169">
        <v>11</v>
      </c>
      <c r="C92" s="170">
        <v>75</v>
      </c>
      <c r="D92" s="171">
        <f t="shared" si="0"/>
        <v>86</v>
      </c>
      <c r="E92" s="179"/>
      <c r="F92" s="181"/>
      <c r="G92" s="182"/>
      <c r="H92" s="175"/>
      <c r="I92" s="95"/>
      <c r="J92" s="95"/>
      <c r="K92" s="180"/>
    </row>
    <row r="93" spans="1:11" ht="15" x14ac:dyDescent="0.25">
      <c r="A93" s="168">
        <v>45639</v>
      </c>
      <c r="B93" s="169">
        <v>11</v>
      </c>
      <c r="C93" s="170">
        <v>74</v>
      </c>
      <c r="D93" s="171">
        <f t="shared" si="0"/>
        <v>85</v>
      </c>
      <c r="E93" s="179"/>
      <c r="F93" s="181"/>
      <c r="G93" s="182"/>
      <c r="H93" s="175"/>
      <c r="I93" s="95"/>
      <c r="J93" s="95"/>
      <c r="K93" s="180"/>
    </row>
    <row r="94" spans="1:11" ht="15" x14ac:dyDescent="0.25">
      <c r="A94" s="168">
        <v>45642</v>
      </c>
      <c r="B94" s="169">
        <v>11</v>
      </c>
      <c r="C94" s="170">
        <v>74</v>
      </c>
      <c r="D94" s="171">
        <f t="shared" si="0"/>
        <v>85</v>
      </c>
      <c r="E94" s="179"/>
      <c r="F94" s="181"/>
      <c r="G94" s="182"/>
      <c r="H94" s="175"/>
      <c r="I94" s="95"/>
      <c r="J94" s="95"/>
      <c r="K94" s="180"/>
    </row>
    <row r="95" spans="1:11" ht="15" x14ac:dyDescent="0.25">
      <c r="A95" s="168">
        <v>45643</v>
      </c>
      <c r="B95" s="169">
        <v>11</v>
      </c>
      <c r="C95" s="170">
        <v>73</v>
      </c>
      <c r="D95" s="171">
        <f t="shared" si="0"/>
        <v>84</v>
      </c>
      <c r="E95" s="179"/>
      <c r="F95" s="181"/>
      <c r="G95" s="182"/>
      <c r="H95" s="175"/>
      <c r="I95" s="95"/>
      <c r="J95" s="95"/>
      <c r="K95" s="180"/>
    </row>
    <row r="96" spans="1:11" ht="15" x14ac:dyDescent="0.25">
      <c r="A96" s="168">
        <v>45644</v>
      </c>
      <c r="B96" s="169">
        <v>11</v>
      </c>
      <c r="C96" s="170">
        <v>72</v>
      </c>
      <c r="D96" s="171">
        <f t="shared" si="0"/>
        <v>83</v>
      </c>
      <c r="E96" s="179"/>
      <c r="F96" s="181"/>
      <c r="G96" s="182"/>
      <c r="H96" s="175"/>
      <c r="I96" s="95"/>
      <c r="J96" s="95"/>
      <c r="K96" s="180"/>
    </row>
    <row r="97" spans="1:11" ht="15" x14ac:dyDescent="0.25">
      <c r="A97" s="168">
        <v>45645</v>
      </c>
      <c r="B97" s="169">
        <v>12</v>
      </c>
      <c r="C97" s="170">
        <v>70</v>
      </c>
      <c r="D97" s="171">
        <f t="shared" si="0"/>
        <v>82</v>
      </c>
      <c r="E97" s="179"/>
      <c r="F97" s="181"/>
      <c r="G97" s="182"/>
      <c r="H97" s="175"/>
      <c r="I97" s="95"/>
      <c r="J97" s="95"/>
      <c r="K97" s="180"/>
    </row>
    <row r="98" spans="1:11" ht="15" x14ac:dyDescent="0.25">
      <c r="A98" s="168">
        <v>45646</v>
      </c>
      <c r="B98" s="169">
        <v>10</v>
      </c>
      <c r="C98" s="170">
        <v>70</v>
      </c>
      <c r="D98" s="171">
        <f t="shared" si="0"/>
        <v>80</v>
      </c>
      <c r="E98" s="179"/>
      <c r="F98" s="181"/>
      <c r="G98" s="182"/>
      <c r="H98" s="175"/>
      <c r="I98" s="95"/>
      <c r="J98" s="95"/>
      <c r="K98" s="180"/>
    </row>
    <row r="99" spans="1:11" ht="15" x14ac:dyDescent="0.25">
      <c r="A99" s="103">
        <v>45649</v>
      </c>
      <c r="B99" s="177"/>
      <c r="C99" s="106"/>
      <c r="D99" s="171">
        <f t="shared" si="0"/>
        <v>0</v>
      </c>
      <c r="E99" s="179"/>
      <c r="F99" s="181"/>
      <c r="G99" s="182"/>
      <c r="H99" s="175"/>
      <c r="I99" s="95"/>
      <c r="J99" s="95"/>
      <c r="K99" s="180"/>
    </row>
    <row r="100" spans="1:11" ht="15" x14ac:dyDescent="0.25">
      <c r="A100" s="103">
        <v>45650</v>
      </c>
      <c r="B100" s="177"/>
      <c r="C100" s="106"/>
      <c r="D100" s="171">
        <f t="shared" si="0"/>
        <v>0</v>
      </c>
      <c r="E100" s="179"/>
      <c r="F100" s="181"/>
      <c r="G100" s="182"/>
      <c r="H100" s="175"/>
      <c r="I100" s="95"/>
      <c r="J100" s="95"/>
      <c r="K100" s="180"/>
    </row>
    <row r="101" spans="1:11" ht="15" x14ac:dyDescent="0.25">
      <c r="A101" s="103">
        <v>45651</v>
      </c>
      <c r="B101" s="177"/>
      <c r="C101" s="106"/>
      <c r="D101" s="171">
        <f t="shared" si="0"/>
        <v>0</v>
      </c>
      <c r="E101" s="179"/>
      <c r="F101" s="181"/>
      <c r="G101" s="182"/>
      <c r="H101" s="175"/>
      <c r="I101" s="95"/>
      <c r="J101" s="95"/>
      <c r="K101" s="180"/>
    </row>
    <row r="102" spans="1:11" ht="15" x14ac:dyDescent="0.25">
      <c r="A102" s="103">
        <v>45652</v>
      </c>
      <c r="B102" s="177"/>
      <c r="C102" s="106"/>
      <c r="D102" s="171">
        <f t="shared" si="0"/>
        <v>0</v>
      </c>
      <c r="E102" s="179"/>
      <c r="F102" s="181"/>
      <c r="G102" s="182"/>
      <c r="H102" s="175"/>
      <c r="I102" s="95"/>
      <c r="J102" s="95"/>
      <c r="K102" s="180"/>
    </row>
    <row r="103" spans="1:11" ht="15" x14ac:dyDescent="0.25">
      <c r="A103" s="103">
        <v>45653</v>
      </c>
      <c r="B103" s="177"/>
      <c r="C103" s="106"/>
      <c r="D103" s="171">
        <f t="shared" si="0"/>
        <v>0</v>
      </c>
      <c r="E103" s="179"/>
      <c r="F103" s="181"/>
      <c r="G103" s="182"/>
      <c r="H103" s="175"/>
      <c r="I103" s="95"/>
      <c r="J103" s="95"/>
      <c r="K103" s="180"/>
    </row>
    <row r="104" spans="1:11" ht="15" x14ac:dyDescent="0.25">
      <c r="A104" s="103">
        <v>45656</v>
      </c>
      <c r="B104" s="177"/>
      <c r="C104" s="106"/>
      <c r="D104" s="171">
        <f t="shared" si="0"/>
        <v>0</v>
      </c>
      <c r="E104" s="179"/>
      <c r="F104" s="181"/>
      <c r="G104" s="182"/>
      <c r="H104" s="175"/>
      <c r="I104" s="95"/>
      <c r="J104" s="95"/>
      <c r="K104" s="180"/>
    </row>
    <row r="105" spans="1:11" ht="15" x14ac:dyDescent="0.25">
      <c r="A105" s="103">
        <v>45657</v>
      </c>
      <c r="B105" s="177"/>
      <c r="C105" s="106"/>
      <c r="D105" s="171">
        <f t="shared" si="0"/>
        <v>0</v>
      </c>
      <c r="E105" s="179"/>
      <c r="F105" s="181"/>
      <c r="G105" s="182"/>
      <c r="H105" s="175"/>
      <c r="I105" s="95"/>
      <c r="J105" s="95"/>
      <c r="K105" s="180"/>
    </row>
    <row r="106" spans="1:11" ht="15" x14ac:dyDescent="0.25">
      <c r="A106" s="103">
        <v>45658</v>
      </c>
      <c r="B106" s="177"/>
      <c r="C106" s="106"/>
      <c r="D106" s="171">
        <f t="shared" si="0"/>
        <v>0</v>
      </c>
      <c r="E106" s="179"/>
      <c r="F106" s="181"/>
      <c r="G106" s="182"/>
      <c r="H106" s="175"/>
      <c r="I106" s="95"/>
      <c r="J106" s="95"/>
      <c r="K106" s="180"/>
    </row>
    <row r="107" spans="1:11" ht="15" x14ac:dyDescent="0.25">
      <c r="A107" s="103">
        <v>45659</v>
      </c>
      <c r="B107" s="177"/>
      <c r="C107" s="106"/>
      <c r="D107" s="171">
        <f t="shared" si="0"/>
        <v>0</v>
      </c>
      <c r="E107" s="179"/>
      <c r="F107" s="181"/>
      <c r="G107" s="182"/>
      <c r="H107" s="175"/>
      <c r="I107" s="95"/>
      <c r="J107" s="95"/>
      <c r="K107" s="180"/>
    </row>
    <row r="108" spans="1:11" ht="15" x14ac:dyDescent="0.25">
      <c r="A108" s="103">
        <v>45660</v>
      </c>
      <c r="B108" s="177"/>
      <c r="C108" s="106"/>
      <c r="D108" s="171">
        <f t="shared" si="0"/>
        <v>0</v>
      </c>
      <c r="E108" s="179"/>
      <c r="F108" s="181"/>
      <c r="G108" s="182"/>
      <c r="H108" s="175"/>
      <c r="I108" s="95"/>
      <c r="J108" s="95"/>
      <c r="K108" s="180"/>
    </row>
    <row r="109" spans="1:11" ht="15" x14ac:dyDescent="0.25">
      <c r="A109" s="109">
        <v>45663</v>
      </c>
      <c r="B109" s="178"/>
      <c r="C109" s="112"/>
      <c r="D109" s="171">
        <f t="shared" si="0"/>
        <v>0</v>
      </c>
      <c r="E109" s="179"/>
      <c r="F109" s="181"/>
      <c r="G109" s="182"/>
      <c r="H109" s="175"/>
      <c r="I109" s="95"/>
      <c r="J109" s="95"/>
      <c r="K109" s="180"/>
    </row>
    <row r="110" spans="1:11" ht="15" x14ac:dyDescent="0.25">
      <c r="A110" s="109">
        <v>45664</v>
      </c>
      <c r="B110" s="178"/>
      <c r="C110" s="112"/>
      <c r="D110" s="171">
        <f t="shared" si="0"/>
        <v>0</v>
      </c>
      <c r="E110" s="179"/>
      <c r="F110" s="181"/>
      <c r="G110" s="182"/>
      <c r="H110" s="175"/>
      <c r="I110" s="95"/>
      <c r="J110" s="95"/>
      <c r="K110" s="180"/>
    </row>
    <row r="111" spans="1:11" ht="15" x14ac:dyDescent="0.25">
      <c r="A111" s="168">
        <v>45665</v>
      </c>
      <c r="B111" s="169">
        <v>13</v>
      </c>
      <c r="C111" s="170">
        <v>72</v>
      </c>
      <c r="D111" s="171">
        <f t="shared" si="0"/>
        <v>85</v>
      </c>
      <c r="E111" s="179"/>
      <c r="F111" s="181"/>
      <c r="G111" s="182"/>
      <c r="H111" s="175"/>
      <c r="I111" s="95"/>
      <c r="J111" s="95"/>
      <c r="K111" s="180"/>
    </row>
    <row r="112" spans="1:11" ht="15" x14ac:dyDescent="0.25">
      <c r="A112" s="168">
        <v>45666</v>
      </c>
      <c r="B112" s="169">
        <v>11</v>
      </c>
      <c r="C112" s="170">
        <v>74</v>
      </c>
      <c r="D112" s="171">
        <f t="shared" si="0"/>
        <v>85</v>
      </c>
      <c r="E112" s="179"/>
      <c r="F112" s="181"/>
      <c r="G112" s="182"/>
      <c r="H112" s="175"/>
      <c r="I112" s="95"/>
      <c r="J112" s="95"/>
      <c r="K112" s="180"/>
    </row>
    <row r="113" spans="1:11" ht="15" x14ac:dyDescent="0.25">
      <c r="A113" s="168">
        <v>45667</v>
      </c>
      <c r="B113" s="169">
        <v>11</v>
      </c>
      <c r="C113" s="170">
        <v>74</v>
      </c>
      <c r="D113" s="171">
        <f t="shared" si="0"/>
        <v>85</v>
      </c>
      <c r="E113" s="179"/>
      <c r="F113" s="181"/>
      <c r="G113" s="182"/>
      <c r="H113" s="175"/>
      <c r="I113" s="95"/>
      <c r="J113" s="95"/>
      <c r="K113" s="180"/>
    </row>
    <row r="114" spans="1:11" ht="15" x14ac:dyDescent="0.25">
      <c r="A114" s="168">
        <v>45670</v>
      </c>
      <c r="B114" s="169">
        <v>11</v>
      </c>
      <c r="C114" s="170">
        <v>74</v>
      </c>
      <c r="D114" s="171">
        <f t="shared" si="0"/>
        <v>85</v>
      </c>
      <c r="E114" s="179"/>
      <c r="F114" s="181"/>
      <c r="G114" s="182"/>
      <c r="H114" s="175"/>
      <c r="I114" s="95"/>
      <c r="J114" s="95"/>
      <c r="K114" s="180"/>
    </row>
    <row r="115" spans="1:11" ht="15" x14ac:dyDescent="0.25">
      <c r="A115" s="168">
        <v>45671</v>
      </c>
      <c r="B115" s="169">
        <v>11</v>
      </c>
      <c r="C115" s="170">
        <v>74</v>
      </c>
      <c r="D115" s="171">
        <f t="shared" si="0"/>
        <v>85</v>
      </c>
      <c r="E115" s="179"/>
      <c r="F115" s="181"/>
      <c r="G115" s="182"/>
      <c r="H115" s="175"/>
      <c r="I115" s="95"/>
      <c r="J115" s="95"/>
      <c r="K115" s="180"/>
    </row>
    <row r="116" spans="1:11" ht="15" x14ac:dyDescent="0.25">
      <c r="A116" s="168">
        <v>45672</v>
      </c>
      <c r="B116" s="169">
        <v>11</v>
      </c>
      <c r="C116" s="170">
        <v>73</v>
      </c>
      <c r="D116" s="171">
        <f t="shared" si="0"/>
        <v>84</v>
      </c>
      <c r="E116" s="179"/>
      <c r="F116" s="181"/>
      <c r="G116" s="182"/>
      <c r="H116" s="175"/>
      <c r="I116" s="95"/>
      <c r="J116" s="95"/>
      <c r="K116" s="180"/>
    </row>
    <row r="117" spans="1:11" ht="15" x14ac:dyDescent="0.25">
      <c r="A117" s="168">
        <v>45673</v>
      </c>
      <c r="B117" s="169">
        <v>11</v>
      </c>
      <c r="C117" s="170">
        <v>72</v>
      </c>
      <c r="D117" s="171">
        <f t="shared" si="0"/>
        <v>83</v>
      </c>
      <c r="E117" s="179"/>
      <c r="F117" s="181"/>
      <c r="G117" s="182"/>
      <c r="H117" s="175"/>
      <c r="I117" s="95"/>
      <c r="J117" s="95"/>
      <c r="K117" s="180"/>
    </row>
    <row r="118" spans="1:11" ht="15" x14ac:dyDescent="0.25">
      <c r="A118" s="168">
        <v>45674</v>
      </c>
      <c r="B118" s="169">
        <v>11</v>
      </c>
      <c r="C118" s="170">
        <v>73</v>
      </c>
      <c r="D118" s="171">
        <f t="shared" si="0"/>
        <v>84</v>
      </c>
      <c r="E118" s="179"/>
      <c r="F118" s="181"/>
      <c r="G118" s="182"/>
      <c r="H118" s="175"/>
      <c r="I118" s="95"/>
      <c r="J118" s="95"/>
      <c r="K118" s="180"/>
    </row>
    <row r="119" spans="1:11" ht="15" x14ac:dyDescent="0.25">
      <c r="A119" s="103">
        <v>45677</v>
      </c>
      <c r="B119" s="177"/>
      <c r="C119" s="106"/>
      <c r="D119" s="171">
        <f t="shared" si="0"/>
        <v>0</v>
      </c>
      <c r="E119" s="179"/>
      <c r="F119" s="181"/>
      <c r="G119" s="182"/>
      <c r="H119" s="175"/>
      <c r="I119" s="95"/>
      <c r="J119" s="95"/>
      <c r="K119" s="180"/>
    </row>
    <row r="120" spans="1:11" ht="15" x14ac:dyDescent="0.25">
      <c r="A120" s="168">
        <v>45678</v>
      </c>
      <c r="B120" s="169">
        <v>11</v>
      </c>
      <c r="C120" s="170">
        <v>73</v>
      </c>
      <c r="D120" s="171">
        <f t="shared" si="0"/>
        <v>84</v>
      </c>
      <c r="E120" s="179"/>
      <c r="F120" s="181"/>
      <c r="G120" s="182"/>
      <c r="H120" s="175"/>
      <c r="I120" s="95"/>
      <c r="J120" s="95"/>
      <c r="K120" s="180"/>
    </row>
    <row r="121" spans="1:11" ht="15" x14ac:dyDescent="0.25">
      <c r="A121" s="168">
        <v>45679</v>
      </c>
      <c r="B121" s="169">
        <v>11</v>
      </c>
      <c r="C121" s="170">
        <v>73</v>
      </c>
      <c r="D121" s="171">
        <f t="shared" si="0"/>
        <v>84</v>
      </c>
      <c r="E121" s="179"/>
      <c r="F121" s="181"/>
      <c r="G121" s="182"/>
      <c r="H121" s="175"/>
      <c r="I121" s="95"/>
      <c r="J121" s="95"/>
      <c r="K121" s="180"/>
    </row>
    <row r="122" spans="1:11" ht="15" x14ac:dyDescent="0.25">
      <c r="A122" s="168">
        <v>45680</v>
      </c>
      <c r="B122" s="169">
        <v>11</v>
      </c>
      <c r="C122" s="170">
        <v>75</v>
      </c>
      <c r="D122" s="171">
        <f t="shared" si="0"/>
        <v>86</v>
      </c>
      <c r="E122" s="179"/>
      <c r="F122" s="181"/>
      <c r="G122" s="182"/>
      <c r="H122" s="175"/>
      <c r="I122" s="95"/>
      <c r="J122" s="95"/>
      <c r="K122" s="180"/>
    </row>
    <row r="123" spans="1:11" ht="15" x14ac:dyDescent="0.25">
      <c r="A123" s="168">
        <v>45681</v>
      </c>
      <c r="B123" s="169">
        <v>11</v>
      </c>
      <c r="C123" s="170">
        <v>75</v>
      </c>
      <c r="D123" s="171">
        <f t="shared" si="0"/>
        <v>86</v>
      </c>
      <c r="E123" s="179"/>
      <c r="F123" s="181"/>
      <c r="G123" s="182"/>
      <c r="H123" s="175"/>
      <c r="I123" s="95"/>
      <c r="J123" s="95"/>
      <c r="K123" s="180"/>
    </row>
    <row r="124" spans="1:11" ht="15" x14ac:dyDescent="0.25">
      <c r="A124" s="168">
        <v>45684</v>
      </c>
      <c r="B124" s="169">
        <v>11</v>
      </c>
      <c r="C124" s="170">
        <v>75</v>
      </c>
      <c r="D124" s="171">
        <f t="shared" si="0"/>
        <v>86</v>
      </c>
      <c r="E124" s="179"/>
      <c r="F124" s="181"/>
      <c r="G124" s="182"/>
      <c r="H124" s="175"/>
      <c r="I124" s="95"/>
      <c r="J124" s="95"/>
      <c r="K124" s="180"/>
    </row>
    <row r="125" spans="1:11" ht="15" x14ac:dyDescent="0.25">
      <c r="A125" s="168">
        <v>45685</v>
      </c>
      <c r="B125" s="169">
        <v>11</v>
      </c>
      <c r="C125" s="170">
        <v>75</v>
      </c>
      <c r="D125" s="171">
        <f t="shared" si="0"/>
        <v>86</v>
      </c>
      <c r="E125" s="179"/>
      <c r="F125" s="181"/>
      <c r="G125" s="182"/>
      <c r="H125" s="175"/>
      <c r="I125" s="95"/>
      <c r="J125" s="95"/>
      <c r="K125" s="180"/>
    </row>
    <row r="126" spans="1:11" ht="15" x14ac:dyDescent="0.25">
      <c r="A126" s="168">
        <v>45686</v>
      </c>
      <c r="B126" s="169">
        <v>12</v>
      </c>
      <c r="C126" s="170">
        <v>75</v>
      </c>
      <c r="D126" s="171">
        <f t="shared" si="0"/>
        <v>87</v>
      </c>
      <c r="E126" s="179"/>
      <c r="F126" s="181"/>
      <c r="G126" s="182"/>
      <c r="H126" s="175"/>
      <c r="I126" s="95"/>
      <c r="J126" s="95"/>
      <c r="K126" s="180"/>
    </row>
    <row r="127" spans="1:11" ht="15" x14ac:dyDescent="0.25">
      <c r="A127" s="168">
        <v>45687</v>
      </c>
      <c r="B127" s="169">
        <v>12</v>
      </c>
      <c r="C127" s="170">
        <v>75</v>
      </c>
      <c r="D127" s="171">
        <f t="shared" si="0"/>
        <v>87</v>
      </c>
      <c r="E127" s="179"/>
      <c r="F127" s="181"/>
      <c r="G127" s="182"/>
      <c r="H127" s="175"/>
      <c r="I127" s="95"/>
      <c r="J127" s="95"/>
      <c r="K127" s="180"/>
    </row>
    <row r="128" spans="1:11" ht="15" x14ac:dyDescent="0.25">
      <c r="A128" s="168">
        <v>45688</v>
      </c>
      <c r="B128" s="169">
        <v>12</v>
      </c>
      <c r="C128" s="170">
        <v>76</v>
      </c>
      <c r="D128" s="171">
        <f t="shared" si="0"/>
        <v>88</v>
      </c>
      <c r="E128" s="179"/>
      <c r="F128" s="181"/>
      <c r="G128" s="182"/>
      <c r="H128" s="175"/>
      <c r="I128" s="95"/>
      <c r="J128" s="95"/>
      <c r="K128" s="180"/>
    </row>
    <row r="129" spans="1:11" ht="15" x14ac:dyDescent="0.25">
      <c r="A129" s="168">
        <v>45691</v>
      </c>
      <c r="B129" s="169">
        <v>12</v>
      </c>
      <c r="C129" s="170">
        <v>77</v>
      </c>
      <c r="D129" s="171">
        <f t="shared" si="0"/>
        <v>89</v>
      </c>
      <c r="E129" s="179"/>
      <c r="F129" s="181"/>
      <c r="G129" s="182"/>
      <c r="H129" s="175"/>
      <c r="I129" s="95"/>
      <c r="J129" s="95"/>
      <c r="K129" s="180"/>
    </row>
    <row r="130" spans="1:11" ht="15" x14ac:dyDescent="0.25">
      <c r="A130" s="168">
        <v>45692</v>
      </c>
      <c r="B130" s="169">
        <v>12</v>
      </c>
      <c r="C130" s="170">
        <v>78</v>
      </c>
      <c r="D130" s="171">
        <f t="shared" si="0"/>
        <v>90</v>
      </c>
      <c r="E130" s="179"/>
      <c r="F130" s="181"/>
      <c r="G130" s="182"/>
      <c r="H130" s="175"/>
      <c r="I130" s="95"/>
      <c r="J130" s="95"/>
      <c r="K130" s="180"/>
    </row>
    <row r="131" spans="1:11" ht="15" x14ac:dyDescent="0.25">
      <c r="A131" s="168">
        <v>45693</v>
      </c>
      <c r="B131" s="169">
        <v>13</v>
      </c>
      <c r="C131" s="170">
        <v>80</v>
      </c>
      <c r="D131" s="171">
        <f t="shared" si="0"/>
        <v>93</v>
      </c>
      <c r="E131" s="179"/>
      <c r="F131" s="181"/>
      <c r="G131" s="182"/>
      <c r="H131" s="175"/>
      <c r="I131" s="95"/>
      <c r="J131" s="95"/>
      <c r="K131" s="180"/>
    </row>
    <row r="132" spans="1:11" ht="15" x14ac:dyDescent="0.25">
      <c r="A132" s="168">
        <v>45694</v>
      </c>
      <c r="B132" s="169">
        <v>13</v>
      </c>
      <c r="C132" s="170">
        <v>80</v>
      </c>
      <c r="D132" s="171">
        <f t="shared" si="0"/>
        <v>93</v>
      </c>
      <c r="E132" s="179"/>
      <c r="F132" s="181"/>
      <c r="G132" s="182"/>
      <c r="H132" s="175"/>
      <c r="I132" s="95"/>
      <c r="J132" s="95"/>
      <c r="K132" s="180"/>
    </row>
    <row r="133" spans="1:11" ht="15" x14ac:dyDescent="0.25">
      <c r="A133" s="168">
        <v>45695</v>
      </c>
      <c r="B133" s="169">
        <v>13</v>
      </c>
      <c r="C133" s="170">
        <v>80</v>
      </c>
      <c r="D133" s="171">
        <f t="shared" si="0"/>
        <v>93</v>
      </c>
      <c r="E133" s="179"/>
      <c r="F133" s="181"/>
      <c r="G133" s="182"/>
      <c r="H133" s="175"/>
      <c r="I133" s="95"/>
      <c r="J133" s="95"/>
      <c r="K133" s="180"/>
    </row>
    <row r="134" spans="1:11" ht="15" x14ac:dyDescent="0.25">
      <c r="A134" s="109">
        <v>45698</v>
      </c>
      <c r="B134" s="178"/>
      <c r="C134" s="112"/>
      <c r="D134" s="171">
        <f t="shared" si="0"/>
        <v>0</v>
      </c>
      <c r="E134" s="179"/>
      <c r="F134" s="181"/>
      <c r="G134" s="182"/>
      <c r="H134" s="175"/>
      <c r="I134" s="95"/>
      <c r="J134" s="95"/>
      <c r="K134" s="180"/>
    </row>
    <row r="135" spans="1:11" ht="15" x14ac:dyDescent="0.25">
      <c r="A135" s="109">
        <v>45699</v>
      </c>
      <c r="B135" s="178"/>
      <c r="C135" s="112"/>
      <c r="D135" s="171">
        <f t="shared" si="0"/>
        <v>0</v>
      </c>
      <c r="E135" s="179"/>
      <c r="F135" s="181"/>
      <c r="G135" s="182"/>
      <c r="H135" s="175"/>
      <c r="I135" s="95"/>
      <c r="J135" s="95"/>
      <c r="K135" s="180"/>
    </row>
    <row r="136" spans="1:11" ht="15" x14ac:dyDescent="0.25">
      <c r="A136" s="168">
        <v>45700</v>
      </c>
      <c r="B136" s="169">
        <v>12</v>
      </c>
      <c r="C136" s="170">
        <v>80</v>
      </c>
      <c r="D136" s="171">
        <f t="shared" si="0"/>
        <v>92</v>
      </c>
      <c r="E136" s="179"/>
      <c r="F136" s="181"/>
      <c r="G136" s="182"/>
      <c r="H136" s="175"/>
      <c r="I136" s="95"/>
      <c r="J136" s="95"/>
      <c r="K136" s="180"/>
    </row>
    <row r="137" spans="1:11" ht="15" x14ac:dyDescent="0.25">
      <c r="A137" s="168">
        <v>45701</v>
      </c>
      <c r="B137" s="169">
        <v>12</v>
      </c>
      <c r="C137" s="170">
        <v>80</v>
      </c>
      <c r="D137" s="171">
        <f t="shared" si="0"/>
        <v>92</v>
      </c>
      <c r="E137" s="179"/>
      <c r="F137" s="181"/>
      <c r="G137" s="182"/>
      <c r="H137" s="175"/>
      <c r="I137" s="95"/>
      <c r="J137" s="95"/>
      <c r="K137" s="180"/>
    </row>
    <row r="138" spans="1:11" ht="15" x14ac:dyDescent="0.25">
      <c r="A138" s="168">
        <v>45702</v>
      </c>
      <c r="B138" s="169">
        <v>12</v>
      </c>
      <c r="C138" s="170">
        <v>80</v>
      </c>
      <c r="D138" s="171">
        <f t="shared" si="0"/>
        <v>92</v>
      </c>
      <c r="E138" s="179"/>
      <c r="F138" s="181"/>
      <c r="G138" s="182"/>
      <c r="H138" s="175"/>
      <c r="I138" s="95"/>
      <c r="J138" s="95"/>
      <c r="K138" s="180"/>
    </row>
    <row r="139" spans="1:11" ht="15" x14ac:dyDescent="0.25">
      <c r="A139" s="117">
        <v>45705</v>
      </c>
      <c r="B139" s="183"/>
      <c r="C139" s="120"/>
      <c r="D139" s="171">
        <f t="shared" si="0"/>
        <v>0</v>
      </c>
      <c r="E139" s="179"/>
      <c r="F139" s="181"/>
      <c r="G139" s="182"/>
      <c r="H139" s="175"/>
      <c r="I139" s="95"/>
      <c r="J139" s="95"/>
      <c r="K139" s="180"/>
    </row>
    <row r="140" spans="1:11" ht="15" x14ac:dyDescent="0.25">
      <c r="A140" s="168">
        <v>45706</v>
      </c>
      <c r="B140" s="169">
        <v>12</v>
      </c>
      <c r="C140" s="170">
        <v>74</v>
      </c>
      <c r="D140" s="171">
        <f t="shared" si="0"/>
        <v>86</v>
      </c>
      <c r="E140" s="179"/>
      <c r="F140" s="181"/>
      <c r="G140" s="182"/>
      <c r="H140" s="175"/>
      <c r="I140" s="95"/>
      <c r="J140" s="95"/>
      <c r="K140" s="180"/>
    </row>
    <row r="141" spans="1:11" ht="15" x14ac:dyDescent="0.25">
      <c r="A141" s="168">
        <v>45707</v>
      </c>
      <c r="B141" s="169">
        <v>12</v>
      </c>
      <c r="C141" s="170">
        <v>75</v>
      </c>
      <c r="D141" s="171">
        <f t="shared" si="0"/>
        <v>87</v>
      </c>
      <c r="E141" s="179"/>
      <c r="F141" s="181"/>
      <c r="G141" s="182"/>
      <c r="H141" s="175"/>
      <c r="I141" s="95"/>
      <c r="J141" s="95"/>
      <c r="K141" s="180"/>
    </row>
    <row r="142" spans="1:11" ht="15" x14ac:dyDescent="0.25">
      <c r="A142" s="168">
        <v>45708</v>
      </c>
      <c r="B142" s="169">
        <v>12</v>
      </c>
      <c r="C142" s="170">
        <v>74</v>
      </c>
      <c r="D142" s="171">
        <f t="shared" si="0"/>
        <v>86</v>
      </c>
      <c r="E142" s="179"/>
      <c r="F142" s="181"/>
      <c r="G142" s="182"/>
      <c r="H142" s="175"/>
      <c r="I142" s="95"/>
      <c r="J142" s="95"/>
      <c r="K142" s="180"/>
    </row>
    <row r="143" spans="1:11" ht="15" x14ac:dyDescent="0.25">
      <c r="A143" s="168">
        <v>45709</v>
      </c>
      <c r="B143" s="169">
        <v>12</v>
      </c>
      <c r="C143" s="170">
        <v>73</v>
      </c>
      <c r="D143" s="171">
        <f t="shared" si="0"/>
        <v>85</v>
      </c>
      <c r="E143" s="179"/>
      <c r="F143" s="181"/>
      <c r="G143" s="182"/>
      <c r="H143" s="175"/>
      <c r="I143" s="95"/>
      <c r="J143" s="95"/>
      <c r="K143" s="180"/>
    </row>
    <row r="144" spans="1:11" ht="15" x14ac:dyDescent="0.25">
      <c r="A144" s="168">
        <v>45712</v>
      </c>
      <c r="B144" s="169">
        <v>12</v>
      </c>
      <c r="C144" s="170">
        <v>72</v>
      </c>
      <c r="D144" s="171">
        <f t="shared" si="0"/>
        <v>84</v>
      </c>
      <c r="E144" s="179"/>
      <c r="F144" s="181"/>
      <c r="G144" s="182"/>
      <c r="H144" s="175"/>
      <c r="I144" s="95"/>
      <c r="J144" s="95"/>
      <c r="K144" s="180"/>
    </row>
    <row r="145" spans="1:11" ht="15" x14ac:dyDescent="0.25">
      <c r="A145" s="168">
        <v>45713</v>
      </c>
      <c r="B145" s="169">
        <v>12</v>
      </c>
      <c r="C145" s="170">
        <v>72</v>
      </c>
      <c r="D145" s="171">
        <f t="shared" si="0"/>
        <v>84</v>
      </c>
      <c r="E145" s="179"/>
      <c r="F145" s="181"/>
      <c r="G145" s="182"/>
      <c r="H145" s="175"/>
      <c r="I145" s="95"/>
      <c r="J145" s="95"/>
      <c r="K145" s="180"/>
    </row>
    <row r="146" spans="1:11" ht="15" x14ac:dyDescent="0.25">
      <c r="A146" s="168">
        <v>45714</v>
      </c>
      <c r="B146" s="169">
        <v>12</v>
      </c>
      <c r="C146" s="170">
        <v>70</v>
      </c>
      <c r="D146" s="171">
        <f t="shared" si="0"/>
        <v>82</v>
      </c>
      <c r="E146" s="179"/>
      <c r="F146" s="181"/>
      <c r="G146" s="182"/>
      <c r="H146" s="175"/>
      <c r="I146" s="95"/>
      <c r="J146" s="95"/>
      <c r="K146" s="180"/>
    </row>
    <row r="147" spans="1:11" ht="15" x14ac:dyDescent="0.25">
      <c r="A147" s="168">
        <v>45715</v>
      </c>
      <c r="B147" s="169">
        <v>15</v>
      </c>
      <c r="C147" s="170">
        <v>68</v>
      </c>
      <c r="D147" s="171">
        <f t="shared" si="0"/>
        <v>83</v>
      </c>
      <c r="E147" s="179"/>
      <c r="F147" s="181"/>
      <c r="G147" s="182"/>
      <c r="H147" s="175"/>
      <c r="I147" s="95"/>
      <c r="J147" s="95"/>
      <c r="K147" s="180"/>
    </row>
    <row r="148" spans="1:11" ht="15" x14ac:dyDescent="0.25">
      <c r="A148" s="168">
        <v>45716</v>
      </c>
      <c r="B148" s="169">
        <v>15</v>
      </c>
      <c r="C148" s="170">
        <v>68</v>
      </c>
      <c r="D148" s="171">
        <f t="shared" si="0"/>
        <v>83</v>
      </c>
      <c r="E148" s="179"/>
      <c r="F148" s="181"/>
      <c r="G148" s="182"/>
      <c r="H148" s="175"/>
      <c r="I148" s="95"/>
      <c r="J148" s="95"/>
      <c r="K148" s="180"/>
    </row>
    <row r="149" spans="1:11" ht="15" x14ac:dyDescent="0.25">
      <c r="A149" s="168">
        <v>45719</v>
      </c>
      <c r="B149" s="169">
        <v>15</v>
      </c>
      <c r="C149" s="170">
        <v>68</v>
      </c>
      <c r="D149" s="171">
        <f t="shared" si="0"/>
        <v>83</v>
      </c>
      <c r="E149" s="179"/>
      <c r="F149" s="181"/>
      <c r="G149" s="182"/>
      <c r="H149" s="175"/>
      <c r="I149" s="95"/>
      <c r="J149" s="95"/>
      <c r="K149" s="180"/>
    </row>
    <row r="150" spans="1:11" ht="15" x14ac:dyDescent="0.25">
      <c r="A150" s="168">
        <v>45720</v>
      </c>
      <c r="B150" s="169">
        <v>14</v>
      </c>
      <c r="C150" s="170">
        <v>66</v>
      </c>
      <c r="D150" s="171">
        <f t="shared" si="0"/>
        <v>80</v>
      </c>
      <c r="E150" s="179"/>
      <c r="F150" s="181"/>
      <c r="G150" s="182"/>
      <c r="H150" s="175"/>
      <c r="I150" s="95"/>
      <c r="J150" s="95"/>
      <c r="K150" s="180"/>
    </row>
    <row r="151" spans="1:11" ht="15" x14ac:dyDescent="0.25">
      <c r="A151" s="168">
        <v>45721</v>
      </c>
      <c r="B151" s="169">
        <v>14</v>
      </c>
      <c r="C151" s="170">
        <v>65</v>
      </c>
      <c r="D151" s="171">
        <f t="shared" si="0"/>
        <v>79</v>
      </c>
      <c r="E151" s="179"/>
      <c r="F151" s="181"/>
      <c r="G151" s="182"/>
      <c r="H151" s="175"/>
      <c r="I151" s="95"/>
      <c r="J151" s="95"/>
      <c r="K151" s="180"/>
    </row>
    <row r="152" spans="1:11" ht="15" x14ac:dyDescent="0.25">
      <c r="A152" s="168">
        <v>45722</v>
      </c>
      <c r="B152" s="169">
        <v>14</v>
      </c>
      <c r="C152" s="170">
        <v>67</v>
      </c>
      <c r="D152" s="171">
        <f t="shared" si="0"/>
        <v>81</v>
      </c>
      <c r="E152" s="179"/>
      <c r="F152" s="181"/>
      <c r="G152" s="182"/>
      <c r="H152" s="175"/>
      <c r="I152" s="95"/>
      <c r="J152" s="95"/>
      <c r="K152" s="180"/>
    </row>
    <row r="153" spans="1:11" ht="15" x14ac:dyDescent="0.25">
      <c r="A153" s="168">
        <v>45723</v>
      </c>
      <c r="B153" s="169"/>
      <c r="C153" s="170"/>
      <c r="D153" s="171">
        <f t="shared" si="0"/>
        <v>0</v>
      </c>
      <c r="E153" s="179"/>
      <c r="F153" s="181"/>
      <c r="G153" s="182"/>
      <c r="H153" s="175"/>
      <c r="I153" s="95"/>
      <c r="J153" s="95"/>
      <c r="K153" s="180"/>
    </row>
    <row r="154" spans="1:11" ht="15" x14ac:dyDescent="0.25">
      <c r="A154" s="184">
        <v>45726</v>
      </c>
      <c r="B154" s="169"/>
      <c r="C154" s="170"/>
      <c r="D154" s="171">
        <f t="shared" si="0"/>
        <v>0</v>
      </c>
      <c r="E154" s="179"/>
      <c r="F154" s="181"/>
      <c r="G154" s="182"/>
      <c r="H154" s="175"/>
      <c r="I154" s="95"/>
      <c r="J154" s="95"/>
      <c r="K154" s="180"/>
    </row>
    <row r="155" spans="1:11" ht="15" x14ac:dyDescent="0.25">
      <c r="A155" s="184">
        <v>45727</v>
      </c>
      <c r="B155" s="169"/>
      <c r="C155" s="170"/>
      <c r="D155" s="171">
        <f t="shared" si="0"/>
        <v>0</v>
      </c>
      <c r="E155" s="179"/>
      <c r="F155" s="181"/>
      <c r="G155" s="182"/>
      <c r="H155" s="175"/>
      <c r="I155" s="95"/>
      <c r="J155" s="95"/>
      <c r="K155" s="180"/>
    </row>
    <row r="156" spans="1:11" ht="15" x14ac:dyDescent="0.25">
      <c r="A156" s="184">
        <v>45728</v>
      </c>
      <c r="B156" s="169"/>
      <c r="C156" s="170"/>
      <c r="D156" s="171">
        <f t="shared" si="0"/>
        <v>0</v>
      </c>
      <c r="E156" s="179"/>
      <c r="F156" s="181"/>
      <c r="G156" s="182"/>
      <c r="H156" s="175"/>
      <c r="I156" s="95"/>
      <c r="J156" s="95"/>
      <c r="K156" s="180"/>
    </row>
    <row r="157" spans="1:11" ht="15" x14ac:dyDescent="0.25">
      <c r="A157" s="184">
        <v>45729</v>
      </c>
      <c r="B157" s="169"/>
      <c r="C157" s="170"/>
      <c r="D157" s="171">
        <f t="shared" si="0"/>
        <v>0</v>
      </c>
      <c r="E157" s="179"/>
      <c r="F157" s="181"/>
      <c r="G157" s="182"/>
      <c r="H157" s="175"/>
      <c r="I157" s="95"/>
      <c r="J157" s="95"/>
      <c r="K157" s="180"/>
    </row>
    <row r="158" spans="1:11" ht="15" x14ac:dyDescent="0.25">
      <c r="A158" s="184">
        <v>45730</v>
      </c>
      <c r="B158" s="169"/>
      <c r="C158" s="170"/>
      <c r="D158" s="171">
        <f t="shared" si="0"/>
        <v>0</v>
      </c>
      <c r="E158" s="179"/>
      <c r="F158" s="181"/>
      <c r="G158" s="182"/>
      <c r="H158" s="175"/>
      <c r="I158" s="95"/>
      <c r="J158" s="95"/>
      <c r="K158" s="180"/>
    </row>
    <row r="159" spans="1:11" ht="15" x14ac:dyDescent="0.25">
      <c r="A159" s="103">
        <v>45733</v>
      </c>
      <c r="B159" s="177"/>
      <c r="C159" s="106"/>
      <c r="D159" s="171">
        <f t="shared" si="0"/>
        <v>0</v>
      </c>
      <c r="E159" s="179"/>
      <c r="F159" s="181"/>
      <c r="G159" s="182"/>
      <c r="H159" s="175"/>
      <c r="I159" s="95"/>
      <c r="J159" s="95"/>
      <c r="K159" s="180"/>
    </row>
    <row r="160" spans="1:11" ht="15" x14ac:dyDescent="0.25">
      <c r="A160" s="103">
        <v>45734</v>
      </c>
      <c r="B160" s="177"/>
      <c r="C160" s="106"/>
      <c r="D160" s="171">
        <f t="shared" si="0"/>
        <v>0</v>
      </c>
      <c r="E160" s="179"/>
      <c r="F160" s="181"/>
      <c r="G160" s="182"/>
      <c r="H160" s="175"/>
      <c r="I160" s="95"/>
      <c r="J160" s="95"/>
      <c r="K160" s="180"/>
    </row>
    <row r="161" spans="1:11" ht="15" x14ac:dyDescent="0.25">
      <c r="A161" s="103">
        <v>45735</v>
      </c>
      <c r="B161" s="177"/>
      <c r="C161" s="106"/>
      <c r="D161" s="171">
        <f t="shared" si="0"/>
        <v>0</v>
      </c>
      <c r="E161" s="179"/>
      <c r="F161" s="181"/>
      <c r="G161" s="182"/>
      <c r="H161" s="175"/>
      <c r="I161" s="95"/>
      <c r="J161" s="95"/>
      <c r="K161" s="180"/>
    </row>
    <row r="162" spans="1:11" ht="15" x14ac:dyDescent="0.25">
      <c r="A162" s="103">
        <v>45736</v>
      </c>
      <c r="B162" s="177"/>
      <c r="C162" s="106"/>
      <c r="D162" s="171">
        <f t="shared" si="0"/>
        <v>0</v>
      </c>
      <c r="E162" s="179"/>
      <c r="F162" s="181"/>
      <c r="G162" s="182"/>
      <c r="H162" s="175"/>
      <c r="I162" s="95"/>
      <c r="J162" s="95"/>
      <c r="K162" s="180"/>
    </row>
    <row r="163" spans="1:11" ht="15" x14ac:dyDescent="0.25">
      <c r="A163" s="103">
        <v>45737</v>
      </c>
      <c r="B163" s="177"/>
      <c r="C163" s="106"/>
      <c r="D163" s="171">
        <f t="shared" si="0"/>
        <v>0</v>
      </c>
      <c r="E163" s="179"/>
      <c r="F163" s="181"/>
      <c r="G163" s="182"/>
      <c r="H163" s="175"/>
      <c r="I163" s="95"/>
      <c r="J163" s="95"/>
      <c r="K163" s="180"/>
    </row>
    <row r="164" spans="1:11" ht="15" x14ac:dyDescent="0.25">
      <c r="A164" s="168">
        <v>45740</v>
      </c>
      <c r="B164" s="169"/>
      <c r="C164" s="170"/>
      <c r="D164" s="171">
        <f t="shared" si="0"/>
        <v>0</v>
      </c>
      <c r="E164" s="179"/>
      <c r="F164" s="181"/>
      <c r="G164" s="182"/>
      <c r="H164" s="175"/>
      <c r="I164" s="95"/>
      <c r="J164" s="95"/>
      <c r="K164" s="180"/>
    </row>
    <row r="165" spans="1:11" ht="15" x14ac:dyDescent="0.25">
      <c r="A165" s="168">
        <v>45741</v>
      </c>
      <c r="B165" s="169"/>
      <c r="C165" s="170"/>
      <c r="D165" s="171">
        <f t="shared" si="0"/>
        <v>0</v>
      </c>
      <c r="E165" s="179"/>
      <c r="F165" s="181"/>
      <c r="G165" s="182"/>
      <c r="H165" s="175"/>
      <c r="I165" s="95"/>
      <c r="J165" s="95"/>
      <c r="K165" s="180"/>
    </row>
    <row r="166" spans="1:11" ht="15" x14ac:dyDescent="0.25">
      <c r="A166" s="168">
        <v>45742</v>
      </c>
      <c r="B166" s="169"/>
      <c r="C166" s="170"/>
      <c r="D166" s="171">
        <f t="shared" si="0"/>
        <v>0</v>
      </c>
      <c r="E166" s="179"/>
      <c r="F166" s="181"/>
      <c r="G166" s="182"/>
      <c r="H166" s="175"/>
      <c r="I166" s="95"/>
      <c r="J166" s="95"/>
      <c r="K166" s="180"/>
    </row>
    <row r="167" spans="1:11" ht="15" x14ac:dyDescent="0.25">
      <c r="A167" s="168">
        <v>45743</v>
      </c>
      <c r="B167" s="169"/>
      <c r="C167" s="170"/>
      <c r="D167" s="171">
        <f t="shared" si="0"/>
        <v>0</v>
      </c>
      <c r="E167" s="179"/>
      <c r="F167" s="181"/>
      <c r="G167" s="182"/>
      <c r="H167" s="175"/>
      <c r="I167" s="95"/>
      <c r="J167" s="95"/>
      <c r="K167" s="180"/>
    </row>
    <row r="168" spans="1:11" ht="15" x14ac:dyDescent="0.25">
      <c r="A168" s="168">
        <v>45744</v>
      </c>
      <c r="B168" s="169"/>
      <c r="C168" s="170"/>
      <c r="D168" s="171">
        <f t="shared" si="0"/>
        <v>0</v>
      </c>
      <c r="E168" s="179"/>
      <c r="F168" s="181"/>
      <c r="G168" s="182"/>
      <c r="H168" s="175"/>
      <c r="I168" s="95"/>
      <c r="J168" s="95"/>
      <c r="K168" s="180"/>
    </row>
    <row r="169" spans="1:11" ht="15" x14ac:dyDescent="0.25">
      <c r="A169" s="168">
        <v>45747</v>
      </c>
      <c r="B169" s="169"/>
      <c r="C169" s="170"/>
      <c r="D169" s="171">
        <f t="shared" si="0"/>
        <v>0</v>
      </c>
      <c r="E169" s="179"/>
      <c r="F169" s="181"/>
      <c r="G169" s="182"/>
      <c r="H169" s="175"/>
      <c r="I169" s="95"/>
      <c r="J169" s="95"/>
      <c r="K169" s="180"/>
    </row>
    <row r="170" spans="1:11" ht="15" x14ac:dyDescent="0.25">
      <c r="A170" s="168">
        <v>45748</v>
      </c>
      <c r="B170" s="169"/>
      <c r="C170" s="170"/>
      <c r="D170" s="171">
        <f t="shared" si="0"/>
        <v>0</v>
      </c>
      <c r="E170" s="179"/>
      <c r="F170" s="181"/>
      <c r="G170" s="182"/>
      <c r="H170" s="175"/>
      <c r="I170" s="95"/>
      <c r="J170" s="95"/>
      <c r="K170" s="180"/>
    </row>
    <row r="171" spans="1:11" ht="15" x14ac:dyDescent="0.25">
      <c r="A171" s="168">
        <v>45749</v>
      </c>
      <c r="B171" s="169"/>
      <c r="C171" s="170"/>
      <c r="D171" s="171">
        <f t="shared" si="0"/>
        <v>0</v>
      </c>
      <c r="E171" s="179"/>
      <c r="F171" s="181"/>
      <c r="G171" s="182"/>
      <c r="H171" s="175"/>
      <c r="I171" s="95"/>
      <c r="J171" s="95"/>
      <c r="K171" s="180"/>
    </row>
    <row r="172" spans="1:11" ht="15" x14ac:dyDescent="0.25">
      <c r="A172" s="168">
        <v>45750</v>
      </c>
      <c r="B172" s="169"/>
      <c r="C172" s="170"/>
      <c r="D172" s="171">
        <f t="shared" si="0"/>
        <v>0</v>
      </c>
      <c r="E172" s="179"/>
      <c r="F172" s="181"/>
      <c r="G172" s="182"/>
      <c r="H172" s="175"/>
      <c r="I172" s="95"/>
      <c r="J172" s="95"/>
      <c r="K172" s="180"/>
    </row>
    <row r="173" spans="1:11" ht="15" x14ac:dyDescent="0.25">
      <c r="A173" s="168">
        <v>45751</v>
      </c>
      <c r="B173" s="169"/>
      <c r="C173" s="170"/>
      <c r="D173" s="171">
        <f t="shared" si="0"/>
        <v>0</v>
      </c>
      <c r="E173" s="179"/>
      <c r="F173" s="181"/>
      <c r="G173" s="182"/>
      <c r="H173" s="175"/>
      <c r="I173" s="95"/>
      <c r="J173" s="95"/>
      <c r="K173" s="180"/>
    </row>
    <row r="174" spans="1:11" ht="15" x14ac:dyDescent="0.25">
      <c r="A174" s="168">
        <v>45754</v>
      </c>
      <c r="B174" s="169"/>
      <c r="C174" s="170"/>
      <c r="D174" s="171">
        <f t="shared" si="0"/>
        <v>0</v>
      </c>
      <c r="E174" s="179"/>
      <c r="F174" s="181"/>
      <c r="G174" s="182"/>
      <c r="H174" s="175"/>
      <c r="I174" s="95"/>
      <c r="J174" s="95"/>
      <c r="K174" s="180"/>
    </row>
    <row r="175" spans="1:11" ht="15" x14ac:dyDescent="0.25">
      <c r="A175" s="168">
        <v>45755</v>
      </c>
      <c r="B175" s="169"/>
      <c r="C175" s="170"/>
      <c r="D175" s="171">
        <f t="shared" si="0"/>
        <v>0</v>
      </c>
      <c r="E175" s="179"/>
      <c r="F175" s="181"/>
      <c r="G175" s="182"/>
      <c r="H175" s="175"/>
      <c r="I175" s="95"/>
      <c r="J175" s="95"/>
      <c r="K175" s="180"/>
    </row>
    <row r="176" spans="1:11" ht="15" x14ac:dyDescent="0.25">
      <c r="A176" s="168">
        <v>45756</v>
      </c>
      <c r="B176" s="169"/>
      <c r="C176" s="170"/>
      <c r="D176" s="171">
        <f t="shared" si="0"/>
        <v>0</v>
      </c>
      <c r="E176" s="179"/>
      <c r="F176" s="181"/>
      <c r="G176" s="182"/>
      <c r="H176" s="175"/>
      <c r="I176" s="95"/>
      <c r="J176" s="95"/>
      <c r="K176" s="180"/>
    </row>
    <row r="177" spans="1:11" ht="15" x14ac:dyDescent="0.25">
      <c r="A177" s="168">
        <v>45757</v>
      </c>
      <c r="B177" s="169"/>
      <c r="C177" s="170"/>
      <c r="D177" s="171">
        <f t="shared" si="0"/>
        <v>0</v>
      </c>
      <c r="E177" s="179"/>
      <c r="F177" s="181"/>
      <c r="G177" s="182"/>
      <c r="H177" s="175"/>
      <c r="I177" s="95"/>
      <c r="J177" s="95"/>
      <c r="K177" s="180"/>
    </row>
    <row r="178" spans="1:11" ht="15" x14ac:dyDescent="0.25">
      <c r="A178" s="168">
        <v>45758</v>
      </c>
      <c r="B178" s="169"/>
      <c r="C178" s="170"/>
      <c r="D178" s="171">
        <f t="shared" si="0"/>
        <v>0</v>
      </c>
      <c r="E178" s="179"/>
      <c r="F178" s="181"/>
      <c r="G178" s="182"/>
      <c r="H178" s="175"/>
      <c r="I178" s="95"/>
      <c r="J178" s="95"/>
      <c r="K178" s="180"/>
    </row>
    <row r="179" spans="1:11" ht="15" x14ac:dyDescent="0.25">
      <c r="A179" s="168">
        <v>45761</v>
      </c>
      <c r="B179" s="169"/>
      <c r="C179" s="170"/>
      <c r="D179" s="171">
        <f t="shared" si="0"/>
        <v>0</v>
      </c>
      <c r="E179" s="179"/>
      <c r="F179" s="181"/>
      <c r="G179" s="182"/>
      <c r="H179" s="175"/>
      <c r="I179" s="95"/>
      <c r="J179" s="95"/>
      <c r="K179" s="180"/>
    </row>
    <row r="180" spans="1:11" ht="15" x14ac:dyDescent="0.25">
      <c r="A180" s="168">
        <v>45762</v>
      </c>
      <c r="B180" s="169"/>
      <c r="C180" s="170"/>
      <c r="D180" s="171">
        <f t="shared" si="0"/>
        <v>0</v>
      </c>
      <c r="E180" s="179"/>
      <c r="F180" s="181"/>
      <c r="G180" s="182"/>
      <c r="H180" s="175"/>
      <c r="I180" s="95"/>
      <c r="J180" s="95"/>
      <c r="K180" s="180"/>
    </row>
    <row r="181" spans="1:11" ht="12.75" x14ac:dyDescent="0.2">
      <c r="A181" s="168">
        <v>45763</v>
      </c>
      <c r="B181" s="169"/>
      <c r="C181" s="170"/>
      <c r="D181" s="171">
        <f t="shared" si="0"/>
        <v>0</v>
      </c>
      <c r="E181" s="185"/>
      <c r="F181" s="186"/>
      <c r="H181" s="95"/>
      <c r="I181" s="95"/>
      <c r="J181" s="95"/>
      <c r="K181" s="180"/>
    </row>
    <row r="182" spans="1:11" ht="12.75" x14ac:dyDescent="0.2">
      <c r="A182" s="168">
        <v>45764</v>
      </c>
      <c r="B182" s="169"/>
      <c r="C182" s="170"/>
      <c r="D182" s="171">
        <f t="shared" si="0"/>
        <v>0</v>
      </c>
      <c r="E182" s="185"/>
      <c r="F182" s="186"/>
      <c r="H182" s="95"/>
      <c r="I182" s="95"/>
      <c r="J182" s="95"/>
      <c r="K182" s="180"/>
    </row>
    <row r="183" spans="1:11" ht="12.75" x14ac:dyDescent="0.2">
      <c r="A183" s="103">
        <v>45765</v>
      </c>
      <c r="B183" s="177"/>
      <c r="C183" s="106"/>
      <c r="D183" s="171">
        <f t="shared" si="0"/>
        <v>0</v>
      </c>
      <c r="E183" s="185"/>
      <c r="F183" s="186"/>
      <c r="H183" s="95"/>
      <c r="I183" s="95"/>
      <c r="J183" s="95"/>
      <c r="K183" s="180"/>
    </row>
    <row r="184" spans="1:11" ht="12.75" x14ac:dyDescent="0.2">
      <c r="A184" s="103">
        <v>45768</v>
      </c>
      <c r="B184" s="177"/>
      <c r="C184" s="106"/>
      <c r="D184" s="171">
        <f t="shared" si="0"/>
        <v>0</v>
      </c>
      <c r="E184" s="185"/>
      <c r="F184" s="186"/>
      <c r="H184" s="95"/>
      <c r="I184" s="95"/>
      <c r="J184" s="95"/>
      <c r="K184" s="180"/>
    </row>
    <row r="185" spans="1:11" ht="12.75" x14ac:dyDescent="0.2">
      <c r="A185" s="168">
        <v>45769</v>
      </c>
      <c r="B185" s="169"/>
      <c r="C185" s="170"/>
      <c r="D185" s="171">
        <f t="shared" si="0"/>
        <v>0</v>
      </c>
      <c r="E185" s="185"/>
      <c r="F185" s="186"/>
      <c r="H185" s="95"/>
      <c r="I185" s="95"/>
      <c r="J185" s="95"/>
      <c r="K185" s="180"/>
    </row>
    <row r="186" spans="1:11" ht="12.75" x14ac:dyDescent="0.2">
      <c r="A186" s="168">
        <v>45770</v>
      </c>
      <c r="B186" s="169"/>
      <c r="C186" s="170"/>
      <c r="D186" s="171">
        <f t="shared" si="0"/>
        <v>0</v>
      </c>
      <c r="E186" s="185"/>
      <c r="F186" s="186"/>
      <c r="H186" s="95"/>
      <c r="I186" s="95"/>
      <c r="J186" s="95"/>
      <c r="K186" s="180"/>
    </row>
    <row r="187" spans="1:11" ht="12.75" x14ac:dyDescent="0.2">
      <c r="A187" s="168">
        <v>45771</v>
      </c>
      <c r="B187" s="169"/>
      <c r="C187" s="170"/>
      <c r="D187" s="171">
        <f t="shared" si="0"/>
        <v>0</v>
      </c>
      <c r="E187" s="185"/>
      <c r="F187" s="186"/>
      <c r="H187" s="95"/>
      <c r="I187" s="95"/>
      <c r="J187" s="95"/>
      <c r="K187" s="180"/>
    </row>
    <row r="188" spans="1:11" ht="12.75" x14ac:dyDescent="0.2">
      <c r="A188" s="168">
        <v>45772</v>
      </c>
      <c r="B188" s="169"/>
      <c r="C188" s="170"/>
      <c r="D188" s="171">
        <f t="shared" si="0"/>
        <v>0</v>
      </c>
      <c r="E188" s="185"/>
      <c r="F188" s="186"/>
      <c r="H188" s="95"/>
      <c r="I188" s="95"/>
      <c r="J188" s="95"/>
      <c r="K188" s="180"/>
    </row>
    <row r="189" spans="1:11" ht="12.75" x14ac:dyDescent="0.2">
      <c r="A189" s="168">
        <v>45775</v>
      </c>
      <c r="B189" s="169"/>
      <c r="C189" s="170"/>
      <c r="D189" s="171">
        <f t="shared" si="0"/>
        <v>0</v>
      </c>
      <c r="E189" s="185"/>
      <c r="F189" s="186"/>
      <c r="H189" s="95"/>
      <c r="I189" s="95"/>
      <c r="J189" s="95"/>
      <c r="K189" s="180"/>
    </row>
    <row r="190" spans="1:11" ht="12.75" x14ac:dyDescent="0.2">
      <c r="A190" s="168">
        <v>45776</v>
      </c>
      <c r="B190" s="169"/>
      <c r="C190" s="170"/>
      <c r="D190" s="171">
        <f t="shared" si="0"/>
        <v>0</v>
      </c>
      <c r="E190" s="185"/>
      <c r="F190" s="186"/>
      <c r="H190" s="95"/>
      <c r="I190" s="95"/>
      <c r="J190" s="95"/>
      <c r="K190" s="180"/>
    </row>
    <row r="191" spans="1:11" ht="12.75" x14ac:dyDescent="0.2">
      <c r="A191" s="168">
        <v>45777</v>
      </c>
      <c r="B191" s="169"/>
      <c r="C191" s="170"/>
      <c r="D191" s="171">
        <f t="shared" si="0"/>
        <v>0</v>
      </c>
      <c r="E191" s="185"/>
      <c r="F191" s="186"/>
      <c r="H191" s="95"/>
      <c r="I191" s="95"/>
      <c r="J191" s="95"/>
      <c r="K191" s="180"/>
    </row>
    <row r="192" spans="1:11" ht="12.75" x14ac:dyDescent="0.2">
      <c r="A192" s="168">
        <v>45778</v>
      </c>
      <c r="B192" s="169"/>
      <c r="C192" s="170"/>
      <c r="D192" s="171">
        <f t="shared" si="0"/>
        <v>0</v>
      </c>
      <c r="E192" s="185"/>
      <c r="F192" s="186"/>
      <c r="H192" s="95"/>
      <c r="I192" s="95"/>
      <c r="J192" s="95"/>
      <c r="K192" s="180"/>
    </row>
    <row r="193" spans="1:11" ht="12.75" x14ac:dyDescent="0.2">
      <c r="A193" s="168">
        <v>45779</v>
      </c>
      <c r="B193" s="169"/>
      <c r="C193" s="170"/>
      <c r="D193" s="171">
        <f t="shared" si="0"/>
        <v>0</v>
      </c>
      <c r="E193" s="185"/>
      <c r="F193" s="186"/>
      <c r="H193" s="95"/>
      <c r="I193" s="95"/>
      <c r="J193" s="95"/>
      <c r="K193" s="180"/>
    </row>
    <row r="194" spans="1:11" ht="12.75" x14ac:dyDescent="0.2">
      <c r="A194" s="168">
        <v>45782</v>
      </c>
      <c r="B194" s="169"/>
      <c r="C194" s="170"/>
      <c r="D194" s="171">
        <f t="shared" si="0"/>
        <v>0</v>
      </c>
      <c r="E194" s="185"/>
      <c r="F194" s="186"/>
      <c r="H194" s="95"/>
      <c r="I194" s="95"/>
      <c r="J194" s="95"/>
      <c r="K194" s="180"/>
    </row>
    <row r="195" spans="1:11" ht="12.75" x14ac:dyDescent="0.2">
      <c r="A195" s="168">
        <v>45783</v>
      </c>
      <c r="B195" s="169"/>
      <c r="C195" s="170"/>
      <c r="D195" s="171">
        <f t="shared" si="0"/>
        <v>0</v>
      </c>
      <c r="E195" s="185"/>
      <c r="F195" s="186"/>
      <c r="H195" s="95"/>
      <c r="I195" s="95"/>
      <c r="J195" s="95"/>
      <c r="K195" s="180"/>
    </row>
    <row r="196" spans="1:11" ht="12.75" x14ac:dyDescent="0.2">
      <c r="A196" s="168">
        <v>45784</v>
      </c>
      <c r="B196" s="169"/>
      <c r="C196" s="170"/>
      <c r="D196" s="171">
        <f t="shared" si="0"/>
        <v>0</v>
      </c>
      <c r="E196" s="185"/>
      <c r="F196" s="186"/>
      <c r="H196" s="95"/>
      <c r="I196" s="95"/>
      <c r="J196" s="95"/>
      <c r="K196" s="180"/>
    </row>
    <row r="197" spans="1:11" ht="12.75" x14ac:dyDescent="0.2">
      <c r="A197" s="168">
        <v>45785</v>
      </c>
      <c r="B197" s="169"/>
      <c r="C197" s="170"/>
      <c r="D197" s="171">
        <f t="shared" si="0"/>
        <v>0</v>
      </c>
      <c r="E197" s="185"/>
      <c r="F197" s="186"/>
      <c r="H197" s="95"/>
      <c r="I197" s="95"/>
      <c r="J197" s="95"/>
      <c r="K197" s="180"/>
    </row>
    <row r="198" spans="1:11" ht="12.75" x14ac:dyDescent="0.2">
      <c r="A198" s="168">
        <v>45786</v>
      </c>
      <c r="B198" s="169"/>
      <c r="C198" s="170"/>
      <c r="D198" s="171">
        <f t="shared" si="0"/>
        <v>0</v>
      </c>
      <c r="E198" s="185"/>
      <c r="F198" s="186"/>
      <c r="H198" s="95"/>
      <c r="I198" s="95"/>
      <c r="J198" s="95"/>
      <c r="K198" s="180"/>
    </row>
    <row r="199" spans="1:11" ht="12.75" x14ac:dyDescent="0.2">
      <c r="A199" s="168">
        <v>45789</v>
      </c>
      <c r="B199" s="169"/>
      <c r="C199" s="170"/>
      <c r="D199" s="171">
        <f t="shared" si="0"/>
        <v>0</v>
      </c>
      <c r="E199" s="185"/>
      <c r="F199" s="186"/>
      <c r="H199" s="95"/>
      <c r="I199" s="95"/>
      <c r="J199" s="95"/>
      <c r="K199" s="180"/>
    </row>
    <row r="200" spans="1:11" ht="12.75" x14ac:dyDescent="0.2">
      <c r="A200" s="168">
        <v>45790</v>
      </c>
      <c r="B200" s="169"/>
      <c r="C200" s="170"/>
      <c r="D200" s="171">
        <f t="shared" si="0"/>
        <v>0</v>
      </c>
      <c r="E200" s="185"/>
      <c r="F200" s="186"/>
      <c r="H200" s="95"/>
      <c r="I200" s="95"/>
      <c r="J200" s="95"/>
      <c r="K200" s="180"/>
    </row>
    <row r="201" spans="1:11" ht="12.75" x14ac:dyDescent="0.2">
      <c r="A201" s="168">
        <v>45791</v>
      </c>
      <c r="B201" s="169"/>
      <c r="C201" s="170"/>
      <c r="D201" s="171">
        <f t="shared" si="0"/>
        <v>0</v>
      </c>
      <c r="E201" s="185"/>
      <c r="F201" s="186"/>
      <c r="H201" s="95"/>
      <c r="I201" s="95"/>
      <c r="J201" s="95"/>
      <c r="K201" s="180"/>
    </row>
    <row r="202" spans="1:11" ht="12.75" x14ac:dyDescent="0.2">
      <c r="A202" s="168">
        <v>45792</v>
      </c>
      <c r="B202" s="169"/>
      <c r="C202" s="170"/>
      <c r="D202" s="171">
        <f t="shared" si="0"/>
        <v>0</v>
      </c>
      <c r="E202" s="185"/>
      <c r="F202" s="186"/>
      <c r="H202" s="95"/>
      <c r="I202" s="95"/>
      <c r="J202" s="95"/>
      <c r="K202" s="180"/>
    </row>
    <row r="203" spans="1:11" ht="12.75" x14ac:dyDescent="0.2">
      <c r="A203" s="168">
        <v>45793</v>
      </c>
      <c r="B203" s="169"/>
      <c r="C203" s="170"/>
      <c r="D203" s="171">
        <f t="shared" si="0"/>
        <v>0</v>
      </c>
      <c r="E203" s="185"/>
      <c r="F203" s="186"/>
      <c r="H203" s="95"/>
      <c r="I203" s="95"/>
      <c r="J203" s="95"/>
      <c r="K203" s="180"/>
    </row>
    <row r="204" spans="1:11" ht="12.75" x14ac:dyDescent="0.2">
      <c r="A204" s="168">
        <v>45796</v>
      </c>
      <c r="B204" s="169"/>
      <c r="C204" s="170"/>
      <c r="D204" s="171">
        <f t="shared" si="0"/>
        <v>0</v>
      </c>
      <c r="E204" s="185"/>
      <c r="F204" s="186"/>
      <c r="H204" s="95"/>
      <c r="I204" s="95"/>
      <c r="J204" s="95"/>
      <c r="K204" s="180"/>
    </row>
    <row r="205" spans="1:11" ht="12.75" x14ac:dyDescent="0.2">
      <c r="A205" s="168">
        <v>45797</v>
      </c>
      <c r="B205" s="169"/>
      <c r="C205" s="170"/>
      <c r="D205" s="171">
        <f t="shared" si="0"/>
        <v>0</v>
      </c>
      <c r="E205" s="185"/>
      <c r="F205" s="186"/>
      <c r="H205" s="95"/>
      <c r="I205" s="95"/>
      <c r="J205" s="95"/>
      <c r="K205" s="180"/>
    </row>
    <row r="206" spans="1:11" ht="12.75" x14ac:dyDescent="0.2">
      <c r="A206" s="168">
        <v>45798</v>
      </c>
      <c r="B206" s="169"/>
      <c r="C206" s="170"/>
      <c r="D206" s="171">
        <f t="shared" si="0"/>
        <v>0</v>
      </c>
      <c r="E206" s="185"/>
      <c r="F206" s="186"/>
      <c r="H206" s="95"/>
      <c r="I206" s="95"/>
      <c r="J206" s="95"/>
      <c r="K206" s="180"/>
    </row>
    <row r="207" spans="1:11" ht="12.75" x14ac:dyDescent="0.2">
      <c r="A207" s="168">
        <v>45799</v>
      </c>
      <c r="B207" s="169"/>
      <c r="C207" s="170"/>
      <c r="D207" s="171">
        <f t="shared" si="0"/>
        <v>0</v>
      </c>
      <c r="E207" s="185"/>
      <c r="F207" s="186"/>
      <c r="H207" s="95"/>
      <c r="I207" s="95"/>
      <c r="J207" s="95"/>
      <c r="K207" s="180"/>
    </row>
    <row r="208" spans="1:11" ht="12.75" x14ac:dyDescent="0.2">
      <c r="A208" s="168">
        <v>45800</v>
      </c>
      <c r="B208" s="169"/>
      <c r="C208" s="170"/>
      <c r="D208" s="171">
        <f t="shared" si="0"/>
        <v>0</v>
      </c>
      <c r="E208" s="185"/>
      <c r="F208" s="186"/>
      <c r="H208" s="95"/>
      <c r="I208" s="95"/>
      <c r="J208" s="95"/>
      <c r="K208" s="180"/>
    </row>
    <row r="209" spans="1:11" ht="12.75" x14ac:dyDescent="0.2">
      <c r="A209" s="103">
        <v>45803</v>
      </c>
      <c r="B209" s="177"/>
      <c r="C209" s="106"/>
      <c r="D209" s="171">
        <f t="shared" si="0"/>
        <v>0</v>
      </c>
      <c r="E209" s="185"/>
      <c r="F209" s="186"/>
      <c r="H209" s="95"/>
      <c r="I209" s="95"/>
      <c r="J209" s="95"/>
      <c r="K209" s="180"/>
    </row>
    <row r="210" spans="1:11" ht="12.75" x14ac:dyDescent="0.2">
      <c r="A210" s="168">
        <v>45804</v>
      </c>
      <c r="B210" s="169"/>
      <c r="C210" s="170"/>
      <c r="D210" s="171">
        <f t="shared" si="0"/>
        <v>0</v>
      </c>
      <c r="E210" s="185"/>
      <c r="F210" s="186"/>
      <c r="H210" s="95"/>
      <c r="I210" s="95"/>
      <c r="J210" s="95"/>
      <c r="K210" s="180"/>
    </row>
    <row r="211" spans="1:11" ht="12.75" x14ac:dyDescent="0.2">
      <c r="A211" s="168">
        <v>45805</v>
      </c>
      <c r="B211" s="169"/>
      <c r="C211" s="170"/>
      <c r="D211" s="171">
        <f t="shared" si="0"/>
        <v>0</v>
      </c>
      <c r="E211" s="185"/>
      <c r="F211" s="186"/>
      <c r="H211" s="95"/>
      <c r="I211" s="95"/>
      <c r="J211" s="95"/>
      <c r="K211" s="180"/>
    </row>
    <row r="212" spans="1:11" ht="12.75" x14ac:dyDescent="0.2">
      <c r="A212" s="168">
        <v>45806</v>
      </c>
      <c r="B212" s="169"/>
      <c r="C212" s="170"/>
      <c r="D212" s="171">
        <f t="shared" si="0"/>
        <v>0</v>
      </c>
      <c r="E212" s="185"/>
      <c r="F212" s="186"/>
      <c r="H212" s="95"/>
      <c r="I212" s="95"/>
      <c r="J212" s="95"/>
      <c r="K212" s="180"/>
    </row>
  </sheetData>
  <mergeCells count="3">
    <mergeCell ref="B1:D1"/>
    <mergeCell ref="A2:D2"/>
    <mergeCell ref="F2:K2"/>
  </mergeCells>
  <conditionalFormatting sqref="J1:K1 J3:K212">
    <cfRule type="cellIs" dxfId="8" priority="1" operator="between">
      <formula>"40%"</formula>
      <formula>"31%"</formula>
    </cfRule>
    <cfRule type="cellIs" dxfId="7" priority="2" operator="lessThan">
      <formula>"30%"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73763"/>
    <outlinePr summaryBelow="0" summaryRight="0"/>
  </sheetPr>
  <dimension ref="A1:Z997"/>
  <sheetViews>
    <sheetView workbookViewId="0"/>
  </sheetViews>
  <sheetFormatPr defaultColWidth="12.5703125" defaultRowHeight="15.75" customHeight="1" x14ac:dyDescent="0.2"/>
  <cols>
    <col min="1" max="1" width="13" customWidth="1"/>
    <col min="2" max="2" width="14.7109375" customWidth="1"/>
    <col min="3" max="3" width="19.42578125" customWidth="1"/>
    <col min="4" max="4" width="1.85546875" customWidth="1"/>
    <col min="5" max="5" width="13" customWidth="1"/>
    <col min="6" max="6" width="17.42578125" customWidth="1"/>
    <col min="7" max="7" width="19" customWidth="1"/>
    <col min="8" max="8" width="1.28515625" customWidth="1"/>
    <col min="9" max="9" width="13" customWidth="1"/>
    <col min="10" max="10" width="17.42578125" customWidth="1"/>
    <col min="11" max="11" width="21.85546875" customWidth="1"/>
  </cols>
  <sheetData>
    <row r="1" spans="1:12" ht="15.75" customHeight="1" x14ac:dyDescent="0.35">
      <c r="A1" s="187" t="s">
        <v>562</v>
      </c>
      <c r="B1" s="187" t="s">
        <v>11</v>
      </c>
      <c r="C1" s="188"/>
      <c r="D1" s="189"/>
      <c r="E1" s="187" t="s">
        <v>562</v>
      </c>
      <c r="F1" s="187" t="s">
        <v>563</v>
      </c>
      <c r="G1" s="188"/>
      <c r="H1" s="189"/>
      <c r="I1" s="187" t="s">
        <v>562</v>
      </c>
      <c r="J1" s="187" t="s">
        <v>13</v>
      </c>
      <c r="K1" s="188"/>
      <c r="L1" s="190"/>
    </row>
    <row r="2" spans="1:12" ht="12.75" x14ac:dyDescent="0.2">
      <c r="A2" s="95"/>
      <c r="B2" s="95"/>
      <c r="C2" s="94"/>
      <c r="D2" s="185"/>
      <c r="E2" s="95"/>
      <c r="F2" s="95"/>
      <c r="G2" s="94"/>
      <c r="H2" s="185"/>
      <c r="I2" s="95"/>
      <c r="J2" s="95"/>
      <c r="K2" s="94"/>
      <c r="L2" s="191"/>
    </row>
    <row r="3" spans="1:12" ht="12.75" x14ac:dyDescent="0.2">
      <c r="A3" s="95"/>
      <c r="B3" s="95"/>
      <c r="C3" s="94"/>
      <c r="D3" s="185"/>
      <c r="E3" s="95"/>
      <c r="F3" s="95"/>
      <c r="G3" s="94"/>
      <c r="H3" s="185"/>
      <c r="I3" s="95"/>
      <c r="J3" s="95"/>
      <c r="K3" s="94"/>
      <c r="L3" s="191"/>
    </row>
    <row r="4" spans="1:12" ht="12.75" x14ac:dyDescent="0.2">
      <c r="A4" s="95"/>
      <c r="B4" s="95"/>
      <c r="C4" s="94"/>
      <c r="D4" s="185"/>
      <c r="E4" s="95"/>
      <c r="F4" s="95"/>
      <c r="G4" s="94"/>
      <c r="H4" s="185"/>
      <c r="I4" s="95"/>
      <c r="J4" s="95"/>
      <c r="K4" s="94"/>
      <c r="L4" s="191"/>
    </row>
    <row r="5" spans="1:12" ht="15.75" customHeight="1" x14ac:dyDescent="0.2">
      <c r="A5" s="192" t="s">
        <v>215</v>
      </c>
      <c r="B5" s="193" t="s">
        <v>216</v>
      </c>
      <c r="C5" s="194" t="s">
        <v>217</v>
      </c>
      <c r="D5" s="195"/>
      <c r="E5" s="192" t="s">
        <v>215</v>
      </c>
      <c r="F5" s="193" t="s">
        <v>216</v>
      </c>
      <c r="G5" s="194" t="s">
        <v>217</v>
      </c>
      <c r="H5" s="195"/>
      <c r="I5" s="192" t="s">
        <v>215</v>
      </c>
      <c r="J5" s="193" t="s">
        <v>216</v>
      </c>
      <c r="K5" s="194" t="s">
        <v>217</v>
      </c>
      <c r="L5" s="196" t="s">
        <v>564</v>
      </c>
    </row>
    <row r="6" spans="1:12" ht="12.75" x14ac:dyDescent="0.2">
      <c r="A6" s="92">
        <v>45516</v>
      </c>
      <c r="B6" s="93" t="s">
        <v>33</v>
      </c>
      <c r="C6" s="150">
        <f>'District ADAEnrollment'!X12</f>
        <v>1</v>
      </c>
      <c r="D6" s="185"/>
      <c r="E6" s="92">
        <v>45516</v>
      </c>
      <c r="F6" s="93" t="s">
        <v>33</v>
      </c>
      <c r="G6" s="197">
        <f>'District ADAEnrollment'!Z12</f>
        <v>1</v>
      </c>
      <c r="H6" s="185"/>
      <c r="I6" s="92">
        <v>45516</v>
      </c>
      <c r="J6" s="93" t="s">
        <v>33</v>
      </c>
      <c r="K6" s="94">
        <f>'District ADAEnrollment'!AB12</f>
        <v>1</v>
      </c>
      <c r="L6" s="198">
        <f t="shared" ref="L6:L214" si="0">AVERAGE(K6,G6,C6)</f>
        <v>1</v>
      </c>
    </row>
    <row r="7" spans="1:12" ht="12.75" x14ac:dyDescent="0.2">
      <c r="A7" s="92">
        <v>45517</v>
      </c>
      <c r="B7" s="93" t="s">
        <v>35</v>
      </c>
      <c r="C7" s="150">
        <f>'District ADAEnrollment'!X13</f>
        <v>0.97960000000000003</v>
      </c>
      <c r="D7" s="185"/>
      <c r="E7" s="92">
        <v>45517</v>
      </c>
      <c r="F7" s="93" t="s">
        <v>35</v>
      </c>
      <c r="G7" s="197">
        <f>'District ADAEnrollment'!Z13</f>
        <v>0.97599999999999998</v>
      </c>
      <c r="H7" s="185"/>
      <c r="I7" s="92">
        <v>45517</v>
      </c>
      <c r="J7" s="93" t="s">
        <v>35</v>
      </c>
      <c r="K7" s="94">
        <f>'District ADAEnrollment'!AB13</f>
        <v>0.99109999999999998</v>
      </c>
      <c r="L7" s="198">
        <f t="shared" si="0"/>
        <v>0.98223333333333329</v>
      </c>
    </row>
    <row r="8" spans="1:12" ht="12.75" x14ac:dyDescent="0.2">
      <c r="A8" s="92">
        <v>45518</v>
      </c>
      <c r="B8" s="93" t="s">
        <v>37</v>
      </c>
      <c r="C8" s="150">
        <f>'District ADAEnrollment'!X14</f>
        <v>0.97260000000000002</v>
      </c>
      <c r="D8" s="185"/>
      <c r="E8" s="92">
        <v>45518</v>
      </c>
      <c r="F8" s="93" t="s">
        <v>37</v>
      </c>
      <c r="G8" s="197">
        <f>'District ADAEnrollment'!Z14</f>
        <v>0.98770000000000002</v>
      </c>
      <c r="H8" s="185"/>
      <c r="I8" s="92">
        <v>45518</v>
      </c>
      <c r="J8" s="93" t="s">
        <v>37</v>
      </c>
      <c r="K8" s="94">
        <f>'District ADAEnrollment'!AB14</f>
        <v>0.97340000000000004</v>
      </c>
      <c r="L8" s="198">
        <f t="shared" si="0"/>
        <v>0.97789999999999999</v>
      </c>
    </row>
    <row r="9" spans="1:12" ht="12.75" x14ac:dyDescent="0.2">
      <c r="A9" s="92">
        <v>45519</v>
      </c>
      <c r="B9" s="93" t="s">
        <v>39</v>
      </c>
      <c r="C9" s="150">
        <f>'District ADAEnrollment'!X15</f>
        <v>0.96760000000000002</v>
      </c>
      <c r="D9" s="185"/>
      <c r="E9" s="92">
        <v>45519</v>
      </c>
      <c r="F9" s="93" t="s">
        <v>39</v>
      </c>
      <c r="G9" s="197">
        <f>'District ADAEnrollment'!Z15</f>
        <v>0.97260000000000002</v>
      </c>
      <c r="H9" s="185"/>
      <c r="I9" s="92">
        <v>45519</v>
      </c>
      <c r="J9" s="93" t="s">
        <v>39</v>
      </c>
      <c r="K9" s="94">
        <f>'District ADAEnrollment'!AB15</f>
        <v>0.98670000000000002</v>
      </c>
      <c r="L9" s="198">
        <f t="shared" si="0"/>
        <v>0.97563333333333324</v>
      </c>
    </row>
    <row r="10" spans="1:12" ht="12.75" x14ac:dyDescent="0.2">
      <c r="A10" s="92">
        <v>45520</v>
      </c>
      <c r="B10" s="93" t="s">
        <v>41</v>
      </c>
      <c r="C10" s="150">
        <f>'District ADAEnrollment'!X16</f>
        <v>0.95550000000000002</v>
      </c>
      <c r="D10" s="185"/>
      <c r="E10" s="92">
        <v>45520</v>
      </c>
      <c r="F10" s="93" t="s">
        <v>41</v>
      </c>
      <c r="G10" s="197">
        <f>'District ADAEnrollment'!Z16</f>
        <v>0.95030000000000003</v>
      </c>
      <c r="H10" s="185"/>
      <c r="I10" s="92">
        <v>45520</v>
      </c>
      <c r="J10" s="93" t="s">
        <v>41</v>
      </c>
      <c r="K10" s="94">
        <f>'District ADAEnrollment'!AB16</f>
        <v>0.95799999999999996</v>
      </c>
      <c r="L10" s="198">
        <f t="shared" si="0"/>
        <v>0.95460000000000012</v>
      </c>
    </row>
    <row r="11" spans="1:12" ht="12.75" x14ac:dyDescent="0.2">
      <c r="A11" s="92">
        <v>45523</v>
      </c>
      <c r="B11" s="93" t="s">
        <v>33</v>
      </c>
      <c r="C11" s="150">
        <f>'District ADAEnrollment'!X17</f>
        <v>0.95409999999999995</v>
      </c>
      <c r="D11" s="185"/>
      <c r="E11" s="92">
        <v>45523</v>
      </c>
      <c r="F11" s="93" t="s">
        <v>33</v>
      </c>
      <c r="G11" s="197">
        <f>'District ADAEnrollment'!Z17</f>
        <v>0.95569999999999999</v>
      </c>
      <c r="H11" s="185"/>
      <c r="I11" s="92">
        <v>45523</v>
      </c>
      <c r="J11" s="93" t="s">
        <v>33</v>
      </c>
      <c r="K11" s="94">
        <f>'District ADAEnrollment'!AB17</f>
        <v>0.96479999999999999</v>
      </c>
      <c r="L11" s="198">
        <f t="shared" si="0"/>
        <v>0.95820000000000005</v>
      </c>
    </row>
    <row r="12" spans="1:12" ht="12.75" x14ac:dyDescent="0.2">
      <c r="A12" s="92">
        <v>45524</v>
      </c>
      <c r="B12" s="93" t="s">
        <v>35</v>
      </c>
      <c r="C12" s="150">
        <f>'District ADAEnrollment'!X18</f>
        <v>0.95930000000000004</v>
      </c>
      <c r="D12" s="185"/>
      <c r="E12" s="92">
        <v>45524</v>
      </c>
      <c r="F12" s="93" t="s">
        <v>35</v>
      </c>
      <c r="G12" s="197">
        <f>'District ADAEnrollment'!Z18</f>
        <v>0.95250000000000001</v>
      </c>
      <c r="H12" s="185"/>
      <c r="I12" s="92">
        <v>45524</v>
      </c>
      <c r="J12" s="93" t="s">
        <v>35</v>
      </c>
      <c r="K12" s="94">
        <f>'District ADAEnrollment'!AB18</f>
        <v>0.96479999999999999</v>
      </c>
      <c r="L12" s="198">
        <f t="shared" si="0"/>
        <v>0.95886666666666664</v>
      </c>
    </row>
    <row r="13" spans="1:12" ht="12.75" x14ac:dyDescent="0.2">
      <c r="A13" s="92">
        <v>45525</v>
      </c>
      <c r="B13" s="93" t="s">
        <v>37</v>
      </c>
      <c r="C13" s="150">
        <f>'District ADAEnrollment'!X19</f>
        <v>0.96250000000000002</v>
      </c>
      <c r="D13" s="185"/>
      <c r="E13" s="92">
        <v>45525</v>
      </c>
      <c r="F13" s="93" t="s">
        <v>37</v>
      </c>
      <c r="G13" s="197">
        <f>'District ADAEnrollment'!Z19</f>
        <v>0.96950000000000003</v>
      </c>
      <c r="H13" s="185"/>
      <c r="I13" s="92">
        <v>45525</v>
      </c>
      <c r="J13" s="93" t="s">
        <v>37</v>
      </c>
      <c r="K13" s="94">
        <f>'District ADAEnrollment'!AB19</f>
        <v>0.9758</v>
      </c>
      <c r="L13" s="198">
        <f t="shared" si="0"/>
        <v>0.96926666666666661</v>
      </c>
    </row>
    <row r="14" spans="1:12" ht="12.75" x14ac:dyDescent="0.2">
      <c r="A14" s="92">
        <v>45526</v>
      </c>
      <c r="B14" s="93" t="s">
        <v>39</v>
      </c>
      <c r="C14" s="150">
        <f>'District ADAEnrollment'!X20</f>
        <v>0.9526</v>
      </c>
      <c r="D14" s="185"/>
      <c r="E14" s="92">
        <v>45526</v>
      </c>
      <c r="F14" s="93" t="s">
        <v>39</v>
      </c>
      <c r="G14" s="197">
        <f>'District ADAEnrollment'!Z20</f>
        <v>0.95109999999999995</v>
      </c>
      <c r="H14" s="185"/>
      <c r="I14" s="92">
        <v>45526</v>
      </c>
      <c r="J14" s="93" t="s">
        <v>39</v>
      </c>
      <c r="K14" s="94">
        <f>'District ADAEnrollment'!AB20</f>
        <v>0.97809999999999997</v>
      </c>
      <c r="L14" s="198">
        <f t="shared" si="0"/>
        <v>0.9605999999999999</v>
      </c>
    </row>
    <row r="15" spans="1:12" ht="12.75" x14ac:dyDescent="0.2">
      <c r="A15" s="92">
        <v>45527</v>
      </c>
      <c r="B15" s="93" t="s">
        <v>41</v>
      </c>
      <c r="C15" s="150">
        <f>'District ADAEnrollment'!X21</f>
        <v>0.9415</v>
      </c>
      <c r="D15" s="185"/>
      <c r="E15" s="92">
        <v>45527</v>
      </c>
      <c r="F15" s="93" t="s">
        <v>41</v>
      </c>
      <c r="G15" s="197">
        <f>'District ADAEnrollment'!Z21</f>
        <v>0.92220000000000002</v>
      </c>
      <c r="H15" s="185"/>
      <c r="I15" s="92">
        <v>45527</v>
      </c>
      <c r="J15" s="93" t="s">
        <v>41</v>
      </c>
      <c r="K15" s="94">
        <f>'District ADAEnrollment'!AB21</f>
        <v>0.96060000000000001</v>
      </c>
      <c r="L15" s="198">
        <f t="shared" si="0"/>
        <v>0.94143333333333334</v>
      </c>
    </row>
    <row r="16" spans="1:12" ht="12.75" x14ac:dyDescent="0.2">
      <c r="A16" s="92">
        <v>45530</v>
      </c>
      <c r="B16" s="93" t="s">
        <v>33</v>
      </c>
      <c r="C16" s="150">
        <f>'District ADAEnrollment'!X22</f>
        <v>0.94510000000000005</v>
      </c>
      <c r="D16" s="185"/>
      <c r="E16" s="92">
        <v>45530</v>
      </c>
      <c r="F16" s="93" t="s">
        <v>33</v>
      </c>
      <c r="G16" s="197">
        <f>'District ADAEnrollment'!Z22</f>
        <v>0.9546</v>
      </c>
      <c r="H16" s="185"/>
      <c r="I16" s="92">
        <v>45530</v>
      </c>
      <c r="J16" s="93" t="s">
        <v>33</v>
      </c>
      <c r="K16" s="94">
        <f>'District ADAEnrollment'!AB22</f>
        <v>0.96940000000000004</v>
      </c>
      <c r="L16" s="198">
        <f t="shared" si="0"/>
        <v>0.9563666666666667</v>
      </c>
    </row>
    <row r="17" spans="1:12" ht="12.75" x14ac:dyDescent="0.2">
      <c r="A17" s="92">
        <v>45531</v>
      </c>
      <c r="B17" s="93" t="s">
        <v>35</v>
      </c>
      <c r="C17" s="150">
        <f>'District ADAEnrollment'!X23</f>
        <v>0.94369999999999998</v>
      </c>
      <c r="D17" s="185"/>
      <c r="E17" s="92">
        <v>45531</v>
      </c>
      <c r="F17" s="93" t="s">
        <v>35</v>
      </c>
      <c r="G17" s="197">
        <f>'District ADAEnrollment'!Z23</f>
        <v>0.94289999999999996</v>
      </c>
      <c r="H17" s="185"/>
      <c r="I17" s="92">
        <v>45531</v>
      </c>
      <c r="J17" s="93" t="s">
        <v>35</v>
      </c>
      <c r="K17" s="94">
        <f>'District ADAEnrollment'!AB23</f>
        <v>0.95609999999999995</v>
      </c>
      <c r="L17" s="198">
        <f t="shared" si="0"/>
        <v>0.94756666666666656</v>
      </c>
    </row>
    <row r="18" spans="1:12" ht="12.75" x14ac:dyDescent="0.2">
      <c r="A18" s="92">
        <v>45532</v>
      </c>
      <c r="B18" s="93" t="s">
        <v>37</v>
      </c>
      <c r="C18" s="150">
        <f>'District ADAEnrollment'!X24</f>
        <v>0.94950000000000001</v>
      </c>
      <c r="D18" s="185"/>
      <c r="E18" s="92">
        <v>45532</v>
      </c>
      <c r="F18" s="93" t="s">
        <v>37</v>
      </c>
      <c r="G18" s="197">
        <f>'District ADAEnrollment'!Z24</f>
        <v>0.95299999999999996</v>
      </c>
      <c r="H18" s="185"/>
      <c r="I18" s="92">
        <v>45532</v>
      </c>
      <c r="J18" s="93" t="s">
        <v>37</v>
      </c>
      <c r="K18" s="94">
        <f>'District ADAEnrollment'!AB24</f>
        <v>0.97150000000000003</v>
      </c>
      <c r="L18" s="198">
        <f t="shared" si="0"/>
        <v>0.95800000000000007</v>
      </c>
    </row>
    <row r="19" spans="1:12" ht="12.75" x14ac:dyDescent="0.2">
      <c r="A19" s="92">
        <v>45533</v>
      </c>
      <c r="B19" s="93" t="s">
        <v>39</v>
      </c>
      <c r="C19" s="150">
        <f>'District ADAEnrollment'!X25</f>
        <v>0.94850000000000001</v>
      </c>
      <c r="D19" s="185"/>
      <c r="E19" s="92">
        <v>45533</v>
      </c>
      <c r="F19" s="93" t="s">
        <v>39</v>
      </c>
      <c r="G19" s="197">
        <f>'District ADAEnrollment'!Z25</f>
        <v>0.94320000000000004</v>
      </c>
      <c r="H19" s="185"/>
      <c r="I19" s="92">
        <v>45533</v>
      </c>
      <c r="J19" s="93" t="s">
        <v>39</v>
      </c>
      <c r="K19" s="94">
        <f>'District ADAEnrollment'!AB25</f>
        <v>0.98460000000000003</v>
      </c>
      <c r="L19" s="198">
        <f t="shared" si="0"/>
        <v>0.95876666666666666</v>
      </c>
    </row>
    <row r="20" spans="1:12" ht="12.75" x14ac:dyDescent="0.2">
      <c r="A20" s="92">
        <v>45534</v>
      </c>
      <c r="B20" s="93" t="s">
        <v>41</v>
      </c>
      <c r="C20" s="150">
        <f>'District ADAEnrollment'!X26</f>
        <v>0.93469999999999998</v>
      </c>
      <c r="D20" s="185"/>
      <c r="E20" s="92">
        <v>45534</v>
      </c>
      <c r="F20" s="93" t="s">
        <v>41</v>
      </c>
      <c r="G20" s="197">
        <f>'District ADAEnrollment'!Z26</f>
        <v>0.90480000000000005</v>
      </c>
      <c r="H20" s="185"/>
      <c r="I20" s="92">
        <v>45534</v>
      </c>
      <c r="J20" s="93" t="s">
        <v>41</v>
      </c>
      <c r="K20" s="94">
        <f>'District ADAEnrollment'!AB26</f>
        <v>0.96489999999999998</v>
      </c>
      <c r="L20" s="198">
        <f t="shared" si="0"/>
        <v>0.93479999999999996</v>
      </c>
    </row>
    <row r="21" spans="1:12" ht="12.75" x14ac:dyDescent="0.2">
      <c r="A21" s="199">
        <v>45537</v>
      </c>
      <c r="B21" s="200" t="s">
        <v>33</v>
      </c>
      <c r="C21" s="150">
        <f>'District ADAEnrollment'!X27</f>
        <v>0</v>
      </c>
      <c r="D21" s="185"/>
      <c r="E21" s="199">
        <v>45537</v>
      </c>
      <c r="F21" s="200" t="s">
        <v>33</v>
      </c>
      <c r="G21" s="197">
        <f>'District ADAEnrollment'!Z27</f>
        <v>0</v>
      </c>
      <c r="H21" s="185"/>
      <c r="I21" s="199">
        <v>45537</v>
      </c>
      <c r="J21" s="200" t="s">
        <v>33</v>
      </c>
      <c r="K21" s="94">
        <f>'District ADAEnrollment'!AB27</f>
        <v>0</v>
      </c>
      <c r="L21" s="198">
        <f t="shared" si="0"/>
        <v>0</v>
      </c>
    </row>
    <row r="22" spans="1:12" ht="12.75" x14ac:dyDescent="0.2">
      <c r="A22" s="92">
        <v>45538</v>
      </c>
      <c r="B22" s="93" t="s">
        <v>35</v>
      </c>
      <c r="C22" s="150">
        <f>'District ADAEnrollment'!X28</f>
        <v>0.93899999999999995</v>
      </c>
      <c r="D22" s="185"/>
      <c r="E22" s="92">
        <v>45538</v>
      </c>
      <c r="F22" s="93" t="s">
        <v>35</v>
      </c>
      <c r="G22" s="197">
        <f>'District ADAEnrollment'!Z28</f>
        <v>0.95330000000000004</v>
      </c>
      <c r="H22" s="185"/>
      <c r="I22" s="92">
        <v>45538</v>
      </c>
      <c r="J22" s="93" t="s">
        <v>35</v>
      </c>
      <c r="K22" s="94">
        <f>'District ADAEnrollment'!AB28</f>
        <v>0.96489999999999998</v>
      </c>
      <c r="L22" s="198">
        <f t="shared" si="0"/>
        <v>0.95240000000000002</v>
      </c>
    </row>
    <row r="23" spans="1:12" ht="12.75" x14ac:dyDescent="0.2">
      <c r="A23" s="92">
        <v>45539</v>
      </c>
      <c r="B23" s="93" t="s">
        <v>37</v>
      </c>
      <c r="C23" s="150">
        <f>'District ADAEnrollment'!X29</f>
        <v>0.94550000000000001</v>
      </c>
      <c r="D23" s="185"/>
      <c r="E23" s="92">
        <v>45539</v>
      </c>
      <c r="F23" s="93" t="s">
        <v>37</v>
      </c>
      <c r="G23" s="197">
        <f>'District ADAEnrollment'!Z29</f>
        <v>0.94499999999999995</v>
      </c>
      <c r="H23" s="185"/>
      <c r="I23" s="92">
        <v>45539</v>
      </c>
      <c r="J23" s="93" t="s">
        <v>37</v>
      </c>
      <c r="K23" s="94">
        <f>'District ADAEnrollment'!AB29</f>
        <v>0.96489999999999998</v>
      </c>
      <c r="L23" s="198">
        <f t="shared" si="0"/>
        <v>0.95179999999999998</v>
      </c>
    </row>
    <row r="24" spans="1:12" ht="12.75" x14ac:dyDescent="0.2">
      <c r="A24" s="92">
        <v>45540</v>
      </c>
      <c r="B24" s="93" t="s">
        <v>39</v>
      </c>
      <c r="C24" s="150">
        <f>'District ADAEnrollment'!X30</f>
        <v>0.94410000000000005</v>
      </c>
      <c r="D24" s="185"/>
      <c r="E24" s="92">
        <v>45540</v>
      </c>
      <c r="F24" s="93" t="s">
        <v>39</v>
      </c>
      <c r="G24" s="197">
        <f>'District ADAEnrollment'!Z30</f>
        <v>0.94</v>
      </c>
      <c r="H24" s="185"/>
      <c r="I24" s="92">
        <v>45540</v>
      </c>
      <c r="J24" s="93" t="s">
        <v>39</v>
      </c>
      <c r="K24" s="94">
        <f>'District ADAEnrollment'!AB30</f>
        <v>0.98460000000000003</v>
      </c>
      <c r="L24" s="198">
        <f t="shared" si="0"/>
        <v>0.95623333333333338</v>
      </c>
    </row>
    <row r="25" spans="1:12" ht="12.75" x14ac:dyDescent="0.2">
      <c r="A25" s="92">
        <v>45541</v>
      </c>
      <c r="B25" s="93" t="s">
        <v>41</v>
      </c>
      <c r="C25" s="150">
        <f>'District ADAEnrollment'!X31</f>
        <v>0.91759999999999997</v>
      </c>
      <c r="D25" s="185"/>
      <c r="E25" s="92">
        <v>45541</v>
      </c>
      <c r="F25" s="93" t="s">
        <v>41</v>
      </c>
      <c r="G25" s="197">
        <f>'District ADAEnrollment'!Z31</f>
        <v>0.93179999999999996</v>
      </c>
      <c r="H25" s="185"/>
      <c r="I25" s="92">
        <v>45541</v>
      </c>
      <c r="J25" s="93" t="s">
        <v>41</v>
      </c>
      <c r="K25" s="94">
        <f>'District ADAEnrollment'!AB31</f>
        <v>0.96040000000000003</v>
      </c>
      <c r="L25" s="198">
        <f t="shared" si="0"/>
        <v>0.93659999999999999</v>
      </c>
    </row>
    <row r="26" spans="1:12" ht="12.75" x14ac:dyDescent="0.2">
      <c r="A26" s="92">
        <v>45544</v>
      </c>
      <c r="B26" s="93" t="s">
        <v>33</v>
      </c>
      <c r="C26" s="150">
        <f>'District ADAEnrollment'!X32</f>
        <v>0.94189999999999996</v>
      </c>
      <c r="D26" s="185"/>
      <c r="E26" s="92">
        <v>45544</v>
      </c>
      <c r="F26" s="93" t="s">
        <v>33</v>
      </c>
      <c r="G26" s="197">
        <f>'District ADAEnrollment'!Z32</f>
        <v>0.95540000000000003</v>
      </c>
      <c r="H26" s="185"/>
      <c r="I26" s="92">
        <v>45544</v>
      </c>
      <c r="J26" s="93" t="s">
        <v>33</v>
      </c>
      <c r="K26" s="94">
        <f>'District ADAEnrollment'!AB32</f>
        <v>0.97140000000000004</v>
      </c>
      <c r="L26" s="198">
        <f t="shared" si="0"/>
        <v>0.95623333333333338</v>
      </c>
    </row>
    <row r="27" spans="1:12" ht="12.75" x14ac:dyDescent="0.2">
      <c r="A27" s="92">
        <v>45545</v>
      </c>
      <c r="B27" s="93" t="s">
        <v>35</v>
      </c>
      <c r="C27" s="150">
        <f>'District ADAEnrollment'!X33</f>
        <v>0.94469999999999998</v>
      </c>
      <c r="D27" s="185"/>
      <c r="E27" s="92">
        <v>45545</v>
      </c>
      <c r="F27" s="93" t="s">
        <v>35</v>
      </c>
      <c r="G27" s="197">
        <f>'District ADAEnrollment'!Z33</f>
        <v>0.94089999999999996</v>
      </c>
      <c r="H27" s="185"/>
      <c r="I27" s="92">
        <v>45545</v>
      </c>
      <c r="J27" s="93" t="s">
        <v>35</v>
      </c>
      <c r="K27" s="94">
        <f>'District ADAEnrollment'!AB33</f>
        <v>0.9758</v>
      </c>
      <c r="L27" s="198">
        <f t="shared" si="0"/>
        <v>0.95380000000000009</v>
      </c>
    </row>
    <row r="28" spans="1:12" ht="12.75" x14ac:dyDescent="0.2">
      <c r="A28" s="92">
        <v>45546</v>
      </c>
      <c r="B28" s="93" t="s">
        <v>37</v>
      </c>
      <c r="C28" s="150">
        <f>'District ADAEnrollment'!X34</f>
        <v>0.94159999999999999</v>
      </c>
      <c r="D28" s="185"/>
      <c r="E28" s="92">
        <v>45546</v>
      </c>
      <c r="F28" s="93" t="s">
        <v>37</v>
      </c>
      <c r="G28" s="197">
        <f>'District ADAEnrollment'!Z34</f>
        <v>0.92449999999999999</v>
      </c>
      <c r="H28" s="185"/>
      <c r="I28" s="92">
        <v>45546</v>
      </c>
      <c r="J28" s="93" t="s">
        <v>37</v>
      </c>
      <c r="K28" s="94">
        <f>'District ADAEnrollment'!AB34</f>
        <v>0.97799999999999998</v>
      </c>
      <c r="L28" s="198">
        <f t="shared" si="0"/>
        <v>0.94803333333333339</v>
      </c>
    </row>
    <row r="29" spans="1:12" ht="12.75" x14ac:dyDescent="0.2">
      <c r="A29" s="92">
        <v>45547</v>
      </c>
      <c r="B29" s="93" t="s">
        <v>39</v>
      </c>
      <c r="C29" s="150">
        <f>'District ADAEnrollment'!X35</f>
        <v>0.95220000000000005</v>
      </c>
      <c r="D29" s="185"/>
      <c r="E29" s="92">
        <v>45547</v>
      </c>
      <c r="F29" s="93" t="s">
        <v>39</v>
      </c>
      <c r="G29" s="197">
        <f>'District ADAEnrollment'!Z35</f>
        <v>0.94750000000000001</v>
      </c>
      <c r="H29" s="185"/>
      <c r="I29" s="92">
        <v>45547</v>
      </c>
      <c r="J29" s="93" t="s">
        <v>39</v>
      </c>
      <c r="K29" s="94">
        <f>'District ADAEnrollment'!AB35</f>
        <v>0.97360000000000002</v>
      </c>
      <c r="L29" s="198">
        <f t="shared" si="0"/>
        <v>0.95776666666666666</v>
      </c>
    </row>
    <row r="30" spans="1:12" ht="12.75" x14ac:dyDescent="0.2">
      <c r="A30" s="92">
        <v>45548</v>
      </c>
      <c r="B30" s="93" t="s">
        <v>41</v>
      </c>
      <c r="C30" s="150">
        <f>'District ADAEnrollment'!X36</f>
        <v>0.92</v>
      </c>
      <c r="D30" s="185"/>
      <c r="E30" s="92">
        <v>45548</v>
      </c>
      <c r="F30" s="93" t="s">
        <v>41</v>
      </c>
      <c r="G30" s="197">
        <f>'District ADAEnrollment'!Z36</f>
        <v>0.88690000000000002</v>
      </c>
      <c r="H30" s="185"/>
      <c r="I30" s="92">
        <v>45548</v>
      </c>
      <c r="J30" s="93" t="s">
        <v>41</v>
      </c>
      <c r="K30" s="94">
        <f>'District ADAEnrollment'!AB36</f>
        <v>0.96260000000000001</v>
      </c>
      <c r="L30" s="198">
        <f t="shared" si="0"/>
        <v>0.92316666666666658</v>
      </c>
    </row>
    <row r="31" spans="1:12" ht="12.75" x14ac:dyDescent="0.2">
      <c r="A31" s="109">
        <v>45551</v>
      </c>
      <c r="B31" s="110" t="s">
        <v>33</v>
      </c>
      <c r="C31" s="150">
        <f>'District ADAEnrollment'!X37</f>
        <v>0</v>
      </c>
      <c r="D31" s="185"/>
      <c r="E31" s="109">
        <v>45551</v>
      </c>
      <c r="F31" s="110" t="s">
        <v>33</v>
      </c>
      <c r="G31" s="197">
        <f>'District ADAEnrollment'!Z37</f>
        <v>0</v>
      </c>
      <c r="H31" s="185"/>
      <c r="I31" s="109">
        <v>45551</v>
      </c>
      <c r="J31" s="110" t="s">
        <v>33</v>
      </c>
      <c r="K31" s="94">
        <f>'District ADAEnrollment'!AB37</f>
        <v>0</v>
      </c>
      <c r="L31" s="198">
        <f t="shared" si="0"/>
        <v>0</v>
      </c>
    </row>
    <row r="32" spans="1:12" ht="12.75" x14ac:dyDescent="0.2">
      <c r="A32" s="92">
        <v>45552</v>
      </c>
      <c r="B32" s="93" t="s">
        <v>35</v>
      </c>
      <c r="C32" s="150">
        <f>'District ADAEnrollment'!X38</f>
        <v>0.94279999999999997</v>
      </c>
      <c r="D32" s="185"/>
      <c r="E32" s="92">
        <v>45552</v>
      </c>
      <c r="F32" s="93" t="s">
        <v>35</v>
      </c>
      <c r="G32" s="197">
        <f>'District ADAEnrollment'!Z38</f>
        <v>0.94440000000000002</v>
      </c>
      <c r="H32" s="185"/>
      <c r="I32" s="92">
        <v>45552</v>
      </c>
      <c r="J32" s="93" t="s">
        <v>35</v>
      </c>
      <c r="K32" s="94">
        <f>'District ADAEnrollment'!AB38</f>
        <v>0.98019999999999996</v>
      </c>
      <c r="L32" s="198">
        <f t="shared" si="0"/>
        <v>0.95579999999999998</v>
      </c>
    </row>
    <row r="33" spans="1:12" ht="12.75" x14ac:dyDescent="0.2">
      <c r="A33" s="92">
        <v>45553</v>
      </c>
      <c r="B33" s="93" t="s">
        <v>37</v>
      </c>
      <c r="C33" s="150">
        <f>'District ADAEnrollment'!X39</f>
        <v>0.9375</v>
      </c>
      <c r="D33" s="185"/>
      <c r="E33" s="92">
        <v>45553</v>
      </c>
      <c r="F33" s="93" t="s">
        <v>37</v>
      </c>
      <c r="G33" s="197">
        <f>'District ADAEnrollment'!Z39</f>
        <v>0.9345</v>
      </c>
      <c r="H33" s="185"/>
      <c r="I33" s="92">
        <v>45553</v>
      </c>
      <c r="J33" s="93" t="s">
        <v>37</v>
      </c>
      <c r="K33" s="94">
        <f>'District ADAEnrollment'!AB39</f>
        <v>0.97140000000000004</v>
      </c>
      <c r="L33" s="198">
        <f t="shared" si="0"/>
        <v>0.94779999999999998</v>
      </c>
    </row>
    <row r="34" spans="1:12" ht="12.75" x14ac:dyDescent="0.2">
      <c r="A34" s="92">
        <v>45554</v>
      </c>
      <c r="B34" s="93" t="s">
        <v>39</v>
      </c>
      <c r="C34" s="150">
        <f>'District ADAEnrollment'!X40</f>
        <v>0.9375</v>
      </c>
      <c r="D34" s="185"/>
      <c r="E34" s="92">
        <v>45554</v>
      </c>
      <c r="F34" s="93" t="s">
        <v>39</v>
      </c>
      <c r="G34" s="197">
        <f>'District ADAEnrollment'!Z40</f>
        <v>0.92959999999999998</v>
      </c>
      <c r="H34" s="185"/>
      <c r="I34" s="92">
        <v>45554</v>
      </c>
      <c r="J34" s="93" t="s">
        <v>39</v>
      </c>
      <c r="K34" s="94">
        <f>'District ADAEnrollment'!AB40</f>
        <v>0.96919999999999995</v>
      </c>
      <c r="L34" s="198">
        <f t="shared" si="0"/>
        <v>0.94543333333333335</v>
      </c>
    </row>
    <row r="35" spans="1:12" ht="12.75" x14ac:dyDescent="0.2">
      <c r="A35" s="92">
        <v>45555</v>
      </c>
      <c r="B35" s="93" t="s">
        <v>41</v>
      </c>
      <c r="C35" s="150">
        <f>'District ADAEnrollment'!X41</f>
        <v>0.92010000000000003</v>
      </c>
      <c r="D35" s="185"/>
      <c r="E35" s="92">
        <v>45555</v>
      </c>
      <c r="F35" s="93" t="s">
        <v>41</v>
      </c>
      <c r="G35" s="197">
        <f>'District ADAEnrollment'!Z41</f>
        <v>0.92310000000000003</v>
      </c>
      <c r="H35" s="185"/>
      <c r="I35" s="92">
        <v>45555</v>
      </c>
      <c r="J35" s="93" t="s">
        <v>41</v>
      </c>
      <c r="K35" s="94">
        <f>'District ADAEnrollment'!AB41</f>
        <v>0.9607</v>
      </c>
      <c r="L35" s="198">
        <f t="shared" si="0"/>
        <v>0.93463333333333332</v>
      </c>
    </row>
    <row r="36" spans="1:12" ht="12.75" x14ac:dyDescent="0.2">
      <c r="A36" s="92">
        <v>45558</v>
      </c>
      <c r="B36" s="93" t="s">
        <v>33</v>
      </c>
      <c r="C36" s="150">
        <f>'District ADAEnrollment'!X42</f>
        <v>0.91910000000000003</v>
      </c>
      <c r="D36" s="185"/>
      <c r="E36" s="92">
        <v>45558</v>
      </c>
      <c r="F36" s="93" t="s">
        <v>33</v>
      </c>
      <c r="G36" s="197">
        <f>'District ADAEnrollment'!Z42</f>
        <v>0.9395</v>
      </c>
      <c r="H36" s="185"/>
      <c r="I36" s="92">
        <v>45558</v>
      </c>
      <c r="J36" s="93" t="s">
        <v>33</v>
      </c>
      <c r="K36" s="94">
        <f>'District ADAEnrollment'!AB42</f>
        <v>0.96499999999999997</v>
      </c>
      <c r="L36" s="198">
        <f t="shared" si="0"/>
        <v>0.94119999999999993</v>
      </c>
    </row>
    <row r="37" spans="1:12" ht="12.75" x14ac:dyDescent="0.2">
      <c r="A37" s="92">
        <v>45559</v>
      </c>
      <c r="B37" s="93" t="s">
        <v>35</v>
      </c>
      <c r="C37" s="150">
        <f>'District ADAEnrollment'!X43</f>
        <v>0.9335</v>
      </c>
      <c r="D37" s="185"/>
      <c r="E37" s="92">
        <v>45559</v>
      </c>
      <c r="F37" s="93" t="s">
        <v>35</v>
      </c>
      <c r="G37" s="197">
        <f>'District ADAEnrollment'!Z43</f>
        <v>0.95279999999999998</v>
      </c>
      <c r="H37" s="185"/>
      <c r="I37" s="92">
        <v>45559</v>
      </c>
      <c r="J37" s="93" t="s">
        <v>35</v>
      </c>
      <c r="K37" s="94">
        <f>'District ADAEnrollment'!AB43</f>
        <v>0.9516</v>
      </c>
      <c r="L37" s="198">
        <f t="shared" si="0"/>
        <v>0.94596666666666662</v>
      </c>
    </row>
    <row r="38" spans="1:12" ht="12.75" x14ac:dyDescent="0.2">
      <c r="A38" s="92">
        <v>45560</v>
      </c>
      <c r="B38" s="93" t="s">
        <v>37</v>
      </c>
      <c r="C38" s="150">
        <f>'District ADAEnrollment'!X44</f>
        <v>0.94779999999999998</v>
      </c>
      <c r="D38" s="185"/>
      <c r="E38" s="92">
        <v>45560</v>
      </c>
      <c r="F38" s="93" t="s">
        <v>37</v>
      </c>
      <c r="G38" s="197">
        <f>'District ADAEnrollment'!Z44</f>
        <v>0.9577</v>
      </c>
      <c r="H38" s="185"/>
      <c r="I38" s="92">
        <v>45560</v>
      </c>
      <c r="J38" s="93" t="s">
        <v>37</v>
      </c>
      <c r="K38" s="94">
        <f>'District ADAEnrollment'!AB44</f>
        <v>0.9758</v>
      </c>
      <c r="L38" s="198">
        <f t="shared" si="0"/>
        <v>0.96043333333333336</v>
      </c>
    </row>
    <row r="39" spans="1:12" ht="12.75" x14ac:dyDescent="0.2">
      <c r="A39" s="92">
        <v>45561</v>
      </c>
      <c r="B39" s="93" t="s">
        <v>39</v>
      </c>
      <c r="C39" s="150">
        <f>'District ADAEnrollment'!X45</f>
        <v>0.93769999999999998</v>
      </c>
      <c r="D39" s="185"/>
      <c r="E39" s="92">
        <v>45561</v>
      </c>
      <c r="F39" s="93" t="s">
        <v>39</v>
      </c>
      <c r="G39" s="197">
        <f>'District ADAEnrollment'!Z45</f>
        <v>0.94140000000000001</v>
      </c>
      <c r="H39" s="185"/>
      <c r="I39" s="92">
        <v>45561</v>
      </c>
      <c r="J39" s="93" t="s">
        <v>39</v>
      </c>
      <c r="K39" s="94">
        <f>'District ADAEnrollment'!AB45</f>
        <v>0.97360000000000002</v>
      </c>
      <c r="L39" s="198">
        <f t="shared" si="0"/>
        <v>0.95089999999999997</v>
      </c>
    </row>
    <row r="40" spans="1:12" ht="12.75" x14ac:dyDescent="0.2">
      <c r="A40" s="92">
        <v>45562</v>
      </c>
      <c r="B40" s="93" t="s">
        <v>41</v>
      </c>
      <c r="C40" s="150">
        <f>'District ADAEnrollment'!X46</f>
        <v>0.92530000000000001</v>
      </c>
      <c r="D40" s="185"/>
      <c r="E40" s="92">
        <v>45562</v>
      </c>
      <c r="F40" s="93" t="s">
        <v>41</v>
      </c>
      <c r="G40" s="197">
        <f>'District ADAEnrollment'!Z46</f>
        <v>0.92510000000000003</v>
      </c>
      <c r="H40" s="185"/>
      <c r="I40" s="92">
        <v>45562</v>
      </c>
      <c r="J40" s="93" t="s">
        <v>41</v>
      </c>
      <c r="K40" s="94">
        <f>'District ADAEnrollment'!AB46</f>
        <v>0.96699999999999997</v>
      </c>
      <c r="L40" s="198">
        <f t="shared" si="0"/>
        <v>0.93913333333333338</v>
      </c>
    </row>
    <row r="41" spans="1:12" ht="12.75" x14ac:dyDescent="0.2">
      <c r="A41" s="92">
        <v>45565</v>
      </c>
      <c r="B41" s="93" t="s">
        <v>33</v>
      </c>
      <c r="C41" s="150">
        <f>'District ADAEnrollment'!X47</f>
        <v>0.93369999999999997</v>
      </c>
      <c r="D41" s="185"/>
      <c r="E41" s="92">
        <v>45565</v>
      </c>
      <c r="F41" s="93" t="s">
        <v>33</v>
      </c>
      <c r="G41" s="197">
        <f>'District ADAEnrollment'!Z47</f>
        <v>0.95920000000000005</v>
      </c>
      <c r="H41" s="185"/>
      <c r="I41" s="92">
        <v>45565</v>
      </c>
      <c r="J41" s="93" t="s">
        <v>33</v>
      </c>
      <c r="K41" s="94">
        <f>'District ADAEnrollment'!AB47</f>
        <v>0.95860000000000001</v>
      </c>
      <c r="L41" s="198">
        <f t="shared" si="0"/>
        <v>0.95050000000000001</v>
      </c>
    </row>
    <row r="42" spans="1:12" ht="12.75" x14ac:dyDescent="0.2">
      <c r="A42" s="92">
        <v>45566</v>
      </c>
      <c r="B42" s="93" t="s">
        <v>35</v>
      </c>
      <c r="C42" s="150">
        <f>'District ADAEnrollment'!X48</f>
        <v>0.93969999999999998</v>
      </c>
      <c r="D42" s="185"/>
      <c r="E42" s="92">
        <v>45566</v>
      </c>
      <c r="F42" s="93" t="s">
        <v>35</v>
      </c>
      <c r="G42" s="197">
        <f>'District ADAEnrollment'!Z48</f>
        <v>0.95599999999999996</v>
      </c>
      <c r="H42" s="185"/>
      <c r="I42" s="92">
        <v>45566</v>
      </c>
      <c r="J42" s="93" t="s">
        <v>35</v>
      </c>
      <c r="K42" s="94">
        <f>'District ADAEnrollment'!AB48</f>
        <v>0.9758</v>
      </c>
      <c r="L42" s="198">
        <f t="shared" si="0"/>
        <v>0.95716666666666672</v>
      </c>
    </row>
    <row r="43" spans="1:12" ht="12.75" x14ac:dyDescent="0.2">
      <c r="A43" s="92">
        <v>45567</v>
      </c>
      <c r="B43" s="93" t="s">
        <v>37</v>
      </c>
      <c r="C43" s="150">
        <f>'District ADAEnrollment'!X49</f>
        <v>0.93710000000000004</v>
      </c>
      <c r="D43" s="185"/>
      <c r="E43" s="92">
        <v>45567</v>
      </c>
      <c r="F43" s="93" t="s">
        <v>37</v>
      </c>
      <c r="G43" s="197">
        <f>'District ADAEnrollment'!Z49</f>
        <v>0.96279999999999999</v>
      </c>
      <c r="H43" s="185"/>
      <c r="I43" s="92">
        <v>45567</v>
      </c>
      <c r="J43" s="93" t="s">
        <v>37</v>
      </c>
      <c r="K43" s="94">
        <f>'District ADAEnrollment'!AB49</f>
        <v>0.96699999999999997</v>
      </c>
      <c r="L43" s="198">
        <f t="shared" si="0"/>
        <v>0.95563333333333345</v>
      </c>
    </row>
    <row r="44" spans="1:12" ht="12.75" x14ac:dyDescent="0.2">
      <c r="A44" s="92">
        <v>45568</v>
      </c>
      <c r="B44" s="93" t="s">
        <v>39</v>
      </c>
      <c r="C44" s="150">
        <f>'District ADAEnrollment'!X50</f>
        <v>0.94130000000000003</v>
      </c>
      <c r="D44" s="185"/>
      <c r="E44" s="92">
        <v>45568</v>
      </c>
      <c r="F44" s="93" t="s">
        <v>39</v>
      </c>
      <c r="G44" s="197">
        <f>'District ADAEnrollment'!Z50</f>
        <v>0.93689999999999996</v>
      </c>
      <c r="H44" s="185"/>
      <c r="I44" s="92">
        <v>45568</v>
      </c>
      <c r="J44" s="93" t="s">
        <v>39</v>
      </c>
      <c r="K44" s="94">
        <f>'District ADAEnrollment'!AB50</f>
        <v>0.98460000000000003</v>
      </c>
      <c r="L44" s="198">
        <f t="shared" si="0"/>
        <v>0.95426666666666671</v>
      </c>
    </row>
    <row r="45" spans="1:12" ht="12.75" x14ac:dyDescent="0.2">
      <c r="A45" s="92">
        <v>45569</v>
      </c>
      <c r="B45" s="93" t="s">
        <v>41</v>
      </c>
      <c r="C45" s="150">
        <f>'District ADAEnrollment'!X51</f>
        <v>0.92090000000000005</v>
      </c>
      <c r="D45" s="185"/>
      <c r="E45" s="92">
        <v>45569</v>
      </c>
      <c r="F45" s="93" t="s">
        <v>41</v>
      </c>
      <c r="G45" s="197">
        <f>'District ADAEnrollment'!Z51</f>
        <v>0.94650000000000001</v>
      </c>
      <c r="H45" s="185"/>
      <c r="I45" s="92">
        <v>45569</v>
      </c>
      <c r="J45" s="93" t="s">
        <v>41</v>
      </c>
      <c r="K45" s="94">
        <f>'District ADAEnrollment'!AB51</f>
        <v>0.95599999999999996</v>
      </c>
      <c r="L45" s="198">
        <f t="shared" si="0"/>
        <v>0.94113333333333327</v>
      </c>
    </row>
    <row r="46" spans="1:12" ht="12.75" x14ac:dyDescent="0.2">
      <c r="A46" s="103">
        <v>45572</v>
      </c>
      <c r="B46" s="104" t="s">
        <v>33</v>
      </c>
      <c r="C46" s="150">
        <f>'District ADAEnrollment'!X52</f>
        <v>0</v>
      </c>
      <c r="D46" s="185"/>
      <c r="E46" s="103">
        <v>45572</v>
      </c>
      <c r="F46" s="104" t="s">
        <v>33</v>
      </c>
      <c r="G46" s="197">
        <f>'District ADAEnrollment'!Z52</f>
        <v>0</v>
      </c>
      <c r="H46" s="185"/>
      <c r="I46" s="103">
        <v>45572</v>
      </c>
      <c r="J46" s="104" t="s">
        <v>33</v>
      </c>
      <c r="K46" s="94">
        <f>'District ADAEnrollment'!AB52</f>
        <v>0</v>
      </c>
      <c r="L46" s="198">
        <f t="shared" si="0"/>
        <v>0</v>
      </c>
    </row>
    <row r="47" spans="1:12" ht="12.75" x14ac:dyDescent="0.2">
      <c r="A47" s="103">
        <v>45573</v>
      </c>
      <c r="B47" s="104" t="s">
        <v>35</v>
      </c>
      <c r="C47" s="150">
        <f>'District ADAEnrollment'!X53</f>
        <v>0</v>
      </c>
      <c r="D47" s="185"/>
      <c r="E47" s="103">
        <v>45573</v>
      </c>
      <c r="F47" s="104" t="s">
        <v>35</v>
      </c>
      <c r="G47" s="197">
        <f>'District ADAEnrollment'!Z53</f>
        <v>0</v>
      </c>
      <c r="H47" s="185"/>
      <c r="I47" s="103">
        <v>45573</v>
      </c>
      <c r="J47" s="104" t="s">
        <v>35</v>
      </c>
      <c r="K47" s="94">
        <f>'District ADAEnrollment'!AB53</f>
        <v>0</v>
      </c>
      <c r="L47" s="198">
        <f t="shared" si="0"/>
        <v>0</v>
      </c>
    </row>
    <row r="48" spans="1:12" ht="12.75" x14ac:dyDescent="0.2">
      <c r="A48" s="103">
        <v>45574</v>
      </c>
      <c r="B48" s="104" t="s">
        <v>37</v>
      </c>
      <c r="C48" s="150">
        <f>'District ADAEnrollment'!X54</f>
        <v>0</v>
      </c>
      <c r="D48" s="185"/>
      <c r="E48" s="103">
        <v>45574</v>
      </c>
      <c r="F48" s="104" t="s">
        <v>37</v>
      </c>
      <c r="G48" s="197">
        <f>'District ADAEnrollment'!Z54</f>
        <v>0</v>
      </c>
      <c r="H48" s="185"/>
      <c r="I48" s="103">
        <v>45574</v>
      </c>
      <c r="J48" s="104" t="s">
        <v>37</v>
      </c>
      <c r="K48" s="94">
        <f>'District ADAEnrollment'!AB54</f>
        <v>0</v>
      </c>
      <c r="L48" s="198">
        <f t="shared" si="0"/>
        <v>0</v>
      </c>
    </row>
    <row r="49" spans="1:26" ht="12.75" x14ac:dyDescent="0.2">
      <c r="A49" s="103">
        <v>45575</v>
      </c>
      <c r="B49" s="104" t="s">
        <v>39</v>
      </c>
      <c r="C49" s="150">
        <f>'District ADAEnrollment'!X55</f>
        <v>0</v>
      </c>
      <c r="D49" s="185"/>
      <c r="E49" s="103">
        <v>45575</v>
      </c>
      <c r="F49" s="104" t="s">
        <v>39</v>
      </c>
      <c r="G49" s="197">
        <f>'District ADAEnrollment'!Z55</f>
        <v>0</v>
      </c>
      <c r="H49" s="185"/>
      <c r="I49" s="103">
        <v>45575</v>
      </c>
      <c r="J49" s="104" t="s">
        <v>39</v>
      </c>
      <c r="K49" s="94">
        <f>'District ADAEnrollment'!AB55</f>
        <v>0</v>
      </c>
      <c r="L49" s="198">
        <f t="shared" si="0"/>
        <v>0</v>
      </c>
    </row>
    <row r="50" spans="1:26" ht="12.75" x14ac:dyDescent="0.2">
      <c r="A50" s="103">
        <v>45576</v>
      </c>
      <c r="B50" s="104" t="s">
        <v>41</v>
      </c>
      <c r="C50" s="150">
        <f>'District ADAEnrollment'!X56</f>
        <v>0</v>
      </c>
      <c r="D50" s="185"/>
      <c r="E50" s="103">
        <v>45576</v>
      </c>
      <c r="F50" s="104" t="s">
        <v>41</v>
      </c>
      <c r="G50" s="197">
        <f>'District ADAEnrollment'!Z56</f>
        <v>0</v>
      </c>
      <c r="H50" s="185"/>
      <c r="I50" s="103">
        <v>45576</v>
      </c>
      <c r="J50" s="104" t="s">
        <v>41</v>
      </c>
      <c r="K50" s="94">
        <f>'District ADAEnrollment'!AB56</f>
        <v>0</v>
      </c>
      <c r="L50" s="198">
        <f t="shared" si="0"/>
        <v>0</v>
      </c>
    </row>
    <row r="51" spans="1:26" ht="12.75" x14ac:dyDescent="0.2">
      <c r="A51" s="92">
        <v>45579</v>
      </c>
      <c r="B51" s="93" t="s">
        <v>33</v>
      </c>
      <c r="C51" s="150">
        <f>'District ADAEnrollment'!X57</f>
        <v>0.92520000000000002</v>
      </c>
      <c r="D51" s="185"/>
      <c r="E51" s="92">
        <v>45579</v>
      </c>
      <c r="F51" s="93" t="s">
        <v>33</v>
      </c>
      <c r="G51" s="197">
        <f>'District ADAEnrollment'!Z57</f>
        <v>0.91439999999999999</v>
      </c>
      <c r="H51" s="185"/>
      <c r="I51" s="92">
        <v>45579</v>
      </c>
      <c r="J51" s="93" t="s">
        <v>33</v>
      </c>
      <c r="K51" s="94">
        <f>'District ADAEnrollment'!AB57</f>
        <v>0.9516</v>
      </c>
      <c r="L51" s="198">
        <f t="shared" si="0"/>
        <v>0.9304</v>
      </c>
    </row>
    <row r="52" spans="1:26" ht="12.75" x14ac:dyDescent="0.2">
      <c r="A52" s="92">
        <v>45580</v>
      </c>
      <c r="B52" s="93" t="s">
        <v>35</v>
      </c>
      <c r="C52" s="150">
        <f>'District ADAEnrollment'!X58</f>
        <v>0.93940000000000001</v>
      </c>
      <c r="D52" s="185"/>
      <c r="E52" s="92">
        <v>45580</v>
      </c>
      <c r="F52" s="93" t="s">
        <v>35</v>
      </c>
      <c r="G52" s="197">
        <f>'District ADAEnrollment'!Z58</f>
        <v>0.96279999999999999</v>
      </c>
      <c r="H52" s="185"/>
      <c r="I52" s="92">
        <v>45580</v>
      </c>
      <c r="J52" s="93" t="s">
        <v>35</v>
      </c>
      <c r="K52" s="94">
        <f>'District ADAEnrollment'!AB58</f>
        <v>0.96260000000000001</v>
      </c>
      <c r="L52" s="198">
        <f t="shared" si="0"/>
        <v>0.9549333333333333</v>
      </c>
    </row>
    <row r="53" spans="1:26" ht="12.75" x14ac:dyDescent="0.2">
      <c r="A53" s="92">
        <v>45581</v>
      </c>
      <c r="B53" s="93" t="s">
        <v>37</v>
      </c>
      <c r="C53" s="150">
        <f>'District ADAEnrollment'!X59</f>
        <v>0.9617</v>
      </c>
      <c r="D53" s="185"/>
      <c r="E53" s="92">
        <v>45581</v>
      </c>
      <c r="F53" s="93" t="s">
        <v>37</v>
      </c>
      <c r="G53" s="197">
        <f>'District ADAEnrollment'!Z59</f>
        <v>0.90790000000000004</v>
      </c>
      <c r="H53" s="185"/>
      <c r="I53" s="92">
        <v>45581</v>
      </c>
      <c r="J53" s="93" t="s">
        <v>37</v>
      </c>
      <c r="K53" s="94">
        <f>'District ADAEnrollment'!AB59</f>
        <v>0.98680000000000001</v>
      </c>
      <c r="L53" s="198">
        <f t="shared" si="0"/>
        <v>0.95213333333333328</v>
      </c>
    </row>
    <row r="54" spans="1:26" ht="12.75" x14ac:dyDescent="0.2">
      <c r="A54" s="92">
        <v>45582</v>
      </c>
      <c r="B54" s="93" t="s">
        <v>39</v>
      </c>
      <c r="C54" s="150">
        <f>'District ADAEnrollment'!X60</f>
        <v>0.93869999999999998</v>
      </c>
      <c r="D54" s="185"/>
      <c r="E54" s="92">
        <v>45582</v>
      </c>
      <c r="F54" s="93" t="s">
        <v>39</v>
      </c>
      <c r="G54" s="197">
        <f>'District ADAEnrollment'!Z60</f>
        <v>0.93369999999999997</v>
      </c>
      <c r="H54" s="185"/>
      <c r="I54" s="92">
        <v>45582</v>
      </c>
      <c r="J54" s="93" t="s">
        <v>39</v>
      </c>
      <c r="K54" s="94">
        <f>'District ADAEnrollment'!AB60</f>
        <v>0.97360000000000002</v>
      </c>
      <c r="L54" s="198">
        <f t="shared" si="0"/>
        <v>0.94866666666666666</v>
      </c>
    </row>
    <row r="55" spans="1:26" ht="12.75" x14ac:dyDescent="0.2">
      <c r="A55" s="92">
        <v>45583</v>
      </c>
      <c r="B55" s="93" t="s">
        <v>41</v>
      </c>
      <c r="C55" s="150">
        <f>'District ADAEnrollment'!X61</f>
        <v>0.92610000000000003</v>
      </c>
      <c r="D55" s="185"/>
      <c r="E55" s="92">
        <v>45583</v>
      </c>
      <c r="F55" s="93" t="s">
        <v>41</v>
      </c>
      <c r="G55" s="197">
        <f>'District ADAEnrollment'!Z61</f>
        <v>0.91900000000000004</v>
      </c>
      <c r="H55" s="185"/>
      <c r="I55" s="92">
        <v>45583</v>
      </c>
      <c r="J55" s="93" t="s">
        <v>41</v>
      </c>
      <c r="K55" s="94">
        <f>'District ADAEnrollment'!AB61</f>
        <v>0.96699999999999997</v>
      </c>
      <c r="L55" s="198">
        <f t="shared" si="0"/>
        <v>0.93736666666666668</v>
      </c>
    </row>
    <row r="56" spans="1:26" ht="12.75" x14ac:dyDescent="0.2">
      <c r="A56" s="92">
        <v>45586</v>
      </c>
      <c r="B56" s="93" t="s">
        <v>33</v>
      </c>
      <c r="C56" s="150">
        <f>'District ADAEnrollment'!X62</f>
        <v>0.93410000000000004</v>
      </c>
      <c r="D56" s="185"/>
      <c r="E56" s="92">
        <v>45586</v>
      </c>
      <c r="F56" s="93" t="s">
        <v>33</v>
      </c>
      <c r="G56" s="197">
        <f>'District ADAEnrollment'!Z62</f>
        <v>0.93840000000000001</v>
      </c>
      <c r="H56" s="185"/>
      <c r="I56" s="92">
        <v>45586</v>
      </c>
      <c r="J56" s="93" t="s">
        <v>33</v>
      </c>
      <c r="K56" s="94">
        <f>'District ADAEnrollment'!AB62</f>
        <v>0.95820000000000005</v>
      </c>
      <c r="L56" s="198">
        <f t="shared" si="0"/>
        <v>0.94356666666666678</v>
      </c>
    </row>
    <row r="57" spans="1:26" ht="12.75" x14ac:dyDescent="0.2">
      <c r="A57" s="92">
        <v>45587</v>
      </c>
      <c r="B57" s="93" t="s">
        <v>35</v>
      </c>
      <c r="C57" s="150">
        <f>'District ADAEnrollment'!X63</f>
        <v>0.94350000000000001</v>
      </c>
      <c r="D57" s="185"/>
      <c r="E57" s="92">
        <v>45587</v>
      </c>
      <c r="F57" s="93" t="s">
        <v>35</v>
      </c>
      <c r="G57" s="197">
        <f>'District ADAEnrollment'!Z63</f>
        <v>0.94189999999999996</v>
      </c>
      <c r="H57" s="185"/>
      <c r="I57" s="92">
        <v>45587</v>
      </c>
      <c r="J57" s="93" t="s">
        <v>35</v>
      </c>
      <c r="K57" s="94">
        <f>'District ADAEnrollment'!AB63</f>
        <v>0.96260000000000001</v>
      </c>
      <c r="L57" s="198">
        <f t="shared" si="0"/>
        <v>0.94933333333333325</v>
      </c>
    </row>
    <row r="58" spans="1:26" ht="12.75" x14ac:dyDescent="0.2">
      <c r="A58" s="92">
        <v>45588</v>
      </c>
      <c r="B58" s="93" t="s">
        <v>37</v>
      </c>
      <c r="C58" s="150">
        <f>'District ADAEnrollment'!X64</f>
        <v>0.93220000000000003</v>
      </c>
      <c r="D58" s="185"/>
      <c r="E58" s="92">
        <v>45588</v>
      </c>
      <c r="F58" s="93" t="s">
        <v>37</v>
      </c>
      <c r="G58" s="197">
        <f>'District ADAEnrollment'!Z64</f>
        <v>0.94030000000000002</v>
      </c>
      <c r="H58" s="185"/>
      <c r="I58" s="92">
        <v>45588</v>
      </c>
      <c r="J58" s="93" t="s">
        <v>37</v>
      </c>
      <c r="K58" s="94">
        <f>'District ADAEnrollment'!AB64</f>
        <v>0.94950000000000001</v>
      </c>
      <c r="L58" s="198">
        <f t="shared" si="0"/>
        <v>0.94066666666666665</v>
      </c>
    </row>
    <row r="59" spans="1:26" ht="12.75" x14ac:dyDescent="0.2">
      <c r="A59" s="92">
        <v>45589</v>
      </c>
      <c r="B59" s="93" t="s">
        <v>39</v>
      </c>
      <c r="C59" s="150">
        <f>'District ADAEnrollment'!X65</f>
        <v>0.92720000000000002</v>
      </c>
      <c r="D59" s="185"/>
      <c r="E59" s="92">
        <v>45589</v>
      </c>
      <c r="F59" s="93" t="s">
        <v>39</v>
      </c>
      <c r="G59" s="197">
        <f>'District ADAEnrollment'!Z65</f>
        <v>0.93059999999999998</v>
      </c>
      <c r="H59" s="185"/>
      <c r="I59" s="92">
        <v>45589</v>
      </c>
      <c r="J59" s="93" t="s">
        <v>39</v>
      </c>
      <c r="K59" s="94">
        <f>'District ADAEnrollment'!AB65</f>
        <v>0.94510000000000005</v>
      </c>
      <c r="L59" s="198">
        <f t="shared" si="0"/>
        <v>0.93430000000000002</v>
      </c>
    </row>
    <row r="60" spans="1:26" ht="12.75" x14ac:dyDescent="0.2">
      <c r="A60" s="92">
        <v>45590</v>
      </c>
      <c r="B60" s="93" t="s">
        <v>41</v>
      </c>
      <c r="C60" s="150">
        <f>'District ADAEnrollment'!X66</f>
        <v>0.93030000000000002</v>
      </c>
      <c r="D60" s="185"/>
      <c r="E60" s="92">
        <v>45590</v>
      </c>
      <c r="F60" s="93" t="s">
        <v>41</v>
      </c>
      <c r="G60" s="197">
        <f>'District ADAEnrollment'!Z66</f>
        <v>0.92579999999999996</v>
      </c>
      <c r="H60" s="185"/>
      <c r="I60" s="92">
        <v>45590</v>
      </c>
      <c r="J60" s="93" t="s">
        <v>41</v>
      </c>
      <c r="K60" s="94">
        <f>'District ADAEnrollment'!AB66</f>
        <v>0.96040000000000003</v>
      </c>
      <c r="L60" s="198">
        <f t="shared" si="0"/>
        <v>0.9388333333333333</v>
      </c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</row>
    <row r="61" spans="1:26" ht="12.75" x14ac:dyDescent="0.2">
      <c r="A61" s="92">
        <v>45593</v>
      </c>
      <c r="B61" s="93" t="s">
        <v>33</v>
      </c>
      <c r="C61" s="150">
        <f>'District ADAEnrollment'!X67</f>
        <v>0.92569999999999997</v>
      </c>
      <c r="D61" s="185"/>
      <c r="E61" s="92">
        <v>45593</v>
      </c>
      <c r="F61" s="93" t="s">
        <v>33</v>
      </c>
      <c r="G61" s="197">
        <f>'District ADAEnrollment'!Z67</f>
        <v>0.95009999999999994</v>
      </c>
      <c r="H61" s="185"/>
      <c r="I61" s="92">
        <v>45593</v>
      </c>
      <c r="J61" s="93" t="s">
        <v>33</v>
      </c>
      <c r="K61" s="94">
        <f>'District ADAEnrollment'!AB67</f>
        <v>0.94289999999999996</v>
      </c>
      <c r="L61" s="198">
        <f t="shared" si="0"/>
        <v>0.93956666666666655</v>
      </c>
    </row>
    <row r="62" spans="1:26" ht="12.75" x14ac:dyDescent="0.2">
      <c r="A62" s="92">
        <v>45594</v>
      </c>
      <c r="B62" s="93" t="s">
        <v>35</v>
      </c>
      <c r="C62" s="150">
        <f>'District ADAEnrollment'!X68</f>
        <v>0.93710000000000004</v>
      </c>
      <c r="D62" s="185"/>
      <c r="E62" s="92">
        <v>45594</v>
      </c>
      <c r="F62" s="93" t="s">
        <v>35</v>
      </c>
      <c r="G62" s="197">
        <f>'District ADAEnrollment'!Z68</f>
        <v>0.94020000000000004</v>
      </c>
      <c r="H62" s="185"/>
      <c r="I62" s="92">
        <v>45594</v>
      </c>
      <c r="J62" s="93" t="s">
        <v>35</v>
      </c>
      <c r="K62" s="94">
        <f>'District ADAEnrollment'!AB68</f>
        <v>0.98019999999999996</v>
      </c>
      <c r="L62" s="198">
        <f t="shared" si="0"/>
        <v>0.95250000000000001</v>
      </c>
    </row>
    <row r="63" spans="1:26" ht="12.75" x14ac:dyDescent="0.2">
      <c r="A63" s="92">
        <v>45595</v>
      </c>
      <c r="B63" s="93" t="s">
        <v>37</v>
      </c>
      <c r="C63" s="150">
        <f>'District ADAEnrollment'!X69</f>
        <v>0.9375</v>
      </c>
      <c r="D63" s="185"/>
      <c r="E63" s="92">
        <v>45595</v>
      </c>
      <c r="F63" s="93" t="s">
        <v>37</v>
      </c>
      <c r="G63" s="197">
        <f>'District ADAEnrollment'!Z69</f>
        <v>0.95</v>
      </c>
      <c r="H63" s="185"/>
      <c r="I63" s="92">
        <v>45595</v>
      </c>
      <c r="J63" s="93" t="s">
        <v>37</v>
      </c>
      <c r="K63" s="94">
        <f>'District ADAEnrollment'!AB69</f>
        <v>0.97140000000000004</v>
      </c>
      <c r="L63" s="198">
        <f t="shared" si="0"/>
        <v>0.95296666666666674</v>
      </c>
    </row>
    <row r="64" spans="1:26" ht="12.75" x14ac:dyDescent="0.2">
      <c r="A64" s="92">
        <v>45596</v>
      </c>
      <c r="B64" s="93" t="s">
        <v>39</v>
      </c>
      <c r="C64" s="150">
        <f>'District ADAEnrollment'!X70</f>
        <v>0.93320000000000003</v>
      </c>
      <c r="D64" s="185"/>
      <c r="E64" s="92">
        <v>45596</v>
      </c>
      <c r="F64" s="93" t="s">
        <v>39</v>
      </c>
      <c r="G64" s="197">
        <f>'District ADAEnrollment'!Z70</f>
        <v>0.93700000000000006</v>
      </c>
      <c r="H64" s="185"/>
      <c r="I64" s="92">
        <v>45596</v>
      </c>
      <c r="J64" s="93" t="s">
        <v>39</v>
      </c>
      <c r="K64" s="94">
        <f>'District ADAEnrollment'!AB70</f>
        <v>0.97360000000000002</v>
      </c>
      <c r="L64" s="198">
        <f t="shared" si="0"/>
        <v>0.94793333333333329</v>
      </c>
    </row>
    <row r="65" spans="1:12" ht="12.75" x14ac:dyDescent="0.2">
      <c r="A65" s="92">
        <v>45597</v>
      </c>
      <c r="B65" s="93" t="s">
        <v>41</v>
      </c>
      <c r="C65" s="150">
        <f>'District ADAEnrollment'!X71</f>
        <v>0.88649999999999995</v>
      </c>
      <c r="D65" s="185"/>
      <c r="E65" s="92">
        <v>45597</v>
      </c>
      <c r="F65" s="93" t="s">
        <v>41</v>
      </c>
      <c r="G65" s="197">
        <f>'District ADAEnrollment'!Z71</f>
        <v>0.89159999999999995</v>
      </c>
      <c r="H65" s="185"/>
      <c r="I65" s="92">
        <v>45597</v>
      </c>
      <c r="J65" s="93" t="s">
        <v>41</v>
      </c>
      <c r="K65" s="94">
        <f>'District ADAEnrollment'!AB71</f>
        <v>0.96040000000000003</v>
      </c>
      <c r="L65" s="198">
        <f t="shared" si="0"/>
        <v>0.91283333333333327</v>
      </c>
    </row>
    <row r="66" spans="1:12" ht="12.75" x14ac:dyDescent="0.2">
      <c r="A66" s="117">
        <v>45600</v>
      </c>
      <c r="B66" s="118" t="s">
        <v>33</v>
      </c>
      <c r="C66" s="150">
        <f>'District ADAEnrollment'!X72</f>
        <v>0</v>
      </c>
      <c r="D66" s="185"/>
      <c r="E66" s="117">
        <v>45600</v>
      </c>
      <c r="F66" s="118" t="s">
        <v>33</v>
      </c>
      <c r="G66" s="197">
        <f>'District ADAEnrollment'!Z72</f>
        <v>0</v>
      </c>
      <c r="H66" s="185"/>
      <c r="I66" s="117">
        <v>45600</v>
      </c>
      <c r="J66" s="118" t="s">
        <v>33</v>
      </c>
      <c r="K66" s="94">
        <f>'District ADAEnrollment'!AB72</f>
        <v>0</v>
      </c>
      <c r="L66" s="198">
        <f t="shared" si="0"/>
        <v>0</v>
      </c>
    </row>
    <row r="67" spans="1:12" ht="12.75" x14ac:dyDescent="0.2">
      <c r="A67" s="109">
        <v>45601</v>
      </c>
      <c r="B67" s="110" t="s">
        <v>35</v>
      </c>
      <c r="C67" s="150">
        <f>'District ADAEnrollment'!X73</f>
        <v>0</v>
      </c>
      <c r="D67" s="185"/>
      <c r="E67" s="109">
        <v>45601</v>
      </c>
      <c r="F67" s="110" t="s">
        <v>35</v>
      </c>
      <c r="G67" s="197">
        <f>'District ADAEnrollment'!Z73</f>
        <v>0</v>
      </c>
      <c r="H67" s="185"/>
      <c r="I67" s="109">
        <v>45601</v>
      </c>
      <c r="J67" s="110" t="s">
        <v>35</v>
      </c>
      <c r="K67" s="94">
        <f>'District ADAEnrollment'!AB73</f>
        <v>0</v>
      </c>
      <c r="L67" s="198">
        <f t="shared" si="0"/>
        <v>0</v>
      </c>
    </row>
    <row r="68" spans="1:12" ht="12.75" x14ac:dyDescent="0.2">
      <c r="A68" s="92">
        <v>45602</v>
      </c>
      <c r="B68" s="93" t="s">
        <v>37</v>
      </c>
      <c r="C68" s="150">
        <f>'District ADAEnrollment'!X74</f>
        <v>0.94079999999999997</v>
      </c>
      <c r="D68" s="185"/>
      <c r="E68" s="92">
        <v>45602</v>
      </c>
      <c r="F68" s="93" t="s">
        <v>37</v>
      </c>
      <c r="G68" s="197">
        <f>'District ADAEnrollment'!Z74</f>
        <v>0.95109999999999995</v>
      </c>
      <c r="H68" s="185"/>
      <c r="I68" s="92">
        <v>45602</v>
      </c>
      <c r="J68" s="93" t="s">
        <v>37</v>
      </c>
      <c r="K68" s="94">
        <f>'District ADAEnrollment'!AB74</f>
        <v>0.98460000000000003</v>
      </c>
      <c r="L68" s="198">
        <f t="shared" si="0"/>
        <v>0.95883333333333332</v>
      </c>
    </row>
    <row r="69" spans="1:12" ht="12.75" x14ac:dyDescent="0.2">
      <c r="A69" s="92">
        <v>45603</v>
      </c>
      <c r="B69" s="93" t="s">
        <v>39</v>
      </c>
      <c r="C69" s="150">
        <f>'District ADAEnrollment'!X75</f>
        <v>0.91459999999999997</v>
      </c>
      <c r="D69" s="185"/>
      <c r="E69" s="92">
        <v>45603</v>
      </c>
      <c r="F69" s="93" t="s">
        <v>39</v>
      </c>
      <c r="G69" s="197">
        <f>'District ADAEnrollment'!Z75</f>
        <v>0.94940000000000002</v>
      </c>
      <c r="H69" s="185"/>
      <c r="I69" s="92">
        <v>45603</v>
      </c>
      <c r="J69" s="93" t="s">
        <v>39</v>
      </c>
      <c r="K69" s="94">
        <f>'District ADAEnrollment'!AB75</f>
        <v>0.98019999999999996</v>
      </c>
      <c r="L69" s="198">
        <f t="shared" si="0"/>
        <v>0.94806666666666661</v>
      </c>
    </row>
    <row r="70" spans="1:12" ht="12.75" x14ac:dyDescent="0.2">
      <c r="A70" s="92">
        <v>45604</v>
      </c>
      <c r="B70" s="93" t="s">
        <v>41</v>
      </c>
      <c r="C70" s="150">
        <f>'District ADAEnrollment'!X76</f>
        <v>0.91610000000000003</v>
      </c>
      <c r="D70" s="185"/>
      <c r="E70" s="92">
        <v>45604</v>
      </c>
      <c r="F70" s="93" t="s">
        <v>41</v>
      </c>
      <c r="G70" s="197">
        <f>'District ADAEnrollment'!Z76</f>
        <v>0.93010000000000004</v>
      </c>
      <c r="H70" s="185"/>
      <c r="I70" s="92">
        <v>45604</v>
      </c>
      <c r="J70" s="93" t="s">
        <v>41</v>
      </c>
      <c r="K70" s="94">
        <f>'District ADAEnrollment'!AB76</f>
        <v>0.95820000000000005</v>
      </c>
      <c r="L70" s="198">
        <f t="shared" si="0"/>
        <v>0.93480000000000008</v>
      </c>
    </row>
    <row r="71" spans="1:12" ht="12.75" x14ac:dyDescent="0.2">
      <c r="A71" s="92">
        <v>45607</v>
      </c>
      <c r="B71" s="93" t="s">
        <v>33</v>
      </c>
      <c r="C71" s="150">
        <f>'District ADAEnrollment'!X77</f>
        <v>0.93020000000000003</v>
      </c>
      <c r="D71" s="185"/>
      <c r="E71" s="92">
        <v>45607</v>
      </c>
      <c r="F71" s="93" t="s">
        <v>33</v>
      </c>
      <c r="G71" s="197">
        <f>'District ADAEnrollment'!Z77</f>
        <v>0.92349999999999999</v>
      </c>
      <c r="H71" s="185"/>
      <c r="I71" s="92">
        <v>45607</v>
      </c>
      <c r="J71" s="93" t="s">
        <v>33</v>
      </c>
      <c r="K71" s="94">
        <f>'District ADAEnrollment'!AB77</f>
        <v>0.94069999999999998</v>
      </c>
      <c r="L71" s="198">
        <f t="shared" si="0"/>
        <v>0.93146666666666667</v>
      </c>
    </row>
    <row r="72" spans="1:12" ht="12.75" x14ac:dyDescent="0.2">
      <c r="A72" s="92">
        <v>45608</v>
      </c>
      <c r="B72" s="93" t="s">
        <v>35</v>
      </c>
      <c r="C72" s="150">
        <f>'District ADAEnrollment'!X78</f>
        <v>0.93210000000000004</v>
      </c>
      <c r="D72" s="185"/>
      <c r="E72" s="92">
        <v>45608</v>
      </c>
      <c r="F72" s="93" t="s">
        <v>35</v>
      </c>
      <c r="G72" s="197">
        <f>'District ADAEnrollment'!Z78</f>
        <v>0.93830000000000002</v>
      </c>
      <c r="H72" s="185"/>
      <c r="I72" s="92">
        <v>45608</v>
      </c>
      <c r="J72" s="93" t="s">
        <v>35</v>
      </c>
      <c r="K72" s="94">
        <f>'District ADAEnrollment'!AB78</f>
        <v>0.93610000000000004</v>
      </c>
      <c r="L72" s="198">
        <f t="shared" si="0"/>
        <v>0.93550000000000011</v>
      </c>
    </row>
    <row r="73" spans="1:12" ht="12.75" x14ac:dyDescent="0.2">
      <c r="A73" s="92">
        <v>45609</v>
      </c>
      <c r="B73" s="93" t="s">
        <v>37</v>
      </c>
      <c r="C73" s="150">
        <f>'District ADAEnrollment'!X79</f>
        <v>0.94420000000000004</v>
      </c>
      <c r="D73" s="185"/>
      <c r="E73" s="92">
        <v>45609</v>
      </c>
      <c r="F73" s="93" t="s">
        <v>37</v>
      </c>
      <c r="G73" s="197">
        <f>'District ADAEnrollment'!Z79</f>
        <v>0.93969999999999998</v>
      </c>
      <c r="H73" s="185"/>
      <c r="I73" s="92">
        <v>45609</v>
      </c>
      <c r="J73" s="93" t="s">
        <v>37</v>
      </c>
      <c r="K73" s="94">
        <f>'District ADAEnrollment'!AB79</f>
        <v>0.95369999999999999</v>
      </c>
      <c r="L73" s="198">
        <f t="shared" si="0"/>
        <v>0.94586666666666674</v>
      </c>
    </row>
    <row r="74" spans="1:12" ht="12.75" x14ac:dyDescent="0.2">
      <c r="A74" s="92">
        <v>45610</v>
      </c>
      <c r="B74" s="93" t="s">
        <v>39</v>
      </c>
      <c r="C74" s="150">
        <f>'District ADAEnrollment'!X80</f>
        <v>0.93700000000000006</v>
      </c>
      <c r="D74" s="185"/>
      <c r="E74" s="92">
        <v>45610</v>
      </c>
      <c r="F74" s="93" t="s">
        <v>39</v>
      </c>
      <c r="G74" s="197">
        <f>'District ADAEnrollment'!Z80</f>
        <v>0.93</v>
      </c>
      <c r="H74" s="185"/>
      <c r="I74" s="92">
        <v>45610</v>
      </c>
      <c r="J74" s="93" t="s">
        <v>39</v>
      </c>
      <c r="K74" s="94">
        <f>'District ADAEnrollment'!AB80</f>
        <v>0.96479999999999999</v>
      </c>
      <c r="L74" s="198">
        <f t="shared" si="0"/>
        <v>0.9439333333333334</v>
      </c>
    </row>
    <row r="75" spans="1:12" ht="12.75" x14ac:dyDescent="0.2">
      <c r="A75" s="92">
        <v>45611</v>
      </c>
      <c r="B75" s="93" t="s">
        <v>41</v>
      </c>
      <c r="C75" s="150">
        <f>'District ADAEnrollment'!X81</f>
        <v>0.92069999999999996</v>
      </c>
      <c r="D75" s="185"/>
      <c r="E75" s="92">
        <v>45611</v>
      </c>
      <c r="F75" s="93" t="s">
        <v>41</v>
      </c>
      <c r="G75" s="197">
        <f>'District ADAEnrollment'!Z81</f>
        <v>0.93159999999999998</v>
      </c>
      <c r="H75" s="185"/>
      <c r="I75" s="92">
        <v>45611</v>
      </c>
      <c r="J75" s="93" t="s">
        <v>41</v>
      </c>
      <c r="K75" s="94">
        <f>'District ADAEnrollment'!AB81</f>
        <v>0.96919999999999995</v>
      </c>
      <c r="L75" s="198">
        <f t="shared" si="0"/>
        <v>0.9405</v>
      </c>
    </row>
    <row r="76" spans="1:12" ht="12.75" x14ac:dyDescent="0.2">
      <c r="A76" s="92">
        <v>45614</v>
      </c>
      <c r="B76" s="93" t="s">
        <v>33</v>
      </c>
      <c r="C76" s="150">
        <f>'District ADAEnrollment'!X82</f>
        <v>0.91649999999999998</v>
      </c>
      <c r="D76" s="185"/>
      <c r="E76" s="92">
        <v>45614</v>
      </c>
      <c r="F76" s="93" t="s">
        <v>33</v>
      </c>
      <c r="G76" s="197">
        <f>'District ADAEnrollment'!Z82</f>
        <v>0.95130000000000003</v>
      </c>
      <c r="H76" s="185"/>
      <c r="I76" s="92">
        <v>45614</v>
      </c>
      <c r="J76" s="93" t="s">
        <v>33</v>
      </c>
      <c r="K76" s="94">
        <f>'District ADAEnrollment'!AB82</f>
        <v>0.96040000000000003</v>
      </c>
      <c r="L76" s="198">
        <f t="shared" si="0"/>
        <v>0.94273333333333342</v>
      </c>
    </row>
    <row r="77" spans="1:12" ht="12.75" x14ac:dyDescent="0.2">
      <c r="A77" s="92">
        <v>45615</v>
      </c>
      <c r="B77" s="93" t="s">
        <v>35</v>
      </c>
      <c r="C77" s="150">
        <f>'District ADAEnrollment'!X83</f>
        <v>0.92410000000000003</v>
      </c>
      <c r="D77" s="185"/>
      <c r="E77" s="92">
        <v>45615</v>
      </c>
      <c r="F77" s="93" t="s">
        <v>35</v>
      </c>
      <c r="G77" s="197">
        <f>'District ADAEnrollment'!Z83</f>
        <v>0.94969999999999999</v>
      </c>
      <c r="H77" s="185"/>
      <c r="I77" s="92">
        <v>45615</v>
      </c>
      <c r="J77" s="93" t="s">
        <v>35</v>
      </c>
      <c r="K77" s="94">
        <f>'District ADAEnrollment'!AB83</f>
        <v>0.97799999999999998</v>
      </c>
      <c r="L77" s="198">
        <f t="shared" si="0"/>
        <v>0.9506</v>
      </c>
    </row>
    <row r="78" spans="1:12" ht="12.75" x14ac:dyDescent="0.2">
      <c r="A78" s="92">
        <v>45616</v>
      </c>
      <c r="B78" s="93" t="s">
        <v>37</v>
      </c>
      <c r="C78" s="150">
        <f>'District ADAEnrollment'!X84</f>
        <v>0.93169999999999997</v>
      </c>
      <c r="D78" s="185"/>
      <c r="E78" s="92">
        <v>45616</v>
      </c>
      <c r="F78" s="93" t="s">
        <v>37</v>
      </c>
      <c r="G78" s="197">
        <f>'District ADAEnrollment'!Z84</f>
        <v>0.93179999999999996</v>
      </c>
      <c r="H78" s="185"/>
      <c r="I78" s="92">
        <v>45616</v>
      </c>
      <c r="J78" s="93" t="s">
        <v>37</v>
      </c>
      <c r="K78" s="94">
        <f>'District ADAEnrollment'!AB84</f>
        <v>0.95809999999999995</v>
      </c>
      <c r="L78" s="198">
        <f t="shared" si="0"/>
        <v>0.94053333333333333</v>
      </c>
    </row>
    <row r="79" spans="1:12" ht="12.75" x14ac:dyDescent="0.2">
      <c r="A79" s="92">
        <v>45617</v>
      </c>
      <c r="B79" s="93" t="s">
        <v>39</v>
      </c>
      <c r="C79" s="150">
        <f>'District ADAEnrollment'!X85</f>
        <v>0.92110000000000003</v>
      </c>
      <c r="D79" s="185"/>
      <c r="E79" s="92">
        <v>45617</v>
      </c>
      <c r="F79" s="93" t="s">
        <v>39</v>
      </c>
      <c r="G79" s="197">
        <f>'District ADAEnrollment'!Z85</f>
        <v>0.9335</v>
      </c>
      <c r="H79" s="185"/>
      <c r="I79" s="92">
        <v>45617</v>
      </c>
      <c r="J79" s="93" t="s">
        <v>39</v>
      </c>
      <c r="K79" s="94">
        <f>'District ADAEnrollment'!AB85</f>
        <v>0.9758</v>
      </c>
      <c r="L79" s="198">
        <f t="shared" si="0"/>
        <v>0.94346666666666668</v>
      </c>
    </row>
    <row r="80" spans="1:12" ht="12.75" x14ac:dyDescent="0.2">
      <c r="A80" s="92">
        <v>45618</v>
      </c>
      <c r="B80" s="93" t="s">
        <v>41</v>
      </c>
      <c r="C80" s="150">
        <f>'District ADAEnrollment'!X86</f>
        <v>0.88690000000000002</v>
      </c>
      <c r="D80" s="185"/>
      <c r="E80" s="92">
        <v>45618</v>
      </c>
      <c r="F80" s="93" t="s">
        <v>41</v>
      </c>
      <c r="G80" s="197">
        <f>'District ADAEnrollment'!Z86</f>
        <v>0.87519999999999998</v>
      </c>
      <c r="H80" s="185"/>
      <c r="I80" s="92">
        <v>45618</v>
      </c>
      <c r="J80" s="93" t="s">
        <v>41</v>
      </c>
      <c r="K80" s="94">
        <f>'District ADAEnrollment'!AB86</f>
        <v>0.90310000000000001</v>
      </c>
      <c r="L80" s="198">
        <f t="shared" si="0"/>
        <v>0.88839999999999997</v>
      </c>
    </row>
    <row r="81" spans="1:12" ht="12.75" x14ac:dyDescent="0.2">
      <c r="A81" s="109">
        <v>45621</v>
      </c>
      <c r="B81" s="110" t="s">
        <v>33</v>
      </c>
      <c r="C81" s="150">
        <f>'District ADAEnrollment'!X87</f>
        <v>0</v>
      </c>
      <c r="D81" s="185"/>
      <c r="E81" s="109">
        <v>45621</v>
      </c>
      <c r="F81" s="110" t="s">
        <v>33</v>
      </c>
      <c r="G81" s="197">
        <f>'District ADAEnrollment'!Z87</f>
        <v>0</v>
      </c>
      <c r="H81" s="185"/>
      <c r="I81" s="109">
        <v>45621</v>
      </c>
      <c r="J81" s="110" t="s">
        <v>33</v>
      </c>
      <c r="K81" s="94">
        <f>'District ADAEnrollment'!AB87</f>
        <v>0</v>
      </c>
      <c r="L81" s="198">
        <f t="shared" si="0"/>
        <v>0</v>
      </c>
    </row>
    <row r="82" spans="1:12" ht="12.75" x14ac:dyDescent="0.2">
      <c r="A82" s="109">
        <v>45622</v>
      </c>
      <c r="B82" s="110" t="s">
        <v>35</v>
      </c>
      <c r="C82" s="150">
        <f>'District ADAEnrollment'!X88</f>
        <v>0</v>
      </c>
      <c r="D82" s="185"/>
      <c r="E82" s="109">
        <v>45622</v>
      </c>
      <c r="F82" s="110" t="s">
        <v>35</v>
      </c>
      <c r="G82" s="197">
        <f>'District ADAEnrollment'!Z88</f>
        <v>0</v>
      </c>
      <c r="H82" s="185"/>
      <c r="I82" s="109">
        <v>45622</v>
      </c>
      <c r="J82" s="110" t="s">
        <v>35</v>
      </c>
      <c r="K82" s="94">
        <f>'District ADAEnrollment'!AB88</f>
        <v>0</v>
      </c>
      <c r="L82" s="198">
        <f t="shared" si="0"/>
        <v>0</v>
      </c>
    </row>
    <row r="83" spans="1:12" ht="12.75" x14ac:dyDescent="0.2">
      <c r="A83" s="109">
        <v>45623</v>
      </c>
      <c r="B83" s="110" t="s">
        <v>37</v>
      </c>
      <c r="C83" s="150">
        <f>'District ADAEnrollment'!X89</f>
        <v>0</v>
      </c>
      <c r="D83" s="185"/>
      <c r="E83" s="109">
        <v>45623</v>
      </c>
      <c r="F83" s="110" t="s">
        <v>37</v>
      </c>
      <c r="G83" s="197">
        <f>'District ADAEnrollment'!Z89</f>
        <v>0</v>
      </c>
      <c r="H83" s="185"/>
      <c r="I83" s="109">
        <v>45623</v>
      </c>
      <c r="J83" s="110" t="s">
        <v>37</v>
      </c>
      <c r="K83" s="94">
        <f>'District ADAEnrollment'!AB89</f>
        <v>0</v>
      </c>
      <c r="L83" s="198">
        <f t="shared" si="0"/>
        <v>0</v>
      </c>
    </row>
    <row r="84" spans="1:12" ht="12.75" x14ac:dyDescent="0.2">
      <c r="A84" s="109">
        <v>45624</v>
      </c>
      <c r="B84" s="110" t="s">
        <v>39</v>
      </c>
      <c r="C84" s="150">
        <f>'District ADAEnrollment'!X90</f>
        <v>0</v>
      </c>
      <c r="D84" s="185"/>
      <c r="E84" s="109">
        <v>45624</v>
      </c>
      <c r="F84" s="110" t="s">
        <v>39</v>
      </c>
      <c r="G84" s="197">
        <f>'District ADAEnrollment'!Z90</f>
        <v>0</v>
      </c>
      <c r="H84" s="185"/>
      <c r="I84" s="109">
        <v>45624</v>
      </c>
      <c r="J84" s="110" t="s">
        <v>39</v>
      </c>
      <c r="K84" s="94">
        <f>'District ADAEnrollment'!AB90</f>
        <v>0</v>
      </c>
      <c r="L84" s="198">
        <f t="shared" si="0"/>
        <v>0</v>
      </c>
    </row>
    <row r="85" spans="1:12" ht="12.75" x14ac:dyDescent="0.2">
      <c r="A85" s="109">
        <v>45625</v>
      </c>
      <c r="B85" s="110" t="s">
        <v>41</v>
      </c>
      <c r="C85" s="150">
        <f>'District ADAEnrollment'!X91</f>
        <v>0</v>
      </c>
      <c r="D85" s="185"/>
      <c r="E85" s="109">
        <v>45625</v>
      </c>
      <c r="F85" s="110" t="s">
        <v>41</v>
      </c>
      <c r="G85" s="197">
        <f>'District ADAEnrollment'!Z91</f>
        <v>0</v>
      </c>
      <c r="H85" s="185"/>
      <c r="I85" s="109">
        <v>45625</v>
      </c>
      <c r="J85" s="110" t="s">
        <v>41</v>
      </c>
      <c r="K85" s="94">
        <f>'District ADAEnrollment'!AB91</f>
        <v>0</v>
      </c>
      <c r="L85" s="198">
        <f t="shared" si="0"/>
        <v>0</v>
      </c>
    </row>
    <row r="86" spans="1:12" ht="12.75" x14ac:dyDescent="0.2">
      <c r="A86" s="92">
        <v>45628</v>
      </c>
      <c r="B86" s="93" t="s">
        <v>33</v>
      </c>
      <c r="C86" s="150">
        <f>'District ADAEnrollment'!X92</f>
        <v>0.91220000000000001</v>
      </c>
      <c r="D86" s="185"/>
      <c r="E86" s="92">
        <v>45628</v>
      </c>
      <c r="F86" s="93" t="s">
        <v>33</v>
      </c>
      <c r="G86" s="197">
        <f>'District ADAEnrollment'!Z92</f>
        <v>0.92689999999999995</v>
      </c>
      <c r="H86" s="185"/>
      <c r="I86" s="92">
        <v>45628</v>
      </c>
      <c r="J86" s="93" t="s">
        <v>33</v>
      </c>
      <c r="K86" s="94">
        <f>'District ADAEnrollment'!AB92</f>
        <v>0.94710000000000005</v>
      </c>
      <c r="L86" s="198">
        <f t="shared" si="0"/>
        <v>0.9287333333333333</v>
      </c>
    </row>
    <row r="87" spans="1:12" ht="12.75" x14ac:dyDescent="0.2">
      <c r="A87" s="92">
        <v>45629</v>
      </c>
      <c r="B87" s="93" t="s">
        <v>35</v>
      </c>
      <c r="C87" s="150">
        <f>'District ADAEnrollment'!X93</f>
        <v>0.93879999999999997</v>
      </c>
      <c r="D87" s="185"/>
      <c r="E87" s="92">
        <v>45629</v>
      </c>
      <c r="F87" s="93" t="s">
        <v>35</v>
      </c>
      <c r="G87" s="197">
        <f>'District ADAEnrollment'!Z93</f>
        <v>0.93510000000000004</v>
      </c>
      <c r="H87" s="185"/>
      <c r="I87" s="92">
        <v>45629</v>
      </c>
      <c r="J87" s="93" t="s">
        <v>35</v>
      </c>
      <c r="K87" s="94">
        <f>'District ADAEnrollment'!AB93</f>
        <v>0.9758</v>
      </c>
      <c r="L87" s="198">
        <f t="shared" si="0"/>
        <v>0.94989999999999997</v>
      </c>
    </row>
    <row r="88" spans="1:12" ht="12.75" x14ac:dyDescent="0.2">
      <c r="A88" s="92">
        <v>45630</v>
      </c>
      <c r="B88" s="93" t="s">
        <v>37</v>
      </c>
      <c r="C88" s="150">
        <f>'District ADAEnrollment'!X94</f>
        <v>0.9365</v>
      </c>
      <c r="D88" s="185"/>
      <c r="E88" s="92">
        <v>45630</v>
      </c>
      <c r="F88" s="93" t="s">
        <v>37</v>
      </c>
      <c r="G88" s="197">
        <f>'District ADAEnrollment'!Z94</f>
        <v>0.94169999999999998</v>
      </c>
      <c r="H88" s="185"/>
      <c r="I88" s="92">
        <v>45630</v>
      </c>
      <c r="J88" s="93" t="s">
        <v>37</v>
      </c>
      <c r="K88" s="94">
        <f>'District ADAEnrollment'!AB94</f>
        <v>0.96040000000000003</v>
      </c>
      <c r="L88" s="198">
        <f t="shared" si="0"/>
        <v>0.94620000000000004</v>
      </c>
    </row>
    <row r="89" spans="1:12" ht="12.75" x14ac:dyDescent="0.2">
      <c r="A89" s="92">
        <v>45631</v>
      </c>
      <c r="B89" s="93" t="s">
        <v>39</v>
      </c>
      <c r="C89" s="150">
        <f>'District ADAEnrollment'!X95</f>
        <v>0.94030000000000002</v>
      </c>
      <c r="D89" s="185"/>
      <c r="E89" s="92">
        <v>45631</v>
      </c>
      <c r="F89" s="93" t="s">
        <v>39</v>
      </c>
      <c r="G89" s="197">
        <f>'District ADAEnrollment'!Z95</f>
        <v>0.94340000000000002</v>
      </c>
      <c r="H89" s="185"/>
      <c r="I89" s="92">
        <v>45631</v>
      </c>
      <c r="J89" s="93" t="s">
        <v>39</v>
      </c>
      <c r="K89" s="94">
        <f>'District ADAEnrollment'!AB95</f>
        <v>0.97140000000000004</v>
      </c>
      <c r="L89" s="198">
        <f t="shared" si="0"/>
        <v>0.9517000000000001</v>
      </c>
    </row>
    <row r="90" spans="1:12" ht="12.75" x14ac:dyDescent="0.2">
      <c r="A90" s="92">
        <v>45632</v>
      </c>
      <c r="B90" s="93" t="s">
        <v>41</v>
      </c>
      <c r="C90" s="150">
        <f>'District ADAEnrollment'!X96</f>
        <v>0.92759999999999998</v>
      </c>
      <c r="D90" s="185"/>
      <c r="E90" s="92">
        <v>45632</v>
      </c>
      <c r="F90" s="93" t="s">
        <v>41</v>
      </c>
      <c r="G90" s="197">
        <f>'District ADAEnrollment'!Z96</f>
        <v>0.93369999999999997</v>
      </c>
      <c r="H90" s="185"/>
      <c r="I90" s="92">
        <v>45632</v>
      </c>
      <c r="J90" s="93" t="s">
        <v>41</v>
      </c>
      <c r="K90" s="94">
        <f>'District ADAEnrollment'!AB96</f>
        <v>0.93389999999999995</v>
      </c>
      <c r="L90" s="198">
        <f t="shared" si="0"/>
        <v>0.9317333333333333</v>
      </c>
    </row>
    <row r="91" spans="1:12" ht="12.75" x14ac:dyDescent="0.2">
      <c r="A91" s="92">
        <v>45635</v>
      </c>
      <c r="B91" s="93" t="s">
        <v>33</v>
      </c>
      <c r="C91" s="150">
        <f>'District ADAEnrollment'!X97</f>
        <v>0.92610000000000003</v>
      </c>
      <c r="D91" s="185"/>
      <c r="E91" s="92">
        <v>45635</v>
      </c>
      <c r="F91" s="93" t="s">
        <v>33</v>
      </c>
      <c r="G91" s="197">
        <f>'District ADAEnrollment'!Z97</f>
        <v>0.95950000000000002</v>
      </c>
      <c r="H91" s="185"/>
      <c r="I91" s="92">
        <v>45635</v>
      </c>
      <c r="J91" s="93" t="s">
        <v>33</v>
      </c>
      <c r="K91" s="94">
        <f>'District ADAEnrollment'!AB97</f>
        <v>0.95150000000000001</v>
      </c>
      <c r="L91" s="198">
        <f t="shared" si="0"/>
        <v>0.94569999999999999</v>
      </c>
    </row>
    <row r="92" spans="1:12" ht="12.75" x14ac:dyDescent="0.2">
      <c r="A92" s="92">
        <v>45636</v>
      </c>
      <c r="B92" s="93" t="s">
        <v>35</v>
      </c>
      <c r="C92" s="150">
        <f>'District ADAEnrollment'!X98</f>
        <v>0.93679999999999997</v>
      </c>
      <c r="D92" s="185"/>
      <c r="E92" s="92">
        <v>45636</v>
      </c>
      <c r="F92" s="93" t="s">
        <v>35</v>
      </c>
      <c r="G92" s="197">
        <f>'District ADAEnrollment'!Z98</f>
        <v>0.95950000000000002</v>
      </c>
      <c r="H92" s="185"/>
      <c r="I92" s="92">
        <v>45636</v>
      </c>
      <c r="J92" s="93" t="s">
        <v>35</v>
      </c>
      <c r="K92" s="94">
        <f>'District ADAEnrollment'!AB98</f>
        <v>0.96479999999999999</v>
      </c>
      <c r="L92" s="198">
        <f t="shared" si="0"/>
        <v>0.95369999999999999</v>
      </c>
    </row>
    <row r="93" spans="1:12" ht="12.75" x14ac:dyDescent="0.2">
      <c r="A93" s="92">
        <v>45637</v>
      </c>
      <c r="B93" s="93" t="s">
        <v>37</v>
      </c>
      <c r="C93" s="150">
        <f>'District ADAEnrollment'!X99</f>
        <v>0.93159999999999998</v>
      </c>
      <c r="D93" s="185"/>
      <c r="E93" s="92">
        <v>45637</v>
      </c>
      <c r="F93" s="93" t="s">
        <v>37</v>
      </c>
      <c r="G93" s="197">
        <f>'District ADAEnrollment'!Z99</f>
        <v>0.95169999999999999</v>
      </c>
      <c r="H93" s="185"/>
      <c r="I93" s="92">
        <v>45637</v>
      </c>
      <c r="J93" s="93" t="s">
        <v>37</v>
      </c>
      <c r="K93" s="94">
        <f>'District ADAEnrollment'!AB99</f>
        <v>0.96919999999999995</v>
      </c>
      <c r="L93" s="198">
        <f t="shared" si="0"/>
        <v>0.95083333333333331</v>
      </c>
    </row>
    <row r="94" spans="1:12" ht="12.75" x14ac:dyDescent="0.2">
      <c r="A94" s="92">
        <v>45638</v>
      </c>
      <c r="B94" s="93" t="s">
        <v>39</v>
      </c>
      <c r="C94" s="150">
        <f>'District ADAEnrollment'!X100</f>
        <v>0.93389999999999995</v>
      </c>
      <c r="D94" s="185"/>
      <c r="E94" s="92">
        <v>45638</v>
      </c>
      <c r="F94" s="93" t="s">
        <v>39</v>
      </c>
      <c r="G94" s="197">
        <f>'District ADAEnrollment'!Z100</f>
        <v>0.93559999999999999</v>
      </c>
      <c r="H94" s="185"/>
      <c r="I94" s="92">
        <v>45638</v>
      </c>
      <c r="J94" s="93" t="s">
        <v>39</v>
      </c>
      <c r="K94" s="94">
        <f>'District ADAEnrollment'!AB100</f>
        <v>0.96699999999999997</v>
      </c>
      <c r="L94" s="198">
        <f t="shared" si="0"/>
        <v>0.94550000000000001</v>
      </c>
    </row>
    <row r="95" spans="1:12" ht="12.75" x14ac:dyDescent="0.2">
      <c r="A95" s="92">
        <v>45639</v>
      </c>
      <c r="B95" s="93" t="s">
        <v>41</v>
      </c>
      <c r="C95" s="150">
        <f>'District ADAEnrollment'!X101</f>
        <v>0.91900000000000004</v>
      </c>
      <c r="D95" s="185"/>
      <c r="E95" s="92">
        <v>45639</v>
      </c>
      <c r="F95" s="93" t="s">
        <v>41</v>
      </c>
      <c r="G95" s="197">
        <f>'District ADAEnrollment'!Z101</f>
        <v>0.92910000000000004</v>
      </c>
      <c r="H95" s="185"/>
      <c r="I95" s="92">
        <v>45639</v>
      </c>
      <c r="J95" s="93" t="s">
        <v>41</v>
      </c>
      <c r="K95" s="94">
        <f>'District ADAEnrollment'!AB101</f>
        <v>0.94710000000000005</v>
      </c>
      <c r="L95" s="198">
        <f t="shared" si="0"/>
        <v>0.93173333333333341</v>
      </c>
    </row>
    <row r="96" spans="1:12" ht="12.75" x14ac:dyDescent="0.2">
      <c r="A96" s="92">
        <v>45642</v>
      </c>
      <c r="B96" s="93" t="s">
        <v>33</v>
      </c>
      <c r="C96" s="150">
        <f>'District ADAEnrollment'!X102</f>
        <v>0.92169999999999996</v>
      </c>
      <c r="D96" s="185"/>
      <c r="E96" s="92">
        <v>45642</v>
      </c>
      <c r="F96" s="93" t="s">
        <v>33</v>
      </c>
      <c r="G96" s="197">
        <f>'District ADAEnrollment'!Z102</f>
        <v>0.93559999999999999</v>
      </c>
      <c r="H96" s="185"/>
      <c r="I96" s="92">
        <v>45642</v>
      </c>
      <c r="J96" s="93" t="s">
        <v>33</v>
      </c>
      <c r="K96" s="94">
        <f>'District ADAEnrollment'!AB102</f>
        <v>0.93830000000000002</v>
      </c>
      <c r="L96" s="198">
        <f t="shared" si="0"/>
        <v>0.93186666666666662</v>
      </c>
    </row>
    <row r="97" spans="1:12" ht="12.75" x14ac:dyDescent="0.2">
      <c r="A97" s="92">
        <v>45643</v>
      </c>
      <c r="B97" s="93" t="s">
        <v>35</v>
      </c>
      <c r="C97" s="150">
        <f>'District ADAEnrollment'!X103</f>
        <v>0.96730000000000005</v>
      </c>
      <c r="D97" s="185"/>
      <c r="E97" s="92">
        <v>45643</v>
      </c>
      <c r="F97" s="93" t="s">
        <v>35</v>
      </c>
      <c r="G97" s="197">
        <f>'District ADAEnrollment'!Z103</f>
        <v>0.95009999999999994</v>
      </c>
      <c r="H97" s="185"/>
      <c r="I97" s="92">
        <v>45643</v>
      </c>
      <c r="J97" s="93" t="s">
        <v>35</v>
      </c>
      <c r="K97" s="94">
        <f>'District ADAEnrollment'!AB103</f>
        <v>0.96040000000000003</v>
      </c>
      <c r="L97" s="198">
        <f t="shared" si="0"/>
        <v>0.9592666666666666</v>
      </c>
    </row>
    <row r="98" spans="1:12" ht="12.75" x14ac:dyDescent="0.2">
      <c r="A98" s="92">
        <v>45644</v>
      </c>
      <c r="B98" s="93" t="s">
        <v>37</v>
      </c>
      <c r="C98" s="150">
        <f>'District ADAEnrollment'!X104</f>
        <v>0.95860000000000001</v>
      </c>
      <c r="D98" s="185"/>
      <c r="E98" s="92">
        <v>45644</v>
      </c>
      <c r="F98" s="93" t="s">
        <v>37</v>
      </c>
      <c r="G98" s="197">
        <f>'District ADAEnrollment'!Z104</f>
        <v>0.95350000000000001</v>
      </c>
      <c r="H98" s="185"/>
      <c r="I98" s="92">
        <v>45644</v>
      </c>
      <c r="J98" s="93" t="s">
        <v>37</v>
      </c>
      <c r="K98" s="94">
        <f>'District ADAEnrollment'!AB104</f>
        <v>0.96260000000000001</v>
      </c>
      <c r="L98" s="198">
        <f t="shared" si="0"/>
        <v>0.95823333333333338</v>
      </c>
    </row>
    <row r="99" spans="1:12" ht="12.75" x14ac:dyDescent="0.2">
      <c r="A99" s="92">
        <v>45645</v>
      </c>
      <c r="B99" s="93" t="s">
        <v>39</v>
      </c>
      <c r="C99" s="150">
        <f>'District ADAEnrollment'!X105</f>
        <v>0.95709999999999995</v>
      </c>
      <c r="D99" s="185"/>
      <c r="E99" s="92">
        <v>45645</v>
      </c>
      <c r="F99" s="93" t="s">
        <v>39</v>
      </c>
      <c r="G99" s="197">
        <f>'District ADAEnrollment'!Z105</f>
        <v>0.95499999999999996</v>
      </c>
      <c r="H99" s="185"/>
      <c r="I99" s="92">
        <v>45645</v>
      </c>
      <c r="J99" s="93" t="s">
        <v>39</v>
      </c>
      <c r="K99" s="94">
        <f>'District ADAEnrollment'!AB105</f>
        <v>0.97360000000000002</v>
      </c>
      <c r="L99" s="198">
        <f t="shared" si="0"/>
        <v>0.96189999999999998</v>
      </c>
    </row>
    <row r="100" spans="1:12" ht="12.75" x14ac:dyDescent="0.2">
      <c r="A100" s="92">
        <v>45646</v>
      </c>
      <c r="B100" s="93" t="s">
        <v>41</v>
      </c>
      <c r="C100" s="150">
        <f>'District ADAEnrollment'!X106</f>
        <v>0.92969999999999997</v>
      </c>
      <c r="D100" s="185"/>
      <c r="E100" s="92">
        <v>45646</v>
      </c>
      <c r="F100" s="93" t="s">
        <v>41</v>
      </c>
      <c r="G100" s="197">
        <f>'District ADAEnrollment'!Z106</f>
        <v>0.92279999999999995</v>
      </c>
      <c r="H100" s="185"/>
      <c r="I100" s="92">
        <v>45646</v>
      </c>
      <c r="J100" s="93" t="s">
        <v>41</v>
      </c>
      <c r="K100" s="94">
        <f>'District ADAEnrollment'!AB106</f>
        <v>0.95369999999999999</v>
      </c>
      <c r="L100" s="198">
        <f t="shared" si="0"/>
        <v>0.93540000000000001</v>
      </c>
    </row>
    <row r="101" spans="1:12" ht="12.75" x14ac:dyDescent="0.2">
      <c r="A101" s="103">
        <v>45649</v>
      </c>
      <c r="B101" s="104" t="s">
        <v>33</v>
      </c>
      <c r="C101" s="150">
        <f>'District ADAEnrollment'!X107</f>
        <v>0</v>
      </c>
      <c r="D101" s="185"/>
      <c r="E101" s="103">
        <v>45649</v>
      </c>
      <c r="F101" s="104" t="s">
        <v>33</v>
      </c>
      <c r="G101" s="197">
        <f>'District ADAEnrollment'!Z107</f>
        <v>0</v>
      </c>
      <c r="H101" s="185"/>
      <c r="I101" s="103">
        <v>45649</v>
      </c>
      <c r="J101" s="104" t="s">
        <v>33</v>
      </c>
      <c r="K101" s="94">
        <f>'District ADAEnrollment'!AB107</f>
        <v>0</v>
      </c>
      <c r="L101" s="198">
        <f t="shared" si="0"/>
        <v>0</v>
      </c>
    </row>
    <row r="102" spans="1:12" ht="12.75" x14ac:dyDescent="0.2">
      <c r="A102" s="103">
        <v>45650</v>
      </c>
      <c r="B102" s="104" t="s">
        <v>35</v>
      </c>
      <c r="C102" s="150">
        <f>'District ADAEnrollment'!X108</f>
        <v>0</v>
      </c>
      <c r="D102" s="185"/>
      <c r="E102" s="103">
        <v>45650</v>
      </c>
      <c r="F102" s="104" t="s">
        <v>35</v>
      </c>
      <c r="G102" s="197">
        <f>'District ADAEnrollment'!Z108</f>
        <v>0</v>
      </c>
      <c r="H102" s="185"/>
      <c r="I102" s="103">
        <v>45650</v>
      </c>
      <c r="J102" s="104" t="s">
        <v>35</v>
      </c>
      <c r="K102" s="94">
        <f>'District ADAEnrollment'!AB108</f>
        <v>0</v>
      </c>
      <c r="L102" s="198">
        <f t="shared" si="0"/>
        <v>0</v>
      </c>
    </row>
    <row r="103" spans="1:12" ht="12.75" x14ac:dyDescent="0.2">
      <c r="A103" s="103">
        <v>45651</v>
      </c>
      <c r="B103" s="104" t="s">
        <v>37</v>
      </c>
      <c r="C103" s="150">
        <f>'District ADAEnrollment'!X109</f>
        <v>0</v>
      </c>
      <c r="D103" s="185"/>
      <c r="E103" s="103">
        <v>45651</v>
      </c>
      <c r="F103" s="104" t="s">
        <v>37</v>
      </c>
      <c r="G103" s="197">
        <f>'District ADAEnrollment'!Z109</f>
        <v>0</v>
      </c>
      <c r="H103" s="185"/>
      <c r="I103" s="103">
        <v>45651</v>
      </c>
      <c r="J103" s="104" t="s">
        <v>37</v>
      </c>
      <c r="K103" s="94">
        <f>'District ADAEnrollment'!AB109</f>
        <v>0</v>
      </c>
      <c r="L103" s="198">
        <f t="shared" si="0"/>
        <v>0</v>
      </c>
    </row>
    <row r="104" spans="1:12" ht="12.75" x14ac:dyDescent="0.2">
      <c r="A104" s="103">
        <v>45652</v>
      </c>
      <c r="B104" s="104" t="s">
        <v>39</v>
      </c>
      <c r="C104" s="150">
        <f>'District ADAEnrollment'!X110</f>
        <v>0</v>
      </c>
      <c r="D104" s="185"/>
      <c r="E104" s="103">
        <v>45652</v>
      </c>
      <c r="F104" s="104" t="s">
        <v>39</v>
      </c>
      <c r="G104" s="197">
        <f>'District ADAEnrollment'!Z110</f>
        <v>0</v>
      </c>
      <c r="H104" s="185"/>
      <c r="I104" s="103">
        <v>45652</v>
      </c>
      <c r="J104" s="104" t="s">
        <v>39</v>
      </c>
      <c r="K104" s="94">
        <f>'District ADAEnrollment'!AB110</f>
        <v>0</v>
      </c>
      <c r="L104" s="198">
        <f t="shared" si="0"/>
        <v>0</v>
      </c>
    </row>
    <row r="105" spans="1:12" ht="12.75" x14ac:dyDescent="0.2">
      <c r="A105" s="103">
        <v>45653</v>
      </c>
      <c r="B105" s="104" t="s">
        <v>41</v>
      </c>
      <c r="C105" s="150">
        <f>'District ADAEnrollment'!X111</f>
        <v>0</v>
      </c>
      <c r="D105" s="185"/>
      <c r="E105" s="103">
        <v>45653</v>
      </c>
      <c r="F105" s="104" t="s">
        <v>41</v>
      </c>
      <c r="G105" s="197">
        <f>'District ADAEnrollment'!Z111</f>
        <v>0</v>
      </c>
      <c r="H105" s="185"/>
      <c r="I105" s="103">
        <v>45653</v>
      </c>
      <c r="J105" s="104" t="s">
        <v>41</v>
      </c>
      <c r="K105" s="94">
        <f>'District ADAEnrollment'!AB111</f>
        <v>0</v>
      </c>
      <c r="L105" s="198">
        <f t="shared" si="0"/>
        <v>0</v>
      </c>
    </row>
    <row r="106" spans="1:12" ht="12.75" x14ac:dyDescent="0.2">
      <c r="A106" s="103">
        <v>45656</v>
      </c>
      <c r="B106" s="104" t="s">
        <v>33</v>
      </c>
      <c r="C106" s="150">
        <f>'District ADAEnrollment'!X112</f>
        <v>0</v>
      </c>
      <c r="D106" s="185"/>
      <c r="E106" s="103">
        <v>45656</v>
      </c>
      <c r="F106" s="104" t="s">
        <v>33</v>
      </c>
      <c r="G106" s="197">
        <f>'District ADAEnrollment'!Z112</f>
        <v>0</v>
      </c>
      <c r="H106" s="185"/>
      <c r="I106" s="103">
        <v>45656</v>
      </c>
      <c r="J106" s="104" t="s">
        <v>33</v>
      </c>
      <c r="K106" s="94">
        <f>'District ADAEnrollment'!AB112</f>
        <v>0</v>
      </c>
      <c r="L106" s="198">
        <f t="shared" si="0"/>
        <v>0</v>
      </c>
    </row>
    <row r="107" spans="1:12" ht="12.75" x14ac:dyDescent="0.2">
      <c r="A107" s="103">
        <v>45657</v>
      </c>
      <c r="B107" s="104" t="s">
        <v>35</v>
      </c>
      <c r="C107" s="150">
        <f>'District ADAEnrollment'!X113</f>
        <v>0</v>
      </c>
      <c r="D107" s="185"/>
      <c r="E107" s="103">
        <v>45657</v>
      </c>
      <c r="F107" s="104" t="s">
        <v>35</v>
      </c>
      <c r="G107" s="197">
        <f>'District ADAEnrollment'!Z113</f>
        <v>0</v>
      </c>
      <c r="H107" s="185"/>
      <c r="I107" s="103">
        <v>45657</v>
      </c>
      <c r="J107" s="104" t="s">
        <v>35</v>
      </c>
      <c r="K107" s="94">
        <f>'District ADAEnrollment'!AB113</f>
        <v>0</v>
      </c>
      <c r="L107" s="198">
        <f t="shared" si="0"/>
        <v>0</v>
      </c>
    </row>
    <row r="108" spans="1:12" ht="12.75" x14ac:dyDescent="0.2">
      <c r="A108" s="103">
        <v>45658</v>
      </c>
      <c r="B108" s="104" t="s">
        <v>37</v>
      </c>
      <c r="C108" s="150">
        <f>'District ADAEnrollment'!X114</f>
        <v>0</v>
      </c>
      <c r="D108" s="185"/>
      <c r="E108" s="103">
        <v>45658</v>
      </c>
      <c r="F108" s="104" t="s">
        <v>37</v>
      </c>
      <c r="G108" s="197">
        <f>'District ADAEnrollment'!Z114</f>
        <v>0</v>
      </c>
      <c r="H108" s="185"/>
      <c r="I108" s="103">
        <v>45658</v>
      </c>
      <c r="J108" s="104" t="s">
        <v>37</v>
      </c>
      <c r="K108" s="94">
        <f>'District ADAEnrollment'!AB114</f>
        <v>0</v>
      </c>
      <c r="L108" s="198">
        <f t="shared" si="0"/>
        <v>0</v>
      </c>
    </row>
    <row r="109" spans="1:12" ht="12.75" x14ac:dyDescent="0.2">
      <c r="A109" s="103">
        <v>45659</v>
      </c>
      <c r="B109" s="104" t="s">
        <v>39</v>
      </c>
      <c r="C109" s="150">
        <f>'District ADAEnrollment'!X115</f>
        <v>0</v>
      </c>
      <c r="D109" s="185"/>
      <c r="E109" s="103">
        <v>45659</v>
      </c>
      <c r="F109" s="104" t="s">
        <v>39</v>
      </c>
      <c r="G109" s="197">
        <f>'District ADAEnrollment'!Z115</f>
        <v>0</v>
      </c>
      <c r="H109" s="185"/>
      <c r="I109" s="103">
        <v>45659</v>
      </c>
      <c r="J109" s="104" t="s">
        <v>39</v>
      </c>
      <c r="K109" s="94">
        <f>'District ADAEnrollment'!AB115</f>
        <v>0</v>
      </c>
      <c r="L109" s="198">
        <f t="shared" si="0"/>
        <v>0</v>
      </c>
    </row>
    <row r="110" spans="1:12" ht="12.75" x14ac:dyDescent="0.2">
      <c r="A110" s="103">
        <v>45660</v>
      </c>
      <c r="B110" s="104" t="s">
        <v>41</v>
      </c>
      <c r="C110" s="150">
        <f>'District ADAEnrollment'!X116</f>
        <v>0</v>
      </c>
      <c r="D110" s="185"/>
      <c r="E110" s="103">
        <v>45660</v>
      </c>
      <c r="F110" s="104" t="s">
        <v>41</v>
      </c>
      <c r="G110" s="197">
        <f>'District ADAEnrollment'!Z116</f>
        <v>0</v>
      </c>
      <c r="H110" s="185"/>
      <c r="I110" s="103">
        <v>45660</v>
      </c>
      <c r="J110" s="104" t="s">
        <v>41</v>
      </c>
      <c r="K110" s="94">
        <f>'District ADAEnrollment'!AB116</f>
        <v>0</v>
      </c>
      <c r="L110" s="198">
        <f t="shared" si="0"/>
        <v>0</v>
      </c>
    </row>
    <row r="111" spans="1:12" ht="12.75" x14ac:dyDescent="0.2">
      <c r="A111" s="109">
        <v>45663</v>
      </c>
      <c r="B111" s="110" t="s">
        <v>33</v>
      </c>
      <c r="C111" s="150">
        <f>'District ADAEnrollment'!X117</f>
        <v>0</v>
      </c>
      <c r="D111" s="185"/>
      <c r="E111" s="109">
        <v>45663</v>
      </c>
      <c r="F111" s="110" t="s">
        <v>33</v>
      </c>
      <c r="G111" s="197">
        <f>'District ADAEnrollment'!Z117</f>
        <v>0</v>
      </c>
      <c r="H111" s="185"/>
      <c r="I111" s="109">
        <v>45663</v>
      </c>
      <c r="J111" s="110" t="s">
        <v>33</v>
      </c>
      <c r="K111" s="94">
        <f>'District ADAEnrollment'!AB117</f>
        <v>0</v>
      </c>
      <c r="L111" s="198">
        <f t="shared" si="0"/>
        <v>0</v>
      </c>
    </row>
    <row r="112" spans="1:12" ht="12.75" x14ac:dyDescent="0.2">
      <c r="A112" s="109">
        <v>45664</v>
      </c>
      <c r="B112" s="110" t="s">
        <v>35</v>
      </c>
      <c r="C112" s="150">
        <f>'District ADAEnrollment'!X118</f>
        <v>0</v>
      </c>
      <c r="D112" s="185"/>
      <c r="E112" s="109">
        <v>45664</v>
      </c>
      <c r="F112" s="110" t="s">
        <v>35</v>
      </c>
      <c r="G112" s="197">
        <f>'District ADAEnrollment'!Z118</f>
        <v>0</v>
      </c>
      <c r="H112" s="185"/>
      <c r="I112" s="109">
        <v>45664</v>
      </c>
      <c r="J112" s="110" t="s">
        <v>35</v>
      </c>
      <c r="K112" s="94">
        <f>'District ADAEnrollment'!AB118</f>
        <v>0</v>
      </c>
      <c r="L112" s="198">
        <f t="shared" si="0"/>
        <v>0</v>
      </c>
    </row>
    <row r="113" spans="1:12" ht="12.75" x14ac:dyDescent="0.2">
      <c r="A113" s="92">
        <v>45665</v>
      </c>
      <c r="B113" s="93" t="s">
        <v>37</v>
      </c>
      <c r="C113" s="150">
        <f>'District ADAEnrollment'!X119</f>
        <v>0.91700000000000004</v>
      </c>
      <c r="D113" s="185"/>
      <c r="E113" s="92">
        <v>45665</v>
      </c>
      <c r="F113" s="93" t="s">
        <v>37</v>
      </c>
      <c r="G113" s="197">
        <f>'District ADAEnrollment'!Z119</f>
        <v>0.93410000000000004</v>
      </c>
      <c r="H113" s="185"/>
      <c r="I113" s="92">
        <v>45665</v>
      </c>
      <c r="J113" s="93" t="s">
        <v>37</v>
      </c>
      <c r="K113" s="94">
        <f>'District ADAEnrollment'!AB119</f>
        <v>0.94269999999999998</v>
      </c>
      <c r="L113" s="198">
        <f t="shared" si="0"/>
        <v>0.93126666666666669</v>
      </c>
    </row>
    <row r="114" spans="1:12" ht="12.75" x14ac:dyDescent="0.2">
      <c r="A114" s="92">
        <v>45666</v>
      </c>
      <c r="B114" s="93" t="s">
        <v>39</v>
      </c>
      <c r="C114" s="150">
        <f>'District ADAEnrollment'!X120</f>
        <v>0.90080000000000005</v>
      </c>
      <c r="D114" s="185"/>
      <c r="E114" s="92">
        <v>45666</v>
      </c>
      <c r="F114" s="93" t="s">
        <v>39</v>
      </c>
      <c r="G114" s="197">
        <f>'District ADAEnrollment'!Z120</f>
        <v>0.92779999999999996</v>
      </c>
      <c r="H114" s="185"/>
      <c r="I114" s="92">
        <v>45666</v>
      </c>
      <c r="J114" s="93" t="s">
        <v>39</v>
      </c>
      <c r="K114" s="94">
        <f>'District ADAEnrollment'!AB120</f>
        <v>0.97130000000000005</v>
      </c>
      <c r="L114" s="198">
        <f t="shared" si="0"/>
        <v>0.93330000000000002</v>
      </c>
    </row>
    <row r="115" spans="1:12" ht="12.75" x14ac:dyDescent="0.2">
      <c r="A115" s="92">
        <v>45667</v>
      </c>
      <c r="B115" s="93" t="s">
        <v>41</v>
      </c>
      <c r="C115" s="150">
        <f>'District ADAEnrollment'!X121</f>
        <v>0.88500000000000001</v>
      </c>
      <c r="D115" s="185"/>
      <c r="E115" s="92">
        <v>45667</v>
      </c>
      <c r="F115" s="93" t="s">
        <v>41</v>
      </c>
      <c r="G115" s="197">
        <f>'District ADAEnrollment'!Z121</f>
        <v>0.92269999999999996</v>
      </c>
      <c r="H115" s="185"/>
      <c r="I115" s="92">
        <v>45667</v>
      </c>
      <c r="J115" s="93" t="s">
        <v>41</v>
      </c>
      <c r="K115" s="94">
        <f>'District ADAEnrollment'!AB121</f>
        <v>0.94899999999999995</v>
      </c>
      <c r="L115" s="198">
        <f t="shared" si="0"/>
        <v>0.91889999999999994</v>
      </c>
    </row>
    <row r="116" spans="1:12" ht="12.75" x14ac:dyDescent="0.2">
      <c r="A116" s="92">
        <v>45670</v>
      </c>
      <c r="B116" s="93" t="s">
        <v>33</v>
      </c>
      <c r="C116" s="150">
        <f>'District ADAEnrollment'!X122</f>
        <v>0.93049999999999999</v>
      </c>
      <c r="D116" s="185"/>
      <c r="E116" s="92">
        <v>45670</v>
      </c>
      <c r="F116" s="93" t="s">
        <v>33</v>
      </c>
      <c r="G116" s="197">
        <f>'District ADAEnrollment'!Z122</f>
        <v>0.9375</v>
      </c>
      <c r="H116" s="185"/>
      <c r="I116" s="92">
        <v>45670</v>
      </c>
      <c r="J116" s="93" t="s">
        <v>33</v>
      </c>
      <c r="K116" s="94">
        <f>'District ADAEnrollment'!AB122</f>
        <v>0.95789999999999997</v>
      </c>
      <c r="L116" s="198">
        <f t="shared" si="0"/>
        <v>0.94196666666666662</v>
      </c>
    </row>
    <row r="117" spans="1:12" ht="12.75" x14ac:dyDescent="0.2">
      <c r="A117" s="92">
        <v>45671</v>
      </c>
      <c r="B117" s="93" t="s">
        <v>35</v>
      </c>
      <c r="C117" s="150">
        <f>'District ADAEnrollment'!X123</f>
        <v>0.94010000000000005</v>
      </c>
      <c r="D117" s="185"/>
      <c r="E117" s="92">
        <v>45671</v>
      </c>
      <c r="F117" s="93" t="s">
        <v>35</v>
      </c>
      <c r="G117" s="197">
        <f>'District ADAEnrollment'!Z123</f>
        <v>0.94230000000000003</v>
      </c>
      <c r="H117" s="185"/>
      <c r="I117" s="92">
        <v>45671</v>
      </c>
      <c r="J117" s="93" t="s">
        <v>35</v>
      </c>
      <c r="K117" s="94">
        <f>'District ADAEnrollment'!AB123</f>
        <v>0.96009999999999995</v>
      </c>
      <c r="L117" s="198">
        <f t="shared" si="0"/>
        <v>0.94750000000000012</v>
      </c>
    </row>
    <row r="118" spans="1:12" ht="12.75" x14ac:dyDescent="0.2">
      <c r="A118" s="92">
        <v>45672</v>
      </c>
      <c r="B118" s="93" t="s">
        <v>37</v>
      </c>
      <c r="C118" s="150">
        <f>'District ADAEnrollment'!X124</f>
        <v>0.93859999999999999</v>
      </c>
      <c r="D118" s="185"/>
      <c r="E118" s="92">
        <v>45672</v>
      </c>
      <c r="F118" s="93" t="s">
        <v>37</v>
      </c>
      <c r="G118" s="197">
        <f>'District ADAEnrollment'!Z124</f>
        <v>0.95840000000000003</v>
      </c>
      <c r="H118" s="185"/>
      <c r="I118" s="92">
        <v>45672</v>
      </c>
      <c r="J118" s="93" t="s">
        <v>37</v>
      </c>
      <c r="K118" s="94">
        <f>'District ADAEnrollment'!AB124</f>
        <v>0.95789999999999997</v>
      </c>
      <c r="L118" s="198">
        <f t="shared" si="0"/>
        <v>0.95163333333333344</v>
      </c>
    </row>
    <row r="119" spans="1:12" ht="12.75" x14ac:dyDescent="0.2">
      <c r="A119" s="92">
        <v>45673</v>
      </c>
      <c r="B119" s="93" t="s">
        <v>39</v>
      </c>
      <c r="C119" s="150">
        <f>'District ADAEnrollment'!X125</f>
        <v>0.93510000000000004</v>
      </c>
      <c r="D119" s="185"/>
      <c r="E119" s="92">
        <v>45673</v>
      </c>
      <c r="F119" s="93" t="s">
        <v>39</v>
      </c>
      <c r="G119" s="197">
        <f>'District ADAEnrollment'!Z125</f>
        <v>0.9425</v>
      </c>
      <c r="H119" s="185"/>
      <c r="I119" s="92">
        <v>45673</v>
      </c>
      <c r="J119" s="93" t="s">
        <v>39</v>
      </c>
      <c r="K119" s="94">
        <f>'District ADAEnrollment'!AB125</f>
        <v>0.92459999999999998</v>
      </c>
      <c r="L119" s="198">
        <f t="shared" si="0"/>
        <v>0.93406666666666671</v>
      </c>
    </row>
    <row r="120" spans="1:12" ht="12.75" x14ac:dyDescent="0.2">
      <c r="A120" s="92">
        <v>45674</v>
      </c>
      <c r="B120" s="93" t="s">
        <v>41</v>
      </c>
      <c r="C120" s="150">
        <f>'District ADAEnrollment'!X126</f>
        <v>0.9163</v>
      </c>
      <c r="D120" s="185"/>
      <c r="E120" s="92">
        <v>45674</v>
      </c>
      <c r="F120" s="93" t="s">
        <v>41</v>
      </c>
      <c r="G120" s="197">
        <f>'District ADAEnrollment'!Z126</f>
        <v>0.91210000000000002</v>
      </c>
      <c r="H120" s="185"/>
      <c r="I120" s="92">
        <v>45674</v>
      </c>
      <c r="J120" s="93" t="s">
        <v>41</v>
      </c>
      <c r="K120" s="94">
        <f>'District ADAEnrollment'!AB126</f>
        <v>0.95109999999999995</v>
      </c>
      <c r="L120" s="198">
        <f t="shared" si="0"/>
        <v>0.92649999999999999</v>
      </c>
    </row>
    <row r="121" spans="1:12" ht="12.75" x14ac:dyDescent="0.2">
      <c r="A121" s="103">
        <v>45677</v>
      </c>
      <c r="B121" s="104" t="s">
        <v>33</v>
      </c>
      <c r="C121" s="150">
        <f>'District ADAEnrollment'!X127</f>
        <v>0</v>
      </c>
      <c r="D121" s="185"/>
      <c r="E121" s="103">
        <v>45677</v>
      </c>
      <c r="F121" s="104" t="s">
        <v>33</v>
      </c>
      <c r="G121" s="197">
        <f>'District ADAEnrollment'!Z127</f>
        <v>0</v>
      </c>
      <c r="H121" s="185"/>
      <c r="I121" s="103">
        <v>45677</v>
      </c>
      <c r="J121" s="104" t="s">
        <v>33</v>
      </c>
      <c r="K121" s="94">
        <f>'District ADAEnrollment'!AB127</f>
        <v>0</v>
      </c>
      <c r="L121" s="198">
        <f t="shared" si="0"/>
        <v>0</v>
      </c>
    </row>
    <row r="122" spans="1:12" ht="12.75" x14ac:dyDescent="0.2">
      <c r="A122" s="92">
        <v>45678</v>
      </c>
      <c r="B122" s="93" t="s">
        <v>35</v>
      </c>
      <c r="C122" s="150">
        <f>'District ADAEnrollment'!X128</f>
        <v>0</v>
      </c>
      <c r="D122" s="185"/>
      <c r="E122" s="92">
        <v>45678</v>
      </c>
      <c r="F122" s="93" t="s">
        <v>35</v>
      </c>
      <c r="G122" s="197">
        <f>'District ADAEnrollment'!Z128</f>
        <v>0</v>
      </c>
      <c r="H122" s="185"/>
      <c r="I122" s="92">
        <v>45678</v>
      </c>
      <c r="J122" s="93" t="s">
        <v>35</v>
      </c>
      <c r="K122" s="94">
        <f>'District ADAEnrollment'!AB128</f>
        <v>0</v>
      </c>
      <c r="L122" s="198">
        <f t="shared" si="0"/>
        <v>0</v>
      </c>
    </row>
    <row r="123" spans="1:12" ht="12.75" x14ac:dyDescent="0.2">
      <c r="A123" s="92">
        <v>45679</v>
      </c>
      <c r="B123" s="93" t="s">
        <v>37</v>
      </c>
      <c r="C123" s="150">
        <f>'District ADAEnrollment'!X129</f>
        <v>0</v>
      </c>
      <c r="D123" s="185"/>
      <c r="E123" s="92">
        <v>45679</v>
      </c>
      <c r="F123" s="93" t="s">
        <v>37</v>
      </c>
      <c r="G123" s="197">
        <f>'District ADAEnrollment'!Z129</f>
        <v>0</v>
      </c>
      <c r="H123" s="185"/>
      <c r="I123" s="92">
        <v>45679</v>
      </c>
      <c r="J123" s="93" t="s">
        <v>37</v>
      </c>
      <c r="K123" s="94">
        <f>'District ADAEnrollment'!AB129</f>
        <v>0</v>
      </c>
      <c r="L123" s="198">
        <f t="shared" si="0"/>
        <v>0</v>
      </c>
    </row>
    <row r="124" spans="1:12" ht="12.75" x14ac:dyDescent="0.2">
      <c r="A124" s="92">
        <v>45680</v>
      </c>
      <c r="B124" s="93" t="s">
        <v>39</v>
      </c>
      <c r="C124" s="150">
        <f>'District ADAEnrollment'!X130</f>
        <v>0.86509999999999998</v>
      </c>
      <c r="D124" s="185"/>
      <c r="E124" s="92">
        <v>45680</v>
      </c>
      <c r="F124" s="93" t="s">
        <v>39</v>
      </c>
      <c r="G124" s="197">
        <f>'District ADAEnrollment'!Z130</f>
        <v>0.82399999999999995</v>
      </c>
      <c r="H124" s="185"/>
      <c r="I124" s="92">
        <v>45680</v>
      </c>
      <c r="J124" s="93" t="s">
        <v>39</v>
      </c>
      <c r="K124" s="94">
        <f>'District ADAEnrollment'!AB130</f>
        <v>0.91110000000000002</v>
      </c>
      <c r="L124" s="198">
        <f t="shared" si="0"/>
        <v>0.86673333333333336</v>
      </c>
    </row>
    <row r="125" spans="1:12" ht="12.75" x14ac:dyDescent="0.2">
      <c r="A125" s="92">
        <v>45681</v>
      </c>
      <c r="B125" s="93" t="s">
        <v>41</v>
      </c>
      <c r="C125" s="150">
        <f>'District ADAEnrollment'!X131</f>
        <v>0.90739999999999998</v>
      </c>
      <c r="D125" s="185"/>
      <c r="E125" s="92">
        <v>45681</v>
      </c>
      <c r="F125" s="93" t="s">
        <v>41</v>
      </c>
      <c r="G125" s="197">
        <f>'District ADAEnrollment'!Z131</f>
        <v>0.91520000000000001</v>
      </c>
      <c r="H125" s="185"/>
      <c r="I125" s="92">
        <v>45681</v>
      </c>
      <c r="J125" s="93" t="s">
        <v>41</v>
      </c>
      <c r="K125" s="94">
        <f>'District ADAEnrollment'!AB131</f>
        <v>0.94220000000000004</v>
      </c>
      <c r="L125" s="198">
        <f t="shared" si="0"/>
        <v>0.92160000000000009</v>
      </c>
    </row>
    <row r="126" spans="1:12" ht="12.75" x14ac:dyDescent="0.2">
      <c r="A126" s="92">
        <v>45684</v>
      </c>
      <c r="B126" s="93" t="s">
        <v>33</v>
      </c>
      <c r="C126" s="150">
        <f>'District ADAEnrollment'!X132</f>
        <v>0.92269999999999996</v>
      </c>
      <c r="D126" s="185"/>
      <c r="E126" s="92">
        <v>45684</v>
      </c>
      <c r="F126" s="93" t="s">
        <v>33</v>
      </c>
      <c r="G126" s="197">
        <f>'District ADAEnrollment'!Z132</f>
        <v>0.96650000000000003</v>
      </c>
      <c r="H126" s="185"/>
      <c r="I126" s="92">
        <v>45684</v>
      </c>
      <c r="J126" s="93" t="s">
        <v>33</v>
      </c>
      <c r="K126" s="94">
        <f>'District ADAEnrollment'!AB132</f>
        <v>0.96220000000000006</v>
      </c>
      <c r="L126" s="198">
        <f t="shared" si="0"/>
        <v>0.95046666666666668</v>
      </c>
    </row>
    <row r="127" spans="1:12" ht="12.75" x14ac:dyDescent="0.2">
      <c r="A127" s="92">
        <v>45685</v>
      </c>
      <c r="B127" s="93" t="s">
        <v>35</v>
      </c>
      <c r="C127" s="150">
        <f>'District ADAEnrollment'!X133</f>
        <v>0.93230000000000002</v>
      </c>
      <c r="D127" s="185"/>
      <c r="E127" s="92">
        <v>45685</v>
      </c>
      <c r="F127" s="93" t="s">
        <v>35</v>
      </c>
      <c r="G127" s="197">
        <f>'District ADAEnrollment'!Z133</f>
        <v>0.95069999999999999</v>
      </c>
      <c r="H127" s="185"/>
      <c r="I127" s="92">
        <v>45685</v>
      </c>
      <c r="J127" s="93" t="s">
        <v>35</v>
      </c>
      <c r="K127" s="94">
        <f>'District ADAEnrollment'!AB133</f>
        <v>0.9778</v>
      </c>
      <c r="L127" s="198">
        <f t="shared" si="0"/>
        <v>0.95360000000000011</v>
      </c>
    </row>
    <row r="128" spans="1:12" ht="12.75" x14ac:dyDescent="0.2">
      <c r="A128" s="92">
        <v>45686</v>
      </c>
      <c r="B128" s="93" t="s">
        <v>37</v>
      </c>
      <c r="C128" s="150">
        <f>'District ADAEnrollment'!X134</f>
        <v>0.9254</v>
      </c>
      <c r="D128" s="185"/>
      <c r="E128" s="92">
        <v>45686</v>
      </c>
      <c r="F128" s="93" t="s">
        <v>37</v>
      </c>
      <c r="G128" s="197">
        <f>'District ADAEnrollment'!Z134</f>
        <v>0.93959999999999999</v>
      </c>
      <c r="H128" s="185"/>
      <c r="I128" s="92">
        <v>45686</v>
      </c>
      <c r="J128" s="93" t="s">
        <v>37</v>
      </c>
      <c r="K128" s="94">
        <f>'District ADAEnrollment'!AB134</f>
        <v>0.97560000000000002</v>
      </c>
      <c r="L128" s="198">
        <f t="shared" si="0"/>
        <v>0.94686666666666675</v>
      </c>
    </row>
    <row r="129" spans="1:12" ht="12.75" x14ac:dyDescent="0.2">
      <c r="A129" s="92">
        <v>45687</v>
      </c>
      <c r="B129" s="93" t="s">
        <v>39</v>
      </c>
      <c r="C129" s="150">
        <f>'District ADAEnrollment'!X135</f>
        <v>0.92810000000000004</v>
      </c>
      <c r="D129" s="185"/>
      <c r="E129" s="92">
        <v>45687</v>
      </c>
      <c r="F129" s="93" t="s">
        <v>39</v>
      </c>
      <c r="G129" s="197">
        <f>'District ADAEnrollment'!Z135</f>
        <v>0.9304</v>
      </c>
      <c r="H129" s="185"/>
      <c r="I129" s="92">
        <v>45687</v>
      </c>
      <c r="J129" s="93" t="s">
        <v>39</v>
      </c>
      <c r="K129" s="94">
        <f>'District ADAEnrollment'!AB135</f>
        <v>0.98</v>
      </c>
      <c r="L129" s="198">
        <f t="shared" si="0"/>
        <v>0.94616666666666671</v>
      </c>
    </row>
    <row r="130" spans="1:12" ht="12.75" x14ac:dyDescent="0.2">
      <c r="A130" s="92">
        <v>45688</v>
      </c>
      <c r="B130" s="93" t="s">
        <v>41</v>
      </c>
      <c r="C130" s="150">
        <f>'District ADAEnrollment'!X136</f>
        <v>0.91810000000000003</v>
      </c>
      <c r="D130" s="185"/>
      <c r="E130" s="92">
        <v>45688</v>
      </c>
      <c r="F130" s="93" t="s">
        <v>41</v>
      </c>
      <c r="G130" s="197">
        <f>'District ADAEnrollment'!Z136</f>
        <v>0.91410000000000002</v>
      </c>
      <c r="H130" s="185"/>
      <c r="I130" s="92">
        <v>45688</v>
      </c>
      <c r="J130" s="93" t="s">
        <v>41</v>
      </c>
      <c r="K130" s="94">
        <f>'District ADAEnrollment'!AB136</f>
        <v>0.96</v>
      </c>
      <c r="L130" s="198">
        <f t="shared" si="0"/>
        <v>0.9307333333333333</v>
      </c>
    </row>
    <row r="131" spans="1:12" ht="12.75" x14ac:dyDescent="0.2">
      <c r="A131" s="92">
        <v>45691</v>
      </c>
      <c r="B131" s="93" t="s">
        <v>33</v>
      </c>
      <c r="C131" s="150">
        <f>'District ADAEnrollment'!X137</f>
        <v>0.7984</v>
      </c>
      <c r="D131" s="185"/>
      <c r="E131" s="92">
        <v>45691</v>
      </c>
      <c r="F131" s="93" t="s">
        <v>33</v>
      </c>
      <c r="G131" s="197">
        <f>'District ADAEnrollment'!Z137</f>
        <v>0.81330000000000002</v>
      </c>
      <c r="H131" s="185"/>
      <c r="I131" s="92">
        <v>45691</v>
      </c>
      <c r="J131" s="93" t="s">
        <v>33</v>
      </c>
      <c r="K131" s="94">
        <f>'District ADAEnrollment'!AB137</f>
        <v>0.8911</v>
      </c>
      <c r="L131" s="198">
        <f t="shared" si="0"/>
        <v>0.83426666666666671</v>
      </c>
    </row>
    <row r="132" spans="1:12" ht="12.75" x14ac:dyDescent="0.2">
      <c r="A132" s="92">
        <v>45692</v>
      </c>
      <c r="B132" s="93" t="s">
        <v>35</v>
      </c>
      <c r="C132" s="150">
        <f>'District ADAEnrollment'!X138</f>
        <v>0.94189999999999996</v>
      </c>
      <c r="D132" s="185"/>
      <c r="E132" s="92">
        <v>45692</v>
      </c>
      <c r="F132" s="93" t="s">
        <v>35</v>
      </c>
      <c r="G132" s="197">
        <f>'District ADAEnrollment'!Z138</f>
        <v>0.94930000000000003</v>
      </c>
      <c r="H132" s="185"/>
      <c r="I132" s="92">
        <v>45692</v>
      </c>
      <c r="J132" s="93" t="s">
        <v>35</v>
      </c>
      <c r="K132" s="94">
        <f>'District ADAEnrollment'!AB138</f>
        <v>0.9667</v>
      </c>
      <c r="L132" s="198">
        <f t="shared" si="0"/>
        <v>0.95263333333333333</v>
      </c>
    </row>
    <row r="133" spans="1:12" ht="12.75" x14ac:dyDescent="0.2">
      <c r="A133" s="92">
        <v>45693</v>
      </c>
      <c r="B133" s="93" t="s">
        <v>37</v>
      </c>
      <c r="C133" s="150">
        <f>'District ADAEnrollment'!X139</f>
        <v>0.94720000000000004</v>
      </c>
      <c r="D133" s="185"/>
      <c r="E133" s="92">
        <v>45693</v>
      </c>
      <c r="F133" s="93" t="s">
        <v>37</v>
      </c>
      <c r="G133" s="197">
        <f>'District ADAEnrollment'!Z139</f>
        <v>0.95089999999999997</v>
      </c>
      <c r="H133" s="185"/>
      <c r="I133" s="92">
        <v>45693</v>
      </c>
      <c r="J133" s="93" t="s">
        <v>37</v>
      </c>
      <c r="K133" s="94">
        <f>'District ADAEnrollment'!AB139</f>
        <v>0.96760000000000002</v>
      </c>
      <c r="L133" s="198">
        <f t="shared" si="0"/>
        <v>0.95523333333333327</v>
      </c>
    </row>
    <row r="134" spans="1:12" ht="12.75" x14ac:dyDescent="0.2">
      <c r="A134" s="92">
        <v>45694</v>
      </c>
      <c r="B134" s="93" t="s">
        <v>39</v>
      </c>
      <c r="C134" s="150">
        <f>'District ADAEnrollment'!X140</f>
        <v>0.94330000000000003</v>
      </c>
      <c r="D134" s="185"/>
      <c r="E134" s="92">
        <v>45694</v>
      </c>
      <c r="F134" s="93" t="s">
        <v>39</v>
      </c>
      <c r="G134" s="197">
        <f>'District ADAEnrollment'!Z140</f>
        <v>0.91920000000000002</v>
      </c>
      <c r="H134" s="185"/>
      <c r="I134" s="92">
        <v>45694</v>
      </c>
      <c r="J134" s="93" t="s">
        <v>39</v>
      </c>
      <c r="K134" s="94">
        <f>'District ADAEnrollment'!AB140</f>
        <v>0.98</v>
      </c>
      <c r="L134" s="198">
        <f t="shared" si="0"/>
        <v>0.94750000000000012</v>
      </c>
    </row>
    <row r="135" spans="1:12" ht="12.75" x14ac:dyDescent="0.2">
      <c r="A135" s="92">
        <v>45695</v>
      </c>
      <c r="B135" s="93" t="s">
        <v>41</v>
      </c>
      <c r="C135" s="150">
        <f>'District ADAEnrollment'!X141</f>
        <v>0.9355</v>
      </c>
      <c r="D135" s="185"/>
      <c r="E135" s="92">
        <v>45695</v>
      </c>
      <c r="F135" s="93" t="s">
        <v>41</v>
      </c>
      <c r="G135" s="197">
        <f>'District ADAEnrollment'!Z141</f>
        <v>0.91600000000000004</v>
      </c>
      <c r="H135" s="185"/>
      <c r="I135" s="92">
        <v>45695</v>
      </c>
      <c r="J135" s="93" t="s">
        <v>41</v>
      </c>
      <c r="K135" s="94">
        <f>'District ADAEnrollment'!AB141</f>
        <v>0.9667</v>
      </c>
      <c r="L135" s="198">
        <f t="shared" si="0"/>
        <v>0.93940000000000001</v>
      </c>
    </row>
    <row r="136" spans="1:12" ht="12.75" x14ac:dyDescent="0.2">
      <c r="A136" s="109">
        <v>45698</v>
      </c>
      <c r="B136" s="110" t="s">
        <v>33</v>
      </c>
      <c r="C136" s="150">
        <f>'District ADAEnrollment'!X142</f>
        <v>0</v>
      </c>
      <c r="D136" s="185"/>
      <c r="E136" s="109">
        <v>45698</v>
      </c>
      <c r="F136" s="110" t="s">
        <v>33</v>
      </c>
      <c r="G136" s="197">
        <f>'District ADAEnrollment'!Z142</f>
        <v>0</v>
      </c>
      <c r="H136" s="185"/>
      <c r="I136" s="109">
        <v>45698</v>
      </c>
      <c r="J136" s="110" t="s">
        <v>33</v>
      </c>
      <c r="K136" s="94">
        <f>'District ADAEnrollment'!AB142</f>
        <v>0</v>
      </c>
      <c r="L136" s="198">
        <f t="shared" si="0"/>
        <v>0</v>
      </c>
    </row>
    <row r="137" spans="1:12" ht="12.75" x14ac:dyDescent="0.2">
      <c r="A137" s="109">
        <v>45699</v>
      </c>
      <c r="B137" s="110" t="s">
        <v>35</v>
      </c>
      <c r="C137" s="150">
        <f>'District ADAEnrollment'!X143</f>
        <v>0</v>
      </c>
      <c r="D137" s="185"/>
      <c r="E137" s="109">
        <v>45699</v>
      </c>
      <c r="F137" s="110" t="s">
        <v>35</v>
      </c>
      <c r="G137" s="197">
        <f>'District ADAEnrollment'!Z143</f>
        <v>0</v>
      </c>
      <c r="H137" s="185"/>
      <c r="I137" s="109">
        <v>45699</v>
      </c>
      <c r="J137" s="110" t="s">
        <v>35</v>
      </c>
      <c r="K137" s="94">
        <f>'District ADAEnrollment'!AB143</f>
        <v>0</v>
      </c>
      <c r="L137" s="198">
        <f t="shared" si="0"/>
        <v>0</v>
      </c>
    </row>
    <row r="138" spans="1:12" ht="12.75" x14ac:dyDescent="0.2">
      <c r="A138" s="92">
        <v>45700</v>
      </c>
      <c r="B138" s="93" t="s">
        <v>37</v>
      </c>
      <c r="C138" s="150">
        <f>'District ADAEnrollment'!X144</f>
        <v>0.9325</v>
      </c>
      <c r="D138" s="185"/>
      <c r="E138" s="92">
        <v>45700</v>
      </c>
      <c r="F138" s="93" t="s">
        <v>37</v>
      </c>
      <c r="G138" s="197">
        <f>'District ADAEnrollment'!Z144</f>
        <v>0.95879999999999999</v>
      </c>
      <c r="H138" s="185"/>
      <c r="I138" s="92">
        <v>45700</v>
      </c>
      <c r="J138" s="93" t="s">
        <v>37</v>
      </c>
      <c r="K138" s="94">
        <f>'District ADAEnrollment'!AB144</f>
        <v>0.9556</v>
      </c>
      <c r="L138" s="198">
        <f t="shared" si="0"/>
        <v>0.94896666666666674</v>
      </c>
    </row>
    <row r="139" spans="1:12" ht="12.75" x14ac:dyDescent="0.2">
      <c r="A139" s="92">
        <v>45701</v>
      </c>
      <c r="B139" s="93" t="s">
        <v>39</v>
      </c>
      <c r="C139" s="150">
        <f>'District ADAEnrollment'!X145</f>
        <v>0.94140000000000001</v>
      </c>
      <c r="D139" s="185"/>
      <c r="E139" s="92">
        <v>45701</v>
      </c>
      <c r="F139" s="93" t="s">
        <v>39</v>
      </c>
      <c r="G139" s="197">
        <f>'District ADAEnrollment'!Z145</f>
        <v>0.91920000000000002</v>
      </c>
      <c r="H139" s="185"/>
      <c r="I139" s="92">
        <v>45701</v>
      </c>
      <c r="J139" s="93" t="s">
        <v>39</v>
      </c>
      <c r="K139" s="94">
        <f>'District ADAEnrollment'!AB145</f>
        <v>0.98</v>
      </c>
      <c r="L139" s="198">
        <f t="shared" si="0"/>
        <v>0.94686666666666675</v>
      </c>
    </row>
    <row r="140" spans="1:12" ht="12.75" x14ac:dyDescent="0.2">
      <c r="A140" s="92">
        <v>45702</v>
      </c>
      <c r="B140" s="93" t="s">
        <v>41</v>
      </c>
      <c r="C140" s="150">
        <f>'District ADAEnrollment'!X146</f>
        <v>0.92749999999999999</v>
      </c>
      <c r="D140" s="185"/>
      <c r="E140" s="92">
        <v>45702</v>
      </c>
      <c r="F140" s="93" t="s">
        <v>41</v>
      </c>
      <c r="G140" s="197">
        <f>'District ADAEnrollment'!Z146</f>
        <v>0.88149999999999995</v>
      </c>
      <c r="H140" s="185"/>
      <c r="I140" s="92">
        <v>45702</v>
      </c>
      <c r="J140" s="93" t="s">
        <v>41</v>
      </c>
      <c r="K140" s="94">
        <f>'District ADAEnrollment'!AB146</f>
        <v>0.94440000000000002</v>
      </c>
      <c r="L140" s="198">
        <f t="shared" si="0"/>
        <v>0.91780000000000006</v>
      </c>
    </row>
    <row r="141" spans="1:12" ht="12.75" x14ac:dyDescent="0.2">
      <c r="A141" s="117">
        <v>45705</v>
      </c>
      <c r="B141" s="118" t="s">
        <v>33</v>
      </c>
      <c r="C141" s="150">
        <f>'District ADAEnrollment'!X147</f>
        <v>0</v>
      </c>
      <c r="D141" s="185"/>
      <c r="E141" s="117">
        <v>45705</v>
      </c>
      <c r="F141" s="118" t="s">
        <v>33</v>
      </c>
      <c r="G141" s="197">
        <f>'District ADAEnrollment'!Z147</f>
        <v>0</v>
      </c>
      <c r="H141" s="185"/>
      <c r="I141" s="117">
        <v>45705</v>
      </c>
      <c r="J141" s="118" t="s">
        <v>33</v>
      </c>
      <c r="K141" s="94">
        <f>'District ADAEnrollment'!AB147</f>
        <v>0</v>
      </c>
      <c r="L141" s="198">
        <f t="shared" si="0"/>
        <v>0</v>
      </c>
    </row>
    <row r="142" spans="1:12" ht="12.75" x14ac:dyDescent="0.2">
      <c r="A142" s="92">
        <v>45706</v>
      </c>
      <c r="B142" s="93" t="s">
        <v>35</v>
      </c>
      <c r="C142" s="150">
        <f>'District ADAEnrollment'!X148</f>
        <v>0.94679999999999997</v>
      </c>
      <c r="D142" s="185"/>
      <c r="E142" s="92">
        <v>45706</v>
      </c>
      <c r="F142" s="93" t="s">
        <v>35</v>
      </c>
      <c r="G142" s="197">
        <f>'District ADAEnrollment'!Z148</f>
        <v>0.93330000000000002</v>
      </c>
      <c r="H142" s="185"/>
      <c r="I142" s="92">
        <v>45706</v>
      </c>
      <c r="J142" s="93" t="s">
        <v>35</v>
      </c>
      <c r="K142" s="94">
        <f>'District ADAEnrollment'!AB148</f>
        <v>0.98</v>
      </c>
      <c r="L142" s="198">
        <f t="shared" si="0"/>
        <v>0.9533666666666667</v>
      </c>
    </row>
    <row r="143" spans="1:12" ht="12.75" x14ac:dyDescent="0.2">
      <c r="A143" s="92">
        <v>45707</v>
      </c>
      <c r="B143" s="93" t="s">
        <v>37</v>
      </c>
      <c r="C143" s="150">
        <f>'District ADAEnrollment'!X149</f>
        <v>0.94830000000000003</v>
      </c>
      <c r="D143" s="185"/>
      <c r="E143" s="92">
        <v>45707</v>
      </c>
      <c r="F143" s="93" t="s">
        <v>37</v>
      </c>
      <c r="G143" s="197">
        <f>'District ADAEnrollment'!Z149</f>
        <v>0.95709999999999995</v>
      </c>
      <c r="H143" s="185"/>
      <c r="I143" s="92">
        <v>45707</v>
      </c>
      <c r="J143" s="93" t="s">
        <v>37</v>
      </c>
      <c r="K143" s="94">
        <f>'District ADAEnrollment'!AB149</f>
        <v>0.9889</v>
      </c>
      <c r="L143" s="198">
        <f t="shared" si="0"/>
        <v>0.96476666666666666</v>
      </c>
    </row>
    <row r="144" spans="1:12" ht="12.75" x14ac:dyDescent="0.2">
      <c r="A144" s="92">
        <v>45708</v>
      </c>
      <c r="B144" s="93" t="s">
        <v>39</v>
      </c>
      <c r="C144" s="150">
        <f>'District ADAEnrollment'!X150</f>
        <v>0.91900000000000004</v>
      </c>
      <c r="D144" s="185"/>
      <c r="E144" s="92">
        <v>45708</v>
      </c>
      <c r="F144" s="93" t="s">
        <v>39</v>
      </c>
      <c r="G144" s="197">
        <f>'District ADAEnrollment'!Z150</f>
        <v>0.95709999999999995</v>
      </c>
      <c r="H144" s="185"/>
      <c r="I144" s="92">
        <v>45708</v>
      </c>
      <c r="J144" s="93" t="s">
        <v>39</v>
      </c>
      <c r="K144" s="94">
        <f>'District ADAEnrollment'!AB150</f>
        <v>0.96660000000000001</v>
      </c>
      <c r="L144" s="198">
        <f t="shared" si="0"/>
        <v>0.94756666666666656</v>
      </c>
    </row>
    <row r="145" spans="1:12" ht="12.75" x14ac:dyDescent="0.2">
      <c r="A145" s="92">
        <v>45709</v>
      </c>
      <c r="B145" s="93" t="s">
        <v>41</v>
      </c>
      <c r="C145" s="150">
        <f>'District ADAEnrollment'!X151</f>
        <v>0.94679999999999997</v>
      </c>
      <c r="D145" s="185"/>
      <c r="E145" s="92">
        <v>45709</v>
      </c>
      <c r="F145" s="93" t="s">
        <v>41</v>
      </c>
      <c r="G145" s="197">
        <f>'District ADAEnrollment'!Z151</f>
        <v>0.90810000000000002</v>
      </c>
      <c r="H145" s="185"/>
      <c r="I145" s="92">
        <v>45709</v>
      </c>
      <c r="J145" s="93" t="s">
        <v>41</v>
      </c>
      <c r="K145" s="94">
        <f>'District ADAEnrollment'!AB151</f>
        <v>0.94869999999999999</v>
      </c>
      <c r="L145" s="198">
        <f t="shared" si="0"/>
        <v>0.93453333333333333</v>
      </c>
    </row>
    <row r="146" spans="1:12" ht="12.75" x14ac:dyDescent="0.2">
      <c r="A146" s="92">
        <v>45712</v>
      </c>
      <c r="B146" s="93" t="s">
        <v>33</v>
      </c>
      <c r="C146" s="150">
        <f>'District ADAEnrollment'!X152</f>
        <v>0.93269999999999997</v>
      </c>
      <c r="D146" s="185"/>
      <c r="E146" s="92">
        <v>45712</v>
      </c>
      <c r="F146" s="93" t="s">
        <v>33</v>
      </c>
      <c r="G146" s="197">
        <f>'District ADAEnrollment'!Z152</f>
        <v>0.9304</v>
      </c>
      <c r="H146" s="185"/>
      <c r="I146" s="92">
        <v>45712</v>
      </c>
      <c r="J146" s="93" t="s">
        <v>33</v>
      </c>
      <c r="K146" s="94">
        <f>'District ADAEnrollment'!AB152</f>
        <v>0.95760000000000001</v>
      </c>
      <c r="L146" s="198">
        <f t="shared" si="0"/>
        <v>0.94023333333333337</v>
      </c>
    </row>
    <row r="147" spans="1:12" ht="12.75" x14ac:dyDescent="0.2">
      <c r="A147" s="92">
        <v>45713</v>
      </c>
      <c r="B147" s="93" t="s">
        <v>35</v>
      </c>
      <c r="C147" s="150">
        <f>'District ADAEnrollment'!X153</f>
        <v>0.95879999999999999</v>
      </c>
      <c r="D147" s="185"/>
      <c r="E147" s="92">
        <v>45713</v>
      </c>
      <c r="F147" s="93" t="s">
        <v>35</v>
      </c>
      <c r="G147" s="197">
        <f>'District ADAEnrollment'!Z153</f>
        <v>0.95730000000000004</v>
      </c>
      <c r="H147" s="185"/>
      <c r="I147" s="92">
        <v>45713</v>
      </c>
      <c r="J147" s="93" t="s">
        <v>35</v>
      </c>
      <c r="K147" s="94">
        <f>'District ADAEnrollment'!AB153</f>
        <v>0.97319999999999995</v>
      </c>
      <c r="L147" s="198">
        <f t="shared" si="0"/>
        <v>0.96309999999999996</v>
      </c>
    </row>
    <row r="148" spans="1:12" ht="12.75" x14ac:dyDescent="0.2">
      <c r="A148" s="92">
        <v>45714</v>
      </c>
      <c r="B148" s="93" t="s">
        <v>37</v>
      </c>
      <c r="C148" s="150">
        <f>'District ADAEnrollment'!X154</f>
        <v>0.9546</v>
      </c>
      <c r="D148" s="185"/>
      <c r="E148" s="92">
        <v>45714</v>
      </c>
      <c r="F148" s="93" t="s">
        <v>37</v>
      </c>
      <c r="G148" s="197">
        <f>'District ADAEnrollment'!Z154</f>
        <v>0.92869999999999997</v>
      </c>
      <c r="H148" s="185"/>
      <c r="I148" s="92">
        <v>45714</v>
      </c>
      <c r="J148" s="93" t="s">
        <v>37</v>
      </c>
      <c r="K148" s="94">
        <f>'District ADAEnrollment'!AB154</f>
        <v>0.94869999999999999</v>
      </c>
      <c r="L148" s="198">
        <f t="shared" si="0"/>
        <v>0.94399999999999995</v>
      </c>
    </row>
    <row r="149" spans="1:12" ht="12.75" x14ac:dyDescent="0.2">
      <c r="A149" s="92">
        <v>45715</v>
      </c>
      <c r="B149" s="93" t="s">
        <v>39</v>
      </c>
      <c r="C149" s="150">
        <f>'District ADAEnrollment'!X155</f>
        <v>0.94650000000000001</v>
      </c>
      <c r="D149" s="185"/>
      <c r="E149" s="92">
        <v>45715</v>
      </c>
      <c r="F149" s="93" t="s">
        <v>39</v>
      </c>
      <c r="G149" s="197">
        <f>'District ADAEnrollment'!Z155</f>
        <v>0.93130000000000002</v>
      </c>
      <c r="H149" s="185"/>
      <c r="I149" s="92">
        <v>45715</v>
      </c>
      <c r="J149" s="93" t="s">
        <v>39</v>
      </c>
      <c r="K149" s="94">
        <f>'District ADAEnrollment'!AB155</f>
        <v>0.94869999999999999</v>
      </c>
      <c r="L149" s="198">
        <f t="shared" si="0"/>
        <v>0.9421666666666666</v>
      </c>
    </row>
    <row r="150" spans="1:12" ht="12.75" x14ac:dyDescent="0.2">
      <c r="A150" s="92">
        <v>45716</v>
      </c>
      <c r="B150" s="93" t="s">
        <v>41</v>
      </c>
      <c r="C150" s="150">
        <f>'District ADAEnrollment'!X156</f>
        <v>0.93530000000000002</v>
      </c>
      <c r="D150" s="185"/>
      <c r="E150" s="92">
        <v>45716</v>
      </c>
      <c r="F150" s="93" t="s">
        <v>41</v>
      </c>
      <c r="G150" s="197">
        <f>'District ADAEnrollment'!Z156</f>
        <v>0.8921</v>
      </c>
      <c r="H150" s="185"/>
      <c r="I150" s="92">
        <v>45716</v>
      </c>
      <c r="J150" s="93" t="s">
        <v>41</v>
      </c>
      <c r="K150" s="94">
        <f>'District ADAEnrollment'!AB156</f>
        <v>0.94420000000000004</v>
      </c>
      <c r="L150" s="198">
        <f t="shared" si="0"/>
        <v>0.92386666666666672</v>
      </c>
    </row>
    <row r="151" spans="1:12" ht="12.75" x14ac:dyDescent="0.2">
      <c r="A151" s="92">
        <v>45719</v>
      </c>
      <c r="B151" s="93" t="s">
        <v>33</v>
      </c>
      <c r="C151" s="150">
        <f>'District ADAEnrollment'!X157</f>
        <v>0.9214</v>
      </c>
      <c r="D151" s="185"/>
      <c r="E151" s="92">
        <v>45719</v>
      </c>
      <c r="F151" s="93" t="s">
        <v>33</v>
      </c>
      <c r="G151" s="197">
        <f>'District ADAEnrollment'!Z157</f>
        <v>0.90049999999999997</v>
      </c>
      <c r="H151" s="185"/>
      <c r="I151" s="92">
        <v>45719</v>
      </c>
      <c r="J151" s="93" t="s">
        <v>33</v>
      </c>
      <c r="K151" s="94">
        <f>'District ADAEnrollment'!AB157</f>
        <v>0.93740000000000001</v>
      </c>
      <c r="L151" s="198">
        <f t="shared" si="0"/>
        <v>0.91976666666666651</v>
      </c>
    </row>
    <row r="152" spans="1:12" ht="12.75" x14ac:dyDescent="0.2">
      <c r="A152" s="92">
        <v>45720</v>
      </c>
      <c r="B152" s="93" t="s">
        <v>35</v>
      </c>
      <c r="C152" s="150">
        <f>'District ADAEnrollment'!X158</f>
        <v>0.93479999999999996</v>
      </c>
      <c r="D152" s="185"/>
      <c r="E152" s="92">
        <v>45720</v>
      </c>
      <c r="F152" s="93" t="s">
        <v>35</v>
      </c>
      <c r="G152" s="197">
        <f>'District ADAEnrollment'!Z158</f>
        <v>0.86929999999999996</v>
      </c>
      <c r="H152" s="185"/>
      <c r="I152" s="92">
        <v>45720</v>
      </c>
      <c r="J152" s="93" t="s">
        <v>35</v>
      </c>
      <c r="K152" s="94">
        <f>'District ADAEnrollment'!AB158</f>
        <v>0.93530000000000002</v>
      </c>
      <c r="L152" s="198">
        <f t="shared" si="0"/>
        <v>0.91313333333333324</v>
      </c>
    </row>
    <row r="153" spans="1:12" ht="12.75" x14ac:dyDescent="0.2">
      <c r="A153" s="92">
        <v>45721</v>
      </c>
      <c r="B153" s="93" t="s">
        <v>37</v>
      </c>
      <c r="C153" s="150">
        <f>'District ADAEnrollment'!X159</f>
        <v>0.94640000000000002</v>
      </c>
      <c r="D153" s="185"/>
      <c r="E153" s="92">
        <v>45721</v>
      </c>
      <c r="F153" s="93" t="s">
        <v>37</v>
      </c>
      <c r="G153" s="197">
        <f>'District ADAEnrollment'!Z159</f>
        <v>0.93859999999999999</v>
      </c>
      <c r="H153" s="185"/>
      <c r="I153" s="92">
        <v>45721</v>
      </c>
      <c r="J153" s="93" t="s">
        <v>37</v>
      </c>
      <c r="K153" s="94">
        <f>'District ADAEnrollment'!AB159</f>
        <v>0.98209999999999997</v>
      </c>
      <c r="L153" s="198">
        <f t="shared" si="0"/>
        <v>0.9557000000000001</v>
      </c>
    </row>
    <row r="154" spans="1:12" ht="12.75" x14ac:dyDescent="0.2">
      <c r="A154" s="92">
        <v>45722</v>
      </c>
      <c r="B154" s="93" t="s">
        <v>39</v>
      </c>
      <c r="C154" s="150">
        <f>'District ADAEnrollment'!X160</f>
        <v>0.96760000000000002</v>
      </c>
      <c r="D154" s="185"/>
      <c r="E154" s="92">
        <v>45722</v>
      </c>
      <c r="F154" s="93" t="s">
        <v>39</v>
      </c>
      <c r="G154" s="197">
        <f>'District ADAEnrollment'!Z160</f>
        <v>0.94169999999999998</v>
      </c>
      <c r="H154" s="185"/>
      <c r="I154" s="92">
        <v>45722</v>
      </c>
      <c r="J154" s="93" t="s">
        <v>39</v>
      </c>
      <c r="K154" s="94">
        <f>'District ADAEnrollment'!AB160</f>
        <v>0.96209999999999996</v>
      </c>
      <c r="L154" s="198">
        <f t="shared" si="0"/>
        <v>0.95713333333333328</v>
      </c>
    </row>
    <row r="155" spans="1:12" ht="12.75" x14ac:dyDescent="0.2">
      <c r="A155" s="92">
        <v>45723</v>
      </c>
      <c r="B155" s="93" t="s">
        <v>41</v>
      </c>
      <c r="C155" s="150">
        <f>'District ADAEnrollment'!X161</f>
        <v>0.82720000000000005</v>
      </c>
      <c r="D155" s="185"/>
      <c r="E155" s="92">
        <v>45723</v>
      </c>
      <c r="F155" s="93" t="s">
        <v>41</v>
      </c>
      <c r="G155" s="197">
        <f>'District ADAEnrollment'!Z161</f>
        <v>0.87239999999999995</v>
      </c>
      <c r="H155" s="185"/>
      <c r="I155" s="92">
        <v>45723</v>
      </c>
      <c r="J155" s="93" t="s">
        <v>41</v>
      </c>
      <c r="K155" s="94">
        <f>'District ADAEnrollment'!AB161</f>
        <v>0.91069999999999995</v>
      </c>
      <c r="L155" s="198">
        <f t="shared" si="0"/>
        <v>0.87009999999999998</v>
      </c>
    </row>
    <row r="156" spans="1:12" ht="12.75" x14ac:dyDescent="0.2">
      <c r="A156" s="123">
        <v>45726</v>
      </c>
      <c r="B156" s="124" t="s">
        <v>33</v>
      </c>
      <c r="C156" s="150">
        <f>'District ADAEnrollment'!X162</f>
        <v>0</v>
      </c>
      <c r="D156" s="185"/>
      <c r="E156" s="123">
        <v>45726</v>
      </c>
      <c r="F156" s="124" t="s">
        <v>33</v>
      </c>
      <c r="G156" s="197">
        <f>'District ADAEnrollment'!Z162</f>
        <v>0.90380000000000005</v>
      </c>
      <c r="H156" s="185"/>
      <c r="I156" s="123">
        <v>45726</v>
      </c>
      <c r="J156" s="124" t="s">
        <v>33</v>
      </c>
      <c r="K156" s="94">
        <f>'District ADAEnrollment'!AB162</f>
        <v>0.95979999999999999</v>
      </c>
      <c r="L156" s="198">
        <f t="shared" si="0"/>
        <v>0.62119999999999997</v>
      </c>
    </row>
    <row r="157" spans="1:12" ht="12.75" x14ac:dyDescent="0.2">
      <c r="A157" s="123">
        <v>45727</v>
      </c>
      <c r="B157" s="124" t="s">
        <v>35</v>
      </c>
      <c r="C157" s="150">
        <f>'District ADAEnrollment'!X163</f>
        <v>0</v>
      </c>
      <c r="D157" s="185"/>
      <c r="E157" s="123">
        <v>45727</v>
      </c>
      <c r="F157" s="124" t="s">
        <v>35</v>
      </c>
      <c r="G157" s="197">
        <f>'District ADAEnrollment'!Z163</f>
        <v>0.91959999999999997</v>
      </c>
      <c r="H157" s="185"/>
      <c r="I157" s="123">
        <v>45727</v>
      </c>
      <c r="J157" s="124" t="s">
        <v>35</v>
      </c>
      <c r="K157" s="94">
        <f>'District ADAEnrollment'!AB163</f>
        <v>0.96879999999999999</v>
      </c>
      <c r="L157" s="198">
        <f t="shared" si="0"/>
        <v>0.62946666666666662</v>
      </c>
    </row>
    <row r="158" spans="1:12" ht="12.75" x14ac:dyDescent="0.2">
      <c r="A158" s="123">
        <v>45728</v>
      </c>
      <c r="B158" s="124" t="s">
        <v>37</v>
      </c>
      <c r="C158" s="150">
        <f>'District ADAEnrollment'!X164</f>
        <v>0</v>
      </c>
      <c r="D158" s="185"/>
      <c r="E158" s="123">
        <v>45728</v>
      </c>
      <c r="F158" s="124" t="s">
        <v>37</v>
      </c>
      <c r="G158" s="197">
        <f>'District ADAEnrollment'!Z164</f>
        <v>0</v>
      </c>
      <c r="H158" s="185"/>
      <c r="I158" s="123">
        <v>45728</v>
      </c>
      <c r="J158" s="124" t="s">
        <v>37</v>
      </c>
      <c r="K158" s="94">
        <f>'District ADAEnrollment'!AB164</f>
        <v>0</v>
      </c>
      <c r="L158" s="198">
        <f t="shared" si="0"/>
        <v>0</v>
      </c>
    </row>
    <row r="159" spans="1:12" ht="12.75" x14ac:dyDescent="0.2">
      <c r="A159" s="123">
        <v>45729</v>
      </c>
      <c r="B159" s="124" t="s">
        <v>39</v>
      </c>
      <c r="C159" s="150">
        <f>'District ADAEnrollment'!X165</f>
        <v>0</v>
      </c>
      <c r="D159" s="185"/>
      <c r="E159" s="123">
        <v>45729</v>
      </c>
      <c r="F159" s="124" t="s">
        <v>39</v>
      </c>
      <c r="G159" s="197">
        <f>'District ADAEnrollment'!Z165</f>
        <v>0</v>
      </c>
      <c r="H159" s="185"/>
      <c r="I159" s="123">
        <v>45729</v>
      </c>
      <c r="J159" s="124" t="s">
        <v>39</v>
      </c>
      <c r="K159" s="94">
        <f>'District ADAEnrollment'!AB165</f>
        <v>0</v>
      </c>
      <c r="L159" s="198">
        <f t="shared" si="0"/>
        <v>0</v>
      </c>
    </row>
    <row r="160" spans="1:12" ht="12.75" x14ac:dyDescent="0.2">
      <c r="A160" s="123">
        <v>45730</v>
      </c>
      <c r="B160" s="124" t="s">
        <v>41</v>
      </c>
      <c r="C160" s="150">
        <f>'District ADAEnrollment'!X166</f>
        <v>0</v>
      </c>
      <c r="D160" s="185"/>
      <c r="E160" s="123">
        <v>45730</v>
      </c>
      <c r="F160" s="124" t="s">
        <v>41</v>
      </c>
      <c r="G160" s="197">
        <f>'District ADAEnrollment'!Z166</f>
        <v>0</v>
      </c>
      <c r="H160" s="185"/>
      <c r="I160" s="123">
        <v>45730</v>
      </c>
      <c r="J160" s="124" t="s">
        <v>41</v>
      </c>
      <c r="K160" s="94">
        <f>'District ADAEnrollment'!AB166</f>
        <v>0</v>
      </c>
      <c r="L160" s="198">
        <f t="shared" si="0"/>
        <v>0</v>
      </c>
    </row>
    <row r="161" spans="1:26" ht="12.75" x14ac:dyDescent="0.2">
      <c r="A161" s="103">
        <v>45733</v>
      </c>
      <c r="B161" s="104" t="s">
        <v>33</v>
      </c>
      <c r="C161" s="150">
        <f>'District ADAEnrollment'!X167</f>
        <v>0</v>
      </c>
      <c r="D161" s="185"/>
      <c r="E161" s="103">
        <v>45733</v>
      </c>
      <c r="F161" s="104" t="s">
        <v>33</v>
      </c>
      <c r="G161" s="197">
        <f>'District ADAEnrollment'!Z167</f>
        <v>0</v>
      </c>
      <c r="H161" s="185"/>
      <c r="I161" s="103">
        <v>45733</v>
      </c>
      <c r="J161" s="104" t="s">
        <v>33</v>
      </c>
      <c r="K161" s="94">
        <f>'District ADAEnrollment'!AB167</f>
        <v>0</v>
      </c>
      <c r="L161" s="198">
        <f t="shared" si="0"/>
        <v>0</v>
      </c>
    </row>
    <row r="162" spans="1:26" ht="12.75" x14ac:dyDescent="0.2">
      <c r="A162" s="103">
        <v>45734</v>
      </c>
      <c r="B162" s="104" t="s">
        <v>35</v>
      </c>
      <c r="C162" s="150">
        <f>'District ADAEnrollment'!X168</f>
        <v>0</v>
      </c>
      <c r="D162" s="185"/>
      <c r="E162" s="103">
        <v>45734</v>
      </c>
      <c r="F162" s="104" t="s">
        <v>35</v>
      </c>
      <c r="G162" s="197">
        <f>'District ADAEnrollment'!Z168</f>
        <v>0</v>
      </c>
      <c r="H162" s="185"/>
      <c r="I162" s="103">
        <v>45734</v>
      </c>
      <c r="J162" s="104" t="s">
        <v>35</v>
      </c>
      <c r="K162" s="94">
        <f>'District ADAEnrollment'!AB168</f>
        <v>0</v>
      </c>
      <c r="L162" s="198">
        <f t="shared" si="0"/>
        <v>0</v>
      </c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</row>
    <row r="163" spans="1:26" ht="12.75" x14ac:dyDescent="0.2">
      <c r="A163" s="103">
        <v>45735</v>
      </c>
      <c r="B163" s="104" t="s">
        <v>37</v>
      </c>
      <c r="C163" s="150">
        <f>'District ADAEnrollment'!X169</f>
        <v>0</v>
      </c>
      <c r="D163" s="185"/>
      <c r="E163" s="103">
        <v>45735</v>
      </c>
      <c r="F163" s="104" t="s">
        <v>37</v>
      </c>
      <c r="G163" s="197">
        <f>'District ADAEnrollment'!Z169</f>
        <v>0</v>
      </c>
      <c r="H163" s="185"/>
      <c r="I163" s="103">
        <v>45735</v>
      </c>
      <c r="J163" s="104" t="s">
        <v>37</v>
      </c>
      <c r="K163" s="94">
        <f>'District ADAEnrollment'!AB169</f>
        <v>0</v>
      </c>
      <c r="L163" s="198">
        <f t="shared" si="0"/>
        <v>0</v>
      </c>
    </row>
    <row r="164" spans="1:26" ht="12.75" x14ac:dyDescent="0.2">
      <c r="A164" s="103">
        <v>45736</v>
      </c>
      <c r="B164" s="104" t="s">
        <v>39</v>
      </c>
      <c r="C164" s="150">
        <f>'District ADAEnrollment'!X170</f>
        <v>0</v>
      </c>
      <c r="D164" s="185"/>
      <c r="E164" s="103">
        <v>45736</v>
      </c>
      <c r="F164" s="104" t="s">
        <v>39</v>
      </c>
      <c r="G164" s="197">
        <f>'District ADAEnrollment'!Z170</f>
        <v>0</v>
      </c>
      <c r="H164" s="185"/>
      <c r="I164" s="103">
        <v>45736</v>
      </c>
      <c r="J164" s="104" t="s">
        <v>39</v>
      </c>
      <c r="K164" s="94">
        <f>'District ADAEnrollment'!AB170</f>
        <v>0</v>
      </c>
      <c r="L164" s="198">
        <f t="shared" si="0"/>
        <v>0</v>
      </c>
    </row>
    <row r="165" spans="1:26" ht="12.75" x14ac:dyDescent="0.2">
      <c r="A165" s="103">
        <v>45737</v>
      </c>
      <c r="B165" s="104" t="s">
        <v>41</v>
      </c>
      <c r="C165" s="150">
        <f>'District ADAEnrollment'!X171</f>
        <v>0</v>
      </c>
      <c r="D165" s="185"/>
      <c r="E165" s="103">
        <v>45737</v>
      </c>
      <c r="F165" s="104" t="s">
        <v>41</v>
      </c>
      <c r="G165" s="197">
        <f>'District ADAEnrollment'!Z171</f>
        <v>0</v>
      </c>
      <c r="H165" s="185"/>
      <c r="I165" s="103">
        <v>45737</v>
      </c>
      <c r="J165" s="104" t="s">
        <v>41</v>
      </c>
      <c r="K165" s="94">
        <f>'District ADAEnrollment'!AB171</f>
        <v>0</v>
      </c>
      <c r="L165" s="198">
        <f t="shared" si="0"/>
        <v>0</v>
      </c>
    </row>
    <row r="166" spans="1:26" ht="12.75" x14ac:dyDescent="0.2">
      <c r="A166" s="92">
        <v>45740</v>
      </c>
      <c r="B166" s="93" t="s">
        <v>33</v>
      </c>
      <c r="C166" s="150">
        <f>'District ADAEnrollment'!X172</f>
        <v>0</v>
      </c>
      <c r="D166" s="185"/>
      <c r="E166" s="92">
        <v>45740</v>
      </c>
      <c r="F166" s="93" t="s">
        <v>33</v>
      </c>
      <c r="G166" s="197">
        <f>'District ADAEnrollment'!Z172</f>
        <v>0</v>
      </c>
      <c r="H166" s="185"/>
      <c r="I166" s="92">
        <v>45740</v>
      </c>
      <c r="J166" s="93" t="s">
        <v>33</v>
      </c>
      <c r="K166" s="94">
        <f>'District ADAEnrollment'!AB172</f>
        <v>0</v>
      </c>
      <c r="L166" s="198">
        <f t="shared" si="0"/>
        <v>0</v>
      </c>
    </row>
    <row r="167" spans="1:26" ht="12.75" x14ac:dyDescent="0.2">
      <c r="A167" s="92">
        <v>45741</v>
      </c>
      <c r="B167" s="93" t="s">
        <v>35</v>
      </c>
      <c r="C167" s="150">
        <f>'District ADAEnrollment'!X173</f>
        <v>0</v>
      </c>
      <c r="D167" s="185"/>
      <c r="E167" s="92">
        <v>45741</v>
      </c>
      <c r="F167" s="93" t="s">
        <v>35</v>
      </c>
      <c r="G167" s="197">
        <f>'District ADAEnrollment'!Z173</f>
        <v>0</v>
      </c>
      <c r="H167" s="185"/>
      <c r="I167" s="92">
        <v>45741</v>
      </c>
      <c r="J167" s="93" t="s">
        <v>35</v>
      </c>
      <c r="K167" s="94">
        <f>'District ADAEnrollment'!AB173</f>
        <v>0</v>
      </c>
      <c r="L167" s="198">
        <f t="shared" si="0"/>
        <v>0</v>
      </c>
    </row>
    <row r="168" spans="1:26" ht="12.75" x14ac:dyDescent="0.2">
      <c r="A168" s="92">
        <v>45742</v>
      </c>
      <c r="B168" s="93" t="s">
        <v>37</v>
      </c>
      <c r="C168" s="150">
        <f>'District ADAEnrollment'!X174</f>
        <v>0</v>
      </c>
      <c r="D168" s="185"/>
      <c r="E168" s="92">
        <v>45742</v>
      </c>
      <c r="F168" s="93" t="s">
        <v>37</v>
      </c>
      <c r="G168" s="197">
        <f>'District ADAEnrollment'!Z174</f>
        <v>0</v>
      </c>
      <c r="H168" s="185"/>
      <c r="I168" s="92">
        <v>45742</v>
      </c>
      <c r="J168" s="93" t="s">
        <v>37</v>
      </c>
      <c r="K168" s="94">
        <f>'District ADAEnrollment'!AB174</f>
        <v>0</v>
      </c>
      <c r="L168" s="198">
        <f t="shared" si="0"/>
        <v>0</v>
      </c>
    </row>
    <row r="169" spans="1:26" ht="12.75" x14ac:dyDescent="0.2">
      <c r="A169" s="92">
        <v>45743</v>
      </c>
      <c r="B169" s="93" t="s">
        <v>39</v>
      </c>
      <c r="C169" s="150">
        <f>'District ADAEnrollment'!X175</f>
        <v>0</v>
      </c>
      <c r="D169" s="185"/>
      <c r="E169" s="92">
        <v>45743</v>
      </c>
      <c r="F169" s="93" t="s">
        <v>39</v>
      </c>
      <c r="G169" s="197">
        <f>'District ADAEnrollment'!Z175</f>
        <v>0</v>
      </c>
      <c r="H169" s="185"/>
      <c r="I169" s="92">
        <v>45743</v>
      </c>
      <c r="J169" s="93" t="s">
        <v>39</v>
      </c>
      <c r="K169" s="94">
        <f>'District ADAEnrollment'!AB175</f>
        <v>0</v>
      </c>
      <c r="L169" s="198">
        <f t="shared" si="0"/>
        <v>0</v>
      </c>
    </row>
    <row r="170" spans="1:26" ht="12.75" x14ac:dyDescent="0.2">
      <c r="A170" s="92">
        <v>45744</v>
      </c>
      <c r="B170" s="93" t="s">
        <v>41</v>
      </c>
      <c r="C170" s="150">
        <f>'District ADAEnrollment'!X176</f>
        <v>0</v>
      </c>
      <c r="D170" s="185"/>
      <c r="E170" s="92">
        <v>45744</v>
      </c>
      <c r="F170" s="93" t="s">
        <v>41</v>
      </c>
      <c r="G170" s="197">
        <f>'District ADAEnrollment'!Z176</f>
        <v>0</v>
      </c>
      <c r="H170" s="185"/>
      <c r="I170" s="92">
        <v>45744</v>
      </c>
      <c r="J170" s="93" t="s">
        <v>41</v>
      </c>
      <c r="K170" s="94">
        <f>'District ADAEnrollment'!AB176</f>
        <v>0</v>
      </c>
      <c r="L170" s="198">
        <f t="shared" si="0"/>
        <v>0</v>
      </c>
    </row>
    <row r="171" spans="1:26" ht="12.75" x14ac:dyDescent="0.2">
      <c r="A171" s="92">
        <v>45747</v>
      </c>
      <c r="B171" s="93" t="s">
        <v>33</v>
      </c>
      <c r="C171" s="150">
        <f>'District ADAEnrollment'!X177</f>
        <v>0</v>
      </c>
      <c r="D171" s="185"/>
      <c r="E171" s="92">
        <v>45747</v>
      </c>
      <c r="F171" s="93" t="s">
        <v>33</v>
      </c>
      <c r="G171" s="197">
        <f>'District ADAEnrollment'!Z177</f>
        <v>0</v>
      </c>
      <c r="H171" s="185"/>
      <c r="I171" s="92">
        <v>45747</v>
      </c>
      <c r="J171" s="93" t="s">
        <v>33</v>
      </c>
      <c r="K171" s="94">
        <f>'District ADAEnrollment'!AB177</f>
        <v>0</v>
      </c>
      <c r="L171" s="198">
        <f t="shared" si="0"/>
        <v>0</v>
      </c>
    </row>
    <row r="172" spans="1:26" ht="12.75" x14ac:dyDescent="0.2">
      <c r="A172" s="92">
        <v>45748</v>
      </c>
      <c r="B172" s="93" t="s">
        <v>35</v>
      </c>
      <c r="C172" s="150">
        <f>'District ADAEnrollment'!X178</f>
        <v>0</v>
      </c>
      <c r="D172" s="185"/>
      <c r="E172" s="92">
        <v>45748</v>
      </c>
      <c r="F172" s="93" t="s">
        <v>35</v>
      </c>
      <c r="G172" s="197">
        <f>'District ADAEnrollment'!Z178</f>
        <v>0</v>
      </c>
      <c r="H172" s="185"/>
      <c r="I172" s="92">
        <v>45748</v>
      </c>
      <c r="J172" s="93" t="s">
        <v>35</v>
      </c>
      <c r="K172" s="94">
        <f>'District ADAEnrollment'!AB178</f>
        <v>0</v>
      </c>
      <c r="L172" s="198">
        <f t="shared" si="0"/>
        <v>0</v>
      </c>
    </row>
    <row r="173" spans="1:26" ht="12.75" x14ac:dyDescent="0.2">
      <c r="A173" s="92">
        <v>45749</v>
      </c>
      <c r="B173" s="93" t="s">
        <v>37</v>
      </c>
      <c r="C173" s="150">
        <f>'District ADAEnrollment'!X179</f>
        <v>0</v>
      </c>
      <c r="D173" s="185"/>
      <c r="E173" s="92">
        <v>45749</v>
      </c>
      <c r="F173" s="93" t="s">
        <v>37</v>
      </c>
      <c r="G173" s="197">
        <f>'District ADAEnrollment'!Z179</f>
        <v>0</v>
      </c>
      <c r="H173" s="185"/>
      <c r="I173" s="92">
        <v>45749</v>
      </c>
      <c r="J173" s="93" t="s">
        <v>37</v>
      </c>
      <c r="K173" s="94">
        <f>'District ADAEnrollment'!AB179</f>
        <v>0</v>
      </c>
      <c r="L173" s="198">
        <f t="shared" si="0"/>
        <v>0</v>
      </c>
    </row>
    <row r="174" spans="1:26" ht="12.75" x14ac:dyDescent="0.2">
      <c r="A174" s="92">
        <v>45750</v>
      </c>
      <c r="B174" s="93" t="s">
        <v>39</v>
      </c>
      <c r="C174" s="150">
        <f>'District ADAEnrollment'!X180</f>
        <v>0</v>
      </c>
      <c r="D174" s="185"/>
      <c r="E174" s="92">
        <v>45750</v>
      </c>
      <c r="F174" s="93" t="s">
        <v>39</v>
      </c>
      <c r="G174" s="197">
        <f>'District ADAEnrollment'!Z180</f>
        <v>0</v>
      </c>
      <c r="H174" s="185"/>
      <c r="I174" s="92">
        <v>45750</v>
      </c>
      <c r="J174" s="93" t="s">
        <v>39</v>
      </c>
      <c r="K174" s="94">
        <f>'District ADAEnrollment'!AB180</f>
        <v>0</v>
      </c>
      <c r="L174" s="198">
        <f t="shared" si="0"/>
        <v>0</v>
      </c>
    </row>
    <row r="175" spans="1:26" ht="12.75" x14ac:dyDescent="0.2">
      <c r="A175" s="92">
        <v>45751</v>
      </c>
      <c r="B175" s="93" t="s">
        <v>41</v>
      </c>
      <c r="C175" s="150">
        <f>'District ADAEnrollment'!X181</f>
        <v>0</v>
      </c>
      <c r="D175" s="185"/>
      <c r="E175" s="92">
        <v>45751</v>
      </c>
      <c r="F175" s="93" t="s">
        <v>41</v>
      </c>
      <c r="G175" s="197">
        <f>'District ADAEnrollment'!Z181</f>
        <v>0</v>
      </c>
      <c r="H175" s="185"/>
      <c r="I175" s="92">
        <v>45751</v>
      </c>
      <c r="J175" s="93" t="s">
        <v>41</v>
      </c>
      <c r="K175" s="94">
        <f>'District ADAEnrollment'!AB181</f>
        <v>0</v>
      </c>
      <c r="L175" s="198">
        <f t="shared" si="0"/>
        <v>0</v>
      </c>
    </row>
    <row r="176" spans="1:26" ht="12.75" x14ac:dyDescent="0.2">
      <c r="A176" s="92">
        <v>45754</v>
      </c>
      <c r="B176" s="93" t="s">
        <v>33</v>
      </c>
      <c r="C176" s="150">
        <f>'District ADAEnrollment'!X182</f>
        <v>0</v>
      </c>
      <c r="D176" s="185"/>
      <c r="E176" s="92">
        <v>45754</v>
      </c>
      <c r="F176" s="93" t="s">
        <v>33</v>
      </c>
      <c r="G176" s="197">
        <f>'District ADAEnrollment'!Z182</f>
        <v>0</v>
      </c>
      <c r="H176" s="185"/>
      <c r="I176" s="92">
        <v>45754</v>
      </c>
      <c r="J176" s="93" t="s">
        <v>33</v>
      </c>
      <c r="K176" s="94">
        <f>'District ADAEnrollment'!AB182</f>
        <v>0</v>
      </c>
      <c r="L176" s="198">
        <f t="shared" si="0"/>
        <v>0</v>
      </c>
    </row>
    <row r="177" spans="1:12" ht="12.75" x14ac:dyDescent="0.2">
      <c r="A177" s="92">
        <v>45755</v>
      </c>
      <c r="B177" s="93" t="s">
        <v>35</v>
      </c>
      <c r="C177" s="150">
        <f>'District ADAEnrollment'!X183</f>
        <v>0</v>
      </c>
      <c r="D177" s="185"/>
      <c r="E177" s="92">
        <v>45755</v>
      </c>
      <c r="F177" s="93" t="s">
        <v>35</v>
      </c>
      <c r="G177" s="197">
        <f>'District ADAEnrollment'!Z183</f>
        <v>0</v>
      </c>
      <c r="H177" s="185"/>
      <c r="I177" s="92">
        <v>45755</v>
      </c>
      <c r="J177" s="93" t="s">
        <v>35</v>
      </c>
      <c r="K177" s="94">
        <f>'District ADAEnrollment'!AB183</f>
        <v>0</v>
      </c>
      <c r="L177" s="198">
        <f t="shared" si="0"/>
        <v>0</v>
      </c>
    </row>
    <row r="178" spans="1:12" ht="12.75" x14ac:dyDescent="0.2">
      <c r="A178" s="92">
        <v>45756</v>
      </c>
      <c r="B178" s="93" t="s">
        <v>37</v>
      </c>
      <c r="C178" s="150">
        <f>'District ADAEnrollment'!X184</f>
        <v>0</v>
      </c>
      <c r="D178" s="185"/>
      <c r="E178" s="92">
        <v>45756</v>
      </c>
      <c r="F178" s="93" t="s">
        <v>37</v>
      </c>
      <c r="G178" s="197">
        <f>'District ADAEnrollment'!Z184</f>
        <v>0</v>
      </c>
      <c r="H178" s="185"/>
      <c r="I178" s="92">
        <v>45756</v>
      </c>
      <c r="J178" s="93" t="s">
        <v>37</v>
      </c>
      <c r="K178" s="94">
        <f>'District ADAEnrollment'!AB184</f>
        <v>0</v>
      </c>
      <c r="L178" s="198">
        <f t="shared" si="0"/>
        <v>0</v>
      </c>
    </row>
    <row r="179" spans="1:12" ht="12.75" x14ac:dyDescent="0.2">
      <c r="A179" s="92">
        <v>45757</v>
      </c>
      <c r="B179" s="93" t="s">
        <v>39</v>
      </c>
      <c r="C179" s="150">
        <f>'District ADAEnrollment'!X185</f>
        <v>0</v>
      </c>
      <c r="D179" s="185"/>
      <c r="E179" s="92">
        <v>45757</v>
      </c>
      <c r="F179" s="93" t="s">
        <v>39</v>
      </c>
      <c r="G179" s="197">
        <f>'District ADAEnrollment'!Z185</f>
        <v>0</v>
      </c>
      <c r="H179" s="185"/>
      <c r="I179" s="92">
        <v>45757</v>
      </c>
      <c r="J179" s="93" t="s">
        <v>39</v>
      </c>
      <c r="K179" s="94">
        <f>'District ADAEnrollment'!AB185</f>
        <v>0</v>
      </c>
      <c r="L179" s="198">
        <f t="shared" si="0"/>
        <v>0</v>
      </c>
    </row>
    <row r="180" spans="1:12" ht="12.75" x14ac:dyDescent="0.2">
      <c r="A180" s="92">
        <v>45758</v>
      </c>
      <c r="B180" s="93" t="s">
        <v>41</v>
      </c>
      <c r="C180" s="150">
        <f>'District ADAEnrollment'!X186</f>
        <v>0</v>
      </c>
      <c r="D180" s="185"/>
      <c r="E180" s="92">
        <v>45758</v>
      </c>
      <c r="F180" s="93" t="s">
        <v>41</v>
      </c>
      <c r="G180" s="197">
        <f>'District ADAEnrollment'!Z186</f>
        <v>0</v>
      </c>
      <c r="H180" s="185"/>
      <c r="I180" s="92">
        <v>45758</v>
      </c>
      <c r="J180" s="93" t="s">
        <v>41</v>
      </c>
      <c r="K180" s="94">
        <f>'District ADAEnrollment'!AB186</f>
        <v>0</v>
      </c>
      <c r="L180" s="198">
        <f t="shared" si="0"/>
        <v>0</v>
      </c>
    </row>
    <row r="181" spans="1:12" ht="12.75" x14ac:dyDescent="0.2">
      <c r="A181" s="92">
        <v>45761</v>
      </c>
      <c r="B181" s="93" t="s">
        <v>33</v>
      </c>
      <c r="C181" s="150">
        <f>'District ADAEnrollment'!X187</f>
        <v>0</v>
      </c>
      <c r="D181" s="185"/>
      <c r="E181" s="92">
        <v>45761</v>
      </c>
      <c r="F181" s="93" t="s">
        <v>33</v>
      </c>
      <c r="G181" s="197">
        <f>'District ADAEnrollment'!Z187</f>
        <v>0</v>
      </c>
      <c r="H181" s="185"/>
      <c r="I181" s="92">
        <v>45761</v>
      </c>
      <c r="J181" s="93" t="s">
        <v>33</v>
      </c>
      <c r="K181" s="94">
        <f>'District ADAEnrollment'!AB187</f>
        <v>0</v>
      </c>
      <c r="L181" s="198">
        <f t="shared" si="0"/>
        <v>0</v>
      </c>
    </row>
    <row r="182" spans="1:12" ht="12.75" x14ac:dyDescent="0.2">
      <c r="A182" s="92">
        <v>45762</v>
      </c>
      <c r="B182" s="93" t="s">
        <v>35</v>
      </c>
      <c r="C182" s="150">
        <f>'District ADAEnrollment'!X188</f>
        <v>0</v>
      </c>
      <c r="D182" s="185"/>
      <c r="E182" s="92">
        <v>45762</v>
      </c>
      <c r="F182" s="93" t="s">
        <v>35</v>
      </c>
      <c r="G182" s="197">
        <f>'District ADAEnrollment'!Z188</f>
        <v>0</v>
      </c>
      <c r="H182" s="185"/>
      <c r="I182" s="92">
        <v>45762</v>
      </c>
      <c r="J182" s="93" t="s">
        <v>35</v>
      </c>
      <c r="K182" s="94">
        <f>'District ADAEnrollment'!AB188</f>
        <v>0</v>
      </c>
      <c r="L182" s="198">
        <f t="shared" si="0"/>
        <v>0</v>
      </c>
    </row>
    <row r="183" spans="1:12" ht="12.75" x14ac:dyDescent="0.2">
      <c r="A183" s="92">
        <v>45763</v>
      </c>
      <c r="B183" s="93" t="s">
        <v>37</v>
      </c>
      <c r="C183" s="150">
        <f>'District ADAEnrollment'!X189</f>
        <v>0</v>
      </c>
      <c r="D183" s="185"/>
      <c r="E183" s="92">
        <v>45763</v>
      </c>
      <c r="F183" s="93" t="s">
        <v>37</v>
      </c>
      <c r="G183" s="197">
        <f>'District ADAEnrollment'!Z189</f>
        <v>0</v>
      </c>
      <c r="H183" s="185"/>
      <c r="I183" s="92">
        <v>45763</v>
      </c>
      <c r="J183" s="93" t="s">
        <v>37</v>
      </c>
      <c r="K183" s="94">
        <f>'District ADAEnrollment'!AB189</f>
        <v>0</v>
      </c>
      <c r="L183" s="198">
        <f t="shared" si="0"/>
        <v>0</v>
      </c>
    </row>
    <row r="184" spans="1:12" ht="12.75" x14ac:dyDescent="0.2">
      <c r="A184" s="92">
        <v>45764</v>
      </c>
      <c r="B184" s="93" t="s">
        <v>39</v>
      </c>
      <c r="C184" s="150">
        <f>'District ADAEnrollment'!X190</f>
        <v>0</v>
      </c>
      <c r="D184" s="185"/>
      <c r="E184" s="92">
        <v>45764</v>
      </c>
      <c r="F184" s="93" t="s">
        <v>39</v>
      </c>
      <c r="G184" s="197">
        <f>'District ADAEnrollment'!Z190</f>
        <v>0</v>
      </c>
      <c r="H184" s="185"/>
      <c r="I184" s="92">
        <v>45764</v>
      </c>
      <c r="J184" s="93" t="s">
        <v>39</v>
      </c>
      <c r="K184" s="94">
        <f>'District ADAEnrollment'!AB190</f>
        <v>0</v>
      </c>
      <c r="L184" s="198">
        <f t="shared" si="0"/>
        <v>0</v>
      </c>
    </row>
    <row r="185" spans="1:12" ht="12.75" x14ac:dyDescent="0.2">
      <c r="A185" s="103">
        <v>45765</v>
      </c>
      <c r="B185" s="104" t="s">
        <v>41</v>
      </c>
      <c r="C185" s="150">
        <f>'District ADAEnrollment'!X191</f>
        <v>0</v>
      </c>
      <c r="D185" s="185"/>
      <c r="E185" s="103">
        <v>45765</v>
      </c>
      <c r="F185" s="104" t="s">
        <v>41</v>
      </c>
      <c r="G185" s="197">
        <f>'District ADAEnrollment'!Z191</f>
        <v>0</v>
      </c>
      <c r="H185" s="185"/>
      <c r="I185" s="103">
        <v>45765</v>
      </c>
      <c r="J185" s="104" t="s">
        <v>41</v>
      </c>
      <c r="K185" s="94">
        <f>'District ADAEnrollment'!AB191</f>
        <v>0</v>
      </c>
      <c r="L185" s="198">
        <f t="shared" si="0"/>
        <v>0</v>
      </c>
    </row>
    <row r="186" spans="1:12" ht="12.75" x14ac:dyDescent="0.2">
      <c r="A186" s="103">
        <v>45768</v>
      </c>
      <c r="B186" s="104" t="s">
        <v>33</v>
      </c>
      <c r="C186" s="150">
        <f>'District ADAEnrollment'!X192</f>
        <v>0</v>
      </c>
      <c r="D186" s="185"/>
      <c r="E186" s="103">
        <v>45768</v>
      </c>
      <c r="F186" s="104" t="s">
        <v>33</v>
      </c>
      <c r="G186" s="197">
        <f>'District ADAEnrollment'!Z192</f>
        <v>0</v>
      </c>
      <c r="H186" s="185"/>
      <c r="I186" s="103">
        <v>45768</v>
      </c>
      <c r="J186" s="104" t="s">
        <v>33</v>
      </c>
      <c r="K186" s="94">
        <f>'District ADAEnrollment'!AB192</f>
        <v>0</v>
      </c>
      <c r="L186" s="198">
        <f t="shared" si="0"/>
        <v>0</v>
      </c>
    </row>
    <row r="187" spans="1:12" ht="12.75" x14ac:dyDescent="0.2">
      <c r="A187" s="92">
        <v>45769</v>
      </c>
      <c r="B187" s="93" t="s">
        <v>35</v>
      </c>
      <c r="C187" s="150">
        <f>'District ADAEnrollment'!X193</f>
        <v>0</v>
      </c>
      <c r="D187" s="185"/>
      <c r="E187" s="92">
        <v>45769</v>
      </c>
      <c r="F187" s="93" t="s">
        <v>35</v>
      </c>
      <c r="G187" s="197">
        <f>'District ADAEnrollment'!Z193</f>
        <v>0</v>
      </c>
      <c r="H187" s="185"/>
      <c r="I187" s="92">
        <v>45769</v>
      </c>
      <c r="J187" s="93" t="s">
        <v>35</v>
      </c>
      <c r="K187" s="94">
        <f>'District ADAEnrollment'!AB193</f>
        <v>0</v>
      </c>
      <c r="L187" s="198">
        <f t="shared" si="0"/>
        <v>0</v>
      </c>
    </row>
    <row r="188" spans="1:12" ht="12.75" x14ac:dyDescent="0.2">
      <c r="A188" s="92">
        <v>45770</v>
      </c>
      <c r="B188" s="93" t="s">
        <v>37</v>
      </c>
      <c r="C188" s="150">
        <f>'District ADAEnrollment'!X194</f>
        <v>0</v>
      </c>
      <c r="D188" s="185"/>
      <c r="E188" s="92">
        <v>45770</v>
      </c>
      <c r="F188" s="93" t="s">
        <v>37</v>
      </c>
      <c r="G188" s="197">
        <f>'District ADAEnrollment'!Z194</f>
        <v>0</v>
      </c>
      <c r="H188" s="185"/>
      <c r="I188" s="92">
        <v>45770</v>
      </c>
      <c r="J188" s="93" t="s">
        <v>37</v>
      </c>
      <c r="K188" s="94">
        <f>'District ADAEnrollment'!AB194</f>
        <v>0</v>
      </c>
      <c r="L188" s="198">
        <f t="shared" si="0"/>
        <v>0</v>
      </c>
    </row>
    <row r="189" spans="1:12" ht="12.75" x14ac:dyDescent="0.2">
      <c r="A189" s="92">
        <v>45771</v>
      </c>
      <c r="B189" s="93" t="s">
        <v>39</v>
      </c>
      <c r="C189" s="150">
        <f>'District ADAEnrollment'!X195</f>
        <v>0</v>
      </c>
      <c r="D189" s="185"/>
      <c r="E189" s="92">
        <v>45771</v>
      </c>
      <c r="F189" s="93" t="s">
        <v>39</v>
      </c>
      <c r="G189" s="197">
        <f>'District ADAEnrollment'!Z195</f>
        <v>0</v>
      </c>
      <c r="H189" s="185"/>
      <c r="I189" s="92">
        <v>45771</v>
      </c>
      <c r="J189" s="93" t="s">
        <v>39</v>
      </c>
      <c r="K189" s="94">
        <f>'District ADAEnrollment'!AB195</f>
        <v>0</v>
      </c>
      <c r="L189" s="198">
        <f t="shared" si="0"/>
        <v>0</v>
      </c>
    </row>
    <row r="190" spans="1:12" ht="12.75" x14ac:dyDescent="0.2">
      <c r="A190" s="92">
        <v>45772</v>
      </c>
      <c r="B190" s="93" t="s">
        <v>41</v>
      </c>
      <c r="C190" s="150">
        <f>'District ADAEnrollment'!X196</f>
        <v>0</v>
      </c>
      <c r="D190" s="185"/>
      <c r="E190" s="92">
        <v>45772</v>
      </c>
      <c r="F190" s="93" t="s">
        <v>41</v>
      </c>
      <c r="G190" s="197">
        <f>'District ADAEnrollment'!Z196</f>
        <v>0</v>
      </c>
      <c r="H190" s="185"/>
      <c r="I190" s="92">
        <v>45772</v>
      </c>
      <c r="J190" s="93" t="s">
        <v>41</v>
      </c>
      <c r="K190" s="94">
        <f>'District ADAEnrollment'!AB196</f>
        <v>0</v>
      </c>
      <c r="L190" s="198">
        <f t="shared" si="0"/>
        <v>0</v>
      </c>
    </row>
    <row r="191" spans="1:12" ht="12.75" x14ac:dyDescent="0.2">
      <c r="A191" s="92">
        <v>45775</v>
      </c>
      <c r="B191" s="93" t="s">
        <v>33</v>
      </c>
      <c r="C191" s="150">
        <f>'District ADAEnrollment'!X197</f>
        <v>0</v>
      </c>
      <c r="D191" s="185"/>
      <c r="E191" s="92">
        <v>45775</v>
      </c>
      <c r="F191" s="93" t="s">
        <v>33</v>
      </c>
      <c r="G191" s="197">
        <f>'District ADAEnrollment'!Z197</f>
        <v>0</v>
      </c>
      <c r="H191" s="185"/>
      <c r="I191" s="92">
        <v>45775</v>
      </c>
      <c r="J191" s="93" t="s">
        <v>33</v>
      </c>
      <c r="K191" s="94">
        <f>'District ADAEnrollment'!AB197</f>
        <v>0</v>
      </c>
      <c r="L191" s="198">
        <f t="shared" si="0"/>
        <v>0</v>
      </c>
    </row>
    <row r="192" spans="1:12" ht="12.75" x14ac:dyDescent="0.2">
      <c r="A192" s="92">
        <v>45776</v>
      </c>
      <c r="B192" s="93" t="s">
        <v>35</v>
      </c>
      <c r="C192" s="150">
        <f>'District ADAEnrollment'!X198</f>
        <v>0</v>
      </c>
      <c r="D192" s="185"/>
      <c r="E192" s="92">
        <v>45776</v>
      </c>
      <c r="F192" s="93" t="s">
        <v>35</v>
      </c>
      <c r="G192" s="197">
        <f>'District ADAEnrollment'!Z198</f>
        <v>0</v>
      </c>
      <c r="H192" s="185"/>
      <c r="I192" s="92">
        <v>45776</v>
      </c>
      <c r="J192" s="93" t="s">
        <v>35</v>
      </c>
      <c r="K192" s="94">
        <f>'District ADAEnrollment'!AB198</f>
        <v>0</v>
      </c>
      <c r="L192" s="198">
        <f t="shared" si="0"/>
        <v>0</v>
      </c>
    </row>
    <row r="193" spans="1:12" ht="12.75" x14ac:dyDescent="0.2">
      <c r="A193" s="92">
        <v>45777</v>
      </c>
      <c r="B193" s="93" t="s">
        <v>37</v>
      </c>
      <c r="C193" s="150">
        <f>'District ADAEnrollment'!X199</f>
        <v>0</v>
      </c>
      <c r="D193" s="185"/>
      <c r="E193" s="92">
        <v>45777</v>
      </c>
      <c r="F193" s="93" t="s">
        <v>37</v>
      </c>
      <c r="G193" s="197">
        <f>'District ADAEnrollment'!Z199</f>
        <v>0</v>
      </c>
      <c r="H193" s="185"/>
      <c r="I193" s="92">
        <v>45777</v>
      </c>
      <c r="J193" s="93" t="s">
        <v>37</v>
      </c>
      <c r="K193" s="94">
        <f>'District ADAEnrollment'!AB199</f>
        <v>0</v>
      </c>
      <c r="L193" s="198">
        <f t="shared" si="0"/>
        <v>0</v>
      </c>
    </row>
    <row r="194" spans="1:12" ht="12.75" x14ac:dyDescent="0.2">
      <c r="A194" s="92">
        <v>45778</v>
      </c>
      <c r="B194" s="93" t="s">
        <v>39</v>
      </c>
      <c r="C194" s="150">
        <f>'District ADAEnrollment'!X200</f>
        <v>0</v>
      </c>
      <c r="D194" s="185"/>
      <c r="E194" s="92">
        <v>45778</v>
      </c>
      <c r="F194" s="93" t="s">
        <v>39</v>
      </c>
      <c r="G194" s="197">
        <f>'District ADAEnrollment'!Z200</f>
        <v>0</v>
      </c>
      <c r="H194" s="185"/>
      <c r="I194" s="92">
        <v>45778</v>
      </c>
      <c r="J194" s="93" t="s">
        <v>39</v>
      </c>
      <c r="K194" s="94">
        <f>'District ADAEnrollment'!AB200</f>
        <v>0</v>
      </c>
      <c r="L194" s="198">
        <f t="shared" si="0"/>
        <v>0</v>
      </c>
    </row>
    <row r="195" spans="1:12" ht="12.75" x14ac:dyDescent="0.2">
      <c r="A195" s="92">
        <v>45779</v>
      </c>
      <c r="B195" s="93" t="s">
        <v>41</v>
      </c>
      <c r="C195" s="150">
        <f>'District ADAEnrollment'!X201</f>
        <v>0</v>
      </c>
      <c r="D195" s="185"/>
      <c r="E195" s="92">
        <v>45779</v>
      </c>
      <c r="F195" s="93" t="s">
        <v>41</v>
      </c>
      <c r="G195" s="197">
        <f>'District ADAEnrollment'!Z201</f>
        <v>0</v>
      </c>
      <c r="H195" s="185"/>
      <c r="I195" s="92">
        <v>45779</v>
      </c>
      <c r="J195" s="93" t="s">
        <v>41</v>
      </c>
      <c r="K195" s="94">
        <f>'District ADAEnrollment'!AB201</f>
        <v>0</v>
      </c>
      <c r="L195" s="198">
        <f t="shared" si="0"/>
        <v>0</v>
      </c>
    </row>
    <row r="196" spans="1:12" ht="12.75" x14ac:dyDescent="0.2">
      <c r="A196" s="92">
        <v>45782</v>
      </c>
      <c r="B196" s="93" t="s">
        <v>33</v>
      </c>
      <c r="C196" s="150">
        <f>'District ADAEnrollment'!X202</f>
        <v>0</v>
      </c>
      <c r="D196" s="185"/>
      <c r="E196" s="92">
        <v>45782</v>
      </c>
      <c r="F196" s="93" t="s">
        <v>33</v>
      </c>
      <c r="G196" s="197">
        <f>'District ADAEnrollment'!Z202</f>
        <v>0</v>
      </c>
      <c r="H196" s="185"/>
      <c r="I196" s="92">
        <v>45782</v>
      </c>
      <c r="J196" s="93" t="s">
        <v>33</v>
      </c>
      <c r="K196" s="94">
        <f>'District ADAEnrollment'!AB202</f>
        <v>0</v>
      </c>
      <c r="L196" s="198">
        <f t="shared" si="0"/>
        <v>0</v>
      </c>
    </row>
    <row r="197" spans="1:12" ht="12.75" x14ac:dyDescent="0.2">
      <c r="A197" s="92">
        <v>45783</v>
      </c>
      <c r="B197" s="93" t="s">
        <v>35</v>
      </c>
      <c r="C197" s="150">
        <f>'District ADAEnrollment'!X203</f>
        <v>0</v>
      </c>
      <c r="D197" s="185"/>
      <c r="E197" s="92">
        <v>45783</v>
      </c>
      <c r="F197" s="93" t="s">
        <v>35</v>
      </c>
      <c r="G197" s="197">
        <f>'District ADAEnrollment'!Z203</f>
        <v>0</v>
      </c>
      <c r="H197" s="185"/>
      <c r="I197" s="92">
        <v>45783</v>
      </c>
      <c r="J197" s="93" t="s">
        <v>35</v>
      </c>
      <c r="K197" s="94">
        <f>'District ADAEnrollment'!AB203</f>
        <v>0</v>
      </c>
      <c r="L197" s="198">
        <f t="shared" si="0"/>
        <v>0</v>
      </c>
    </row>
    <row r="198" spans="1:12" ht="12.75" x14ac:dyDescent="0.2">
      <c r="A198" s="92">
        <v>45784</v>
      </c>
      <c r="B198" s="93" t="s">
        <v>37</v>
      </c>
      <c r="C198" s="150">
        <f>'District ADAEnrollment'!X204</f>
        <v>0</v>
      </c>
      <c r="D198" s="185"/>
      <c r="E198" s="92">
        <v>45784</v>
      </c>
      <c r="F198" s="93" t="s">
        <v>37</v>
      </c>
      <c r="G198" s="197">
        <f>'District ADAEnrollment'!Z204</f>
        <v>0</v>
      </c>
      <c r="H198" s="185"/>
      <c r="I198" s="92">
        <v>45784</v>
      </c>
      <c r="J198" s="93" t="s">
        <v>37</v>
      </c>
      <c r="K198" s="94">
        <f>'District ADAEnrollment'!AB204</f>
        <v>0</v>
      </c>
      <c r="L198" s="198">
        <f t="shared" si="0"/>
        <v>0</v>
      </c>
    </row>
    <row r="199" spans="1:12" ht="12.75" x14ac:dyDescent="0.2">
      <c r="A199" s="92">
        <v>45785</v>
      </c>
      <c r="B199" s="93" t="s">
        <v>39</v>
      </c>
      <c r="C199" s="150">
        <f>'District ADAEnrollment'!X205</f>
        <v>0</v>
      </c>
      <c r="D199" s="185"/>
      <c r="E199" s="92">
        <v>45785</v>
      </c>
      <c r="F199" s="93" t="s">
        <v>39</v>
      </c>
      <c r="G199" s="197">
        <f>'District ADAEnrollment'!Z205</f>
        <v>0</v>
      </c>
      <c r="H199" s="185"/>
      <c r="I199" s="92">
        <v>45785</v>
      </c>
      <c r="J199" s="93" t="s">
        <v>39</v>
      </c>
      <c r="K199" s="94">
        <f>'District ADAEnrollment'!AB205</f>
        <v>0</v>
      </c>
      <c r="L199" s="198">
        <f t="shared" si="0"/>
        <v>0</v>
      </c>
    </row>
    <row r="200" spans="1:12" ht="12.75" x14ac:dyDescent="0.2">
      <c r="A200" s="92">
        <v>45786</v>
      </c>
      <c r="B200" s="93" t="s">
        <v>41</v>
      </c>
      <c r="C200" s="150">
        <f>'District ADAEnrollment'!X206</f>
        <v>0</v>
      </c>
      <c r="D200" s="185"/>
      <c r="E200" s="92">
        <v>45786</v>
      </c>
      <c r="F200" s="93" t="s">
        <v>41</v>
      </c>
      <c r="G200" s="197">
        <f>'District ADAEnrollment'!Z206</f>
        <v>0</v>
      </c>
      <c r="H200" s="185"/>
      <c r="I200" s="92">
        <v>45786</v>
      </c>
      <c r="J200" s="93" t="s">
        <v>41</v>
      </c>
      <c r="K200" s="94">
        <f>'District ADAEnrollment'!AB206</f>
        <v>0</v>
      </c>
      <c r="L200" s="198">
        <f t="shared" si="0"/>
        <v>0</v>
      </c>
    </row>
    <row r="201" spans="1:12" ht="12.75" x14ac:dyDescent="0.2">
      <c r="A201" s="92">
        <v>45789</v>
      </c>
      <c r="B201" s="93" t="s">
        <v>33</v>
      </c>
      <c r="C201" s="150">
        <f>'District ADAEnrollment'!X207</f>
        <v>0</v>
      </c>
      <c r="D201" s="185"/>
      <c r="E201" s="92">
        <v>45789</v>
      </c>
      <c r="F201" s="93" t="s">
        <v>33</v>
      </c>
      <c r="G201" s="197">
        <f>'District ADAEnrollment'!Z207</f>
        <v>0</v>
      </c>
      <c r="H201" s="185"/>
      <c r="I201" s="92">
        <v>45789</v>
      </c>
      <c r="J201" s="93" t="s">
        <v>33</v>
      </c>
      <c r="K201" s="94">
        <f>'District ADAEnrollment'!AB207</f>
        <v>0</v>
      </c>
      <c r="L201" s="198">
        <f t="shared" si="0"/>
        <v>0</v>
      </c>
    </row>
    <row r="202" spans="1:12" ht="12.75" x14ac:dyDescent="0.2">
      <c r="A202" s="92">
        <v>45790</v>
      </c>
      <c r="B202" s="93" t="s">
        <v>35</v>
      </c>
      <c r="C202" s="150">
        <f>'District ADAEnrollment'!X208</f>
        <v>0</v>
      </c>
      <c r="D202" s="185"/>
      <c r="E202" s="92">
        <v>45790</v>
      </c>
      <c r="F202" s="93" t="s">
        <v>35</v>
      </c>
      <c r="G202" s="197">
        <f>'District ADAEnrollment'!Z208</f>
        <v>0</v>
      </c>
      <c r="H202" s="185"/>
      <c r="I202" s="92">
        <v>45790</v>
      </c>
      <c r="J202" s="93" t="s">
        <v>35</v>
      </c>
      <c r="K202" s="94">
        <f>'District ADAEnrollment'!AB208</f>
        <v>0</v>
      </c>
      <c r="L202" s="198">
        <f t="shared" si="0"/>
        <v>0</v>
      </c>
    </row>
    <row r="203" spans="1:12" ht="12.75" x14ac:dyDescent="0.2">
      <c r="A203" s="92">
        <v>45791</v>
      </c>
      <c r="B203" s="93" t="s">
        <v>37</v>
      </c>
      <c r="C203" s="150">
        <f>'District ADAEnrollment'!X209</f>
        <v>0</v>
      </c>
      <c r="D203" s="185"/>
      <c r="E203" s="92">
        <v>45791</v>
      </c>
      <c r="F203" s="93" t="s">
        <v>37</v>
      </c>
      <c r="G203" s="197">
        <f>'District ADAEnrollment'!Z209</f>
        <v>0</v>
      </c>
      <c r="H203" s="185"/>
      <c r="I203" s="92">
        <v>45791</v>
      </c>
      <c r="J203" s="93" t="s">
        <v>37</v>
      </c>
      <c r="K203" s="94">
        <f>'District ADAEnrollment'!AB209</f>
        <v>0</v>
      </c>
      <c r="L203" s="198">
        <f t="shared" si="0"/>
        <v>0</v>
      </c>
    </row>
    <row r="204" spans="1:12" ht="12.75" x14ac:dyDescent="0.2">
      <c r="A204" s="92">
        <v>45792</v>
      </c>
      <c r="B204" s="93" t="s">
        <v>39</v>
      </c>
      <c r="C204" s="150">
        <f>'District ADAEnrollment'!X210</f>
        <v>0</v>
      </c>
      <c r="D204" s="185"/>
      <c r="E204" s="92">
        <v>45792</v>
      </c>
      <c r="F204" s="93" t="s">
        <v>39</v>
      </c>
      <c r="G204" s="197">
        <f>'District ADAEnrollment'!Z210</f>
        <v>0</v>
      </c>
      <c r="H204" s="185"/>
      <c r="I204" s="92">
        <v>45792</v>
      </c>
      <c r="J204" s="93" t="s">
        <v>39</v>
      </c>
      <c r="K204" s="94">
        <f>'District ADAEnrollment'!AB210</f>
        <v>0</v>
      </c>
      <c r="L204" s="198">
        <f t="shared" si="0"/>
        <v>0</v>
      </c>
    </row>
    <row r="205" spans="1:12" ht="12.75" x14ac:dyDescent="0.2">
      <c r="A205" s="92">
        <v>45793</v>
      </c>
      <c r="B205" s="93" t="s">
        <v>41</v>
      </c>
      <c r="C205" s="150">
        <f>'District ADAEnrollment'!X211</f>
        <v>0</v>
      </c>
      <c r="D205" s="185"/>
      <c r="E205" s="92">
        <v>45793</v>
      </c>
      <c r="F205" s="93" t="s">
        <v>41</v>
      </c>
      <c r="G205" s="197">
        <f>'District ADAEnrollment'!Z211</f>
        <v>0</v>
      </c>
      <c r="H205" s="185"/>
      <c r="I205" s="92">
        <v>45793</v>
      </c>
      <c r="J205" s="93" t="s">
        <v>41</v>
      </c>
      <c r="K205" s="94">
        <f>'District ADAEnrollment'!AB211</f>
        <v>0</v>
      </c>
      <c r="L205" s="198">
        <f t="shared" si="0"/>
        <v>0</v>
      </c>
    </row>
    <row r="206" spans="1:12" ht="12.75" x14ac:dyDescent="0.2">
      <c r="A206" s="92">
        <v>45796</v>
      </c>
      <c r="B206" s="93" t="s">
        <v>33</v>
      </c>
      <c r="C206" s="150">
        <f>'District ADAEnrollment'!X212</f>
        <v>0</v>
      </c>
      <c r="D206" s="185"/>
      <c r="E206" s="92">
        <v>45796</v>
      </c>
      <c r="F206" s="93" t="s">
        <v>33</v>
      </c>
      <c r="G206" s="197">
        <f>'District ADAEnrollment'!Z212</f>
        <v>0</v>
      </c>
      <c r="H206" s="185"/>
      <c r="I206" s="92">
        <v>45796</v>
      </c>
      <c r="J206" s="93" t="s">
        <v>33</v>
      </c>
      <c r="K206" s="94">
        <f>'District ADAEnrollment'!AB212</f>
        <v>0</v>
      </c>
      <c r="L206" s="198">
        <f t="shared" si="0"/>
        <v>0</v>
      </c>
    </row>
    <row r="207" spans="1:12" ht="12.75" x14ac:dyDescent="0.2">
      <c r="A207" s="92">
        <v>45797</v>
      </c>
      <c r="B207" s="93" t="s">
        <v>35</v>
      </c>
      <c r="C207" s="150">
        <f>'District ADAEnrollment'!X213</f>
        <v>0</v>
      </c>
      <c r="D207" s="185"/>
      <c r="E207" s="92">
        <v>45797</v>
      </c>
      <c r="F207" s="93" t="s">
        <v>35</v>
      </c>
      <c r="G207" s="197">
        <f>'District ADAEnrollment'!Z213</f>
        <v>0</v>
      </c>
      <c r="H207" s="185"/>
      <c r="I207" s="92">
        <v>45797</v>
      </c>
      <c r="J207" s="93" t="s">
        <v>35</v>
      </c>
      <c r="K207" s="94">
        <f>'District ADAEnrollment'!AB213</f>
        <v>0</v>
      </c>
      <c r="L207" s="198">
        <f t="shared" si="0"/>
        <v>0</v>
      </c>
    </row>
    <row r="208" spans="1:12" ht="12.75" x14ac:dyDescent="0.2">
      <c r="A208" s="92">
        <v>45798</v>
      </c>
      <c r="B208" s="93" t="s">
        <v>37</v>
      </c>
      <c r="C208" s="150">
        <f>'District ADAEnrollment'!X214</f>
        <v>0</v>
      </c>
      <c r="D208" s="185"/>
      <c r="E208" s="92">
        <v>45798</v>
      </c>
      <c r="F208" s="93" t="s">
        <v>37</v>
      </c>
      <c r="G208" s="197">
        <f>'District ADAEnrollment'!Z214</f>
        <v>0</v>
      </c>
      <c r="H208" s="185"/>
      <c r="I208" s="92">
        <v>45798</v>
      </c>
      <c r="J208" s="93" t="s">
        <v>37</v>
      </c>
      <c r="K208" s="94">
        <f>'District ADAEnrollment'!AB214</f>
        <v>0</v>
      </c>
      <c r="L208" s="198">
        <f t="shared" si="0"/>
        <v>0</v>
      </c>
    </row>
    <row r="209" spans="1:12" ht="12.75" x14ac:dyDescent="0.2">
      <c r="A209" s="92">
        <v>45799</v>
      </c>
      <c r="B209" s="93" t="s">
        <v>39</v>
      </c>
      <c r="C209" s="150">
        <f>'District ADAEnrollment'!X215</f>
        <v>0</v>
      </c>
      <c r="D209" s="185"/>
      <c r="E209" s="92">
        <v>45799</v>
      </c>
      <c r="F209" s="93" t="s">
        <v>39</v>
      </c>
      <c r="G209" s="197">
        <f>'District ADAEnrollment'!Z215</f>
        <v>0</v>
      </c>
      <c r="H209" s="185"/>
      <c r="I209" s="92">
        <v>45799</v>
      </c>
      <c r="J209" s="93" t="s">
        <v>39</v>
      </c>
      <c r="K209" s="94">
        <f>'District ADAEnrollment'!AB215</f>
        <v>0</v>
      </c>
      <c r="L209" s="198">
        <f t="shared" si="0"/>
        <v>0</v>
      </c>
    </row>
    <row r="210" spans="1:12" ht="12.75" x14ac:dyDescent="0.2">
      <c r="A210" s="92">
        <v>45800</v>
      </c>
      <c r="B210" s="93" t="s">
        <v>41</v>
      </c>
      <c r="C210" s="150">
        <f>'District ADAEnrollment'!X216</f>
        <v>0</v>
      </c>
      <c r="D210" s="185"/>
      <c r="E210" s="92">
        <v>45800</v>
      </c>
      <c r="F210" s="93" t="s">
        <v>41</v>
      </c>
      <c r="G210" s="197">
        <f>'District ADAEnrollment'!Z216</f>
        <v>0</v>
      </c>
      <c r="H210" s="185"/>
      <c r="I210" s="92">
        <v>45800</v>
      </c>
      <c r="J210" s="93" t="s">
        <v>41</v>
      </c>
      <c r="K210" s="94">
        <f>'District ADAEnrollment'!AB216</f>
        <v>0</v>
      </c>
      <c r="L210" s="198">
        <f t="shared" si="0"/>
        <v>0</v>
      </c>
    </row>
    <row r="211" spans="1:12" ht="12.75" x14ac:dyDescent="0.2">
      <c r="A211" s="103">
        <v>45803</v>
      </c>
      <c r="B211" s="104" t="s">
        <v>33</v>
      </c>
      <c r="C211" s="150">
        <f>'District ADAEnrollment'!X217</f>
        <v>0</v>
      </c>
      <c r="D211" s="185"/>
      <c r="E211" s="103">
        <v>45803</v>
      </c>
      <c r="F211" s="104" t="s">
        <v>33</v>
      </c>
      <c r="G211" s="197">
        <f>'District ADAEnrollment'!Z217</f>
        <v>0</v>
      </c>
      <c r="H211" s="185"/>
      <c r="I211" s="103">
        <v>45803</v>
      </c>
      <c r="J211" s="104" t="s">
        <v>33</v>
      </c>
      <c r="K211" s="94">
        <f>'District ADAEnrollment'!AB217</f>
        <v>0</v>
      </c>
      <c r="L211" s="198">
        <f t="shared" si="0"/>
        <v>0</v>
      </c>
    </row>
    <row r="212" spans="1:12" ht="12.75" x14ac:dyDescent="0.2">
      <c r="A212" s="92">
        <v>45804</v>
      </c>
      <c r="B212" s="93" t="s">
        <v>35</v>
      </c>
      <c r="C212" s="150">
        <f>'District ADAEnrollment'!X218</f>
        <v>0</v>
      </c>
      <c r="D212" s="185"/>
      <c r="E212" s="92">
        <v>45804</v>
      </c>
      <c r="F212" s="93" t="s">
        <v>35</v>
      </c>
      <c r="G212" s="197">
        <f>'District ADAEnrollment'!Z218</f>
        <v>0</v>
      </c>
      <c r="H212" s="185"/>
      <c r="I212" s="92">
        <v>45804</v>
      </c>
      <c r="J212" s="93" t="s">
        <v>35</v>
      </c>
      <c r="K212" s="94">
        <f>'District ADAEnrollment'!AB218</f>
        <v>0</v>
      </c>
      <c r="L212" s="198">
        <f t="shared" si="0"/>
        <v>0</v>
      </c>
    </row>
    <row r="213" spans="1:12" ht="12.75" x14ac:dyDescent="0.2">
      <c r="A213" s="92">
        <v>45805</v>
      </c>
      <c r="B213" s="93" t="s">
        <v>37</v>
      </c>
      <c r="C213" s="150">
        <f>'District ADAEnrollment'!X219</f>
        <v>0</v>
      </c>
      <c r="D213" s="185"/>
      <c r="E213" s="92">
        <v>45805</v>
      </c>
      <c r="F213" s="93" t="s">
        <v>37</v>
      </c>
      <c r="G213" s="197">
        <f>'District ADAEnrollment'!Z219</f>
        <v>0</v>
      </c>
      <c r="H213" s="185"/>
      <c r="I213" s="92">
        <v>45805</v>
      </c>
      <c r="J213" s="93" t="s">
        <v>37</v>
      </c>
      <c r="K213" s="94">
        <f>'District ADAEnrollment'!AB219</f>
        <v>0</v>
      </c>
      <c r="L213" s="198">
        <f t="shared" si="0"/>
        <v>0</v>
      </c>
    </row>
    <row r="214" spans="1:12" ht="12.75" x14ac:dyDescent="0.2">
      <c r="A214" s="92">
        <v>45806</v>
      </c>
      <c r="B214" s="125" t="s">
        <v>39</v>
      </c>
      <c r="C214" s="150">
        <f>'District ADAEnrollment'!X220</f>
        <v>0</v>
      </c>
      <c r="D214" s="185"/>
      <c r="E214" s="92">
        <v>45806</v>
      </c>
      <c r="F214" s="125" t="s">
        <v>39</v>
      </c>
      <c r="G214" s="197">
        <f>'District ADAEnrollment'!Z220</f>
        <v>0</v>
      </c>
      <c r="H214" s="185"/>
      <c r="I214" s="92">
        <v>45806</v>
      </c>
      <c r="J214" s="125" t="s">
        <v>39</v>
      </c>
      <c r="K214" s="94">
        <f>'District ADAEnrollment'!AB220</f>
        <v>0</v>
      </c>
      <c r="L214" s="198">
        <f t="shared" si="0"/>
        <v>0</v>
      </c>
    </row>
    <row r="215" spans="1:12" ht="12.75" x14ac:dyDescent="0.2">
      <c r="A215" s="95"/>
      <c r="B215" s="95"/>
      <c r="C215" s="94"/>
      <c r="D215" s="185"/>
      <c r="E215" s="95"/>
      <c r="F215" s="95"/>
      <c r="G215" s="94"/>
      <c r="H215" s="185"/>
      <c r="I215" s="95"/>
      <c r="J215" s="95"/>
      <c r="K215" s="94">
        <f>'District ADAEnrollment'!AB221</f>
        <v>0</v>
      </c>
      <c r="L215" s="191"/>
    </row>
    <row r="216" spans="1:12" ht="12.75" x14ac:dyDescent="0.2">
      <c r="A216" s="95"/>
      <c r="B216" s="95"/>
      <c r="C216" s="94"/>
      <c r="D216" s="185"/>
      <c r="E216" s="95"/>
      <c r="F216" s="95"/>
      <c r="G216" s="94"/>
      <c r="H216" s="185"/>
      <c r="I216" s="95"/>
      <c r="J216" s="95"/>
      <c r="K216" s="94"/>
      <c r="L216" s="191"/>
    </row>
    <row r="217" spans="1:12" ht="12.75" x14ac:dyDescent="0.2">
      <c r="A217" s="95"/>
      <c r="B217" s="95"/>
      <c r="C217" s="94"/>
      <c r="D217" s="185"/>
      <c r="E217" s="95"/>
      <c r="F217" s="95"/>
      <c r="G217" s="94"/>
      <c r="H217" s="185"/>
      <c r="I217" s="95"/>
      <c r="J217" s="95"/>
      <c r="K217" s="94"/>
      <c r="L217" s="191"/>
    </row>
    <row r="218" spans="1:12" ht="12.75" x14ac:dyDescent="0.2">
      <c r="A218" s="95"/>
      <c r="B218" s="95"/>
      <c r="C218" s="94"/>
      <c r="D218" s="185"/>
      <c r="E218" s="95"/>
      <c r="F218" s="95"/>
      <c r="G218" s="94"/>
      <c r="H218" s="185"/>
      <c r="I218" s="95"/>
      <c r="J218" s="95"/>
      <c r="K218" s="94"/>
      <c r="L218" s="191"/>
    </row>
    <row r="219" spans="1:12" ht="12.75" x14ac:dyDescent="0.2">
      <c r="A219" s="95"/>
      <c r="B219" s="95"/>
      <c r="C219" s="94"/>
      <c r="D219" s="185"/>
      <c r="E219" s="95"/>
      <c r="F219" s="95"/>
      <c r="G219" s="94"/>
      <c r="H219" s="185"/>
      <c r="I219" s="95"/>
      <c r="J219" s="95"/>
      <c r="K219" s="94"/>
      <c r="L219" s="191"/>
    </row>
    <row r="220" spans="1:12" ht="12.75" x14ac:dyDescent="0.2">
      <c r="A220" s="95"/>
      <c r="B220" s="95"/>
      <c r="C220" s="94"/>
      <c r="D220" s="185"/>
      <c r="E220" s="95"/>
      <c r="F220" s="95"/>
      <c r="G220" s="94"/>
      <c r="H220" s="185"/>
      <c r="I220" s="95"/>
      <c r="J220" s="95"/>
      <c r="K220" s="94"/>
      <c r="L220" s="191"/>
    </row>
    <row r="221" spans="1:12" ht="12.75" x14ac:dyDescent="0.2">
      <c r="A221" s="95"/>
      <c r="B221" s="95"/>
      <c r="C221" s="94"/>
      <c r="D221" s="185"/>
      <c r="E221" s="95"/>
      <c r="F221" s="95"/>
      <c r="G221" s="94"/>
      <c r="H221" s="185"/>
      <c r="I221" s="95"/>
      <c r="J221" s="95"/>
      <c r="K221" s="94"/>
      <c r="L221" s="191"/>
    </row>
    <row r="222" spans="1:12" ht="12.75" x14ac:dyDescent="0.2">
      <c r="A222" s="95"/>
      <c r="B222" s="95"/>
      <c r="C222" s="94"/>
      <c r="D222" s="185"/>
      <c r="E222" s="95"/>
      <c r="F222" s="95"/>
      <c r="G222" s="94"/>
      <c r="H222" s="185"/>
      <c r="I222" s="95"/>
      <c r="J222" s="95"/>
      <c r="K222" s="94"/>
      <c r="L222" s="191"/>
    </row>
    <row r="223" spans="1:12" ht="12.75" x14ac:dyDescent="0.2">
      <c r="A223" s="95"/>
      <c r="B223" s="95"/>
      <c r="C223" s="94"/>
      <c r="D223" s="185"/>
      <c r="E223" s="95"/>
      <c r="F223" s="95"/>
      <c r="G223" s="94"/>
      <c r="H223" s="185"/>
      <c r="I223" s="95"/>
      <c r="J223" s="95"/>
      <c r="K223" s="94"/>
      <c r="L223" s="191"/>
    </row>
    <row r="224" spans="1:12" ht="12.75" x14ac:dyDescent="0.2">
      <c r="A224" s="95"/>
      <c r="B224" s="95"/>
      <c r="C224" s="94"/>
      <c r="D224" s="185"/>
      <c r="E224" s="95"/>
      <c r="F224" s="95"/>
      <c r="G224" s="94"/>
      <c r="H224" s="185"/>
      <c r="I224" s="95"/>
      <c r="J224" s="95"/>
      <c r="K224" s="94"/>
      <c r="L224" s="191"/>
    </row>
    <row r="225" spans="1:12" ht="12.75" x14ac:dyDescent="0.2">
      <c r="A225" s="95"/>
      <c r="B225" s="95"/>
      <c r="C225" s="94"/>
      <c r="D225" s="185"/>
      <c r="E225" s="95"/>
      <c r="F225" s="95"/>
      <c r="G225" s="94"/>
      <c r="H225" s="185"/>
      <c r="I225" s="95"/>
      <c r="J225" s="95"/>
      <c r="K225" s="94"/>
      <c r="L225" s="191"/>
    </row>
    <row r="226" spans="1:12" ht="12.75" x14ac:dyDescent="0.2">
      <c r="A226" s="95"/>
      <c r="B226" s="95"/>
      <c r="C226" s="94"/>
      <c r="D226" s="185"/>
      <c r="E226" s="95"/>
      <c r="F226" s="95"/>
      <c r="G226" s="94"/>
      <c r="H226" s="185"/>
      <c r="I226" s="95"/>
      <c r="J226" s="95"/>
      <c r="K226" s="94"/>
      <c r="L226" s="191"/>
    </row>
    <row r="227" spans="1:12" ht="12.75" x14ac:dyDescent="0.2">
      <c r="A227" s="95"/>
      <c r="B227" s="95"/>
      <c r="C227" s="94"/>
      <c r="D227" s="185"/>
      <c r="E227" s="95"/>
      <c r="F227" s="95"/>
      <c r="G227" s="94"/>
      <c r="H227" s="185"/>
      <c r="I227" s="95"/>
      <c r="J227" s="95"/>
      <c r="K227" s="94"/>
      <c r="L227" s="191"/>
    </row>
    <row r="228" spans="1:12" ht="12.75" x14ac:dyDescent="0.2">
      <c r="A228" s="95"/>
      <c r="B228" s="95"/>
      <c r="C228" s="94"/>
      <c r="D228" s="185"/>
      <c r="E228" s="95"/>
      <c r="F228" s="95"/>
      <c r="G228" s="94"/>
      <c r="H228" s="185"/>
      <c r="I228" s="95"/>
      <c r="J228" s="95"/>
      <c r="K228" s="94"/>
      <c r="L228" s="191"/>
    </row>
    <row r="229" spans="1:12" ht="12.75" x14ac:dyDescent="0.2">
      <c r="A229" s="95"/>
      <c r="B229" s="95"/>
      <c r="C229" s="94"/>
      <c r="D229" s="185"/>
      <c r="E229" s="95"/>
      <c r="F229" s="95"/>
      <c r="G229" s="94"/>
      <c r="H229" s="185"/>
      <c r="I229" s="95"/>
      <c r="J229" s="95"/>
      <c r="K229" s="94"/>
      <c r="L229" s="191"/>
    </row>
    <row r="230" spans="1:12" ht="12.75" x14ac:dyDescent="0.2">
      <c r="A230" s="95"/>
      <c r="B230" s="95"/>
      <c r="C230" s="94"/>
      <c r="D230" s="185"/>
      <c r="E230" s="95"/>
      <c r="F230" s="95"/>
      <c r="G230" s="94"/>
      <c r="H230" s="185"/>
      <c r="I230" s="95"/>
      <c r="J230" s="95"/>
      <c r="K230" s="94"/>
      <c r="L230" s="191"/>
    </row>
    <row r="231" spans="1:12" ht="12.75" x14ac:dyDescent="0.2">
      <c r="A231" s="95"/>
      <c r="B231" s="95"/>
      <c r="C231" s="94"/>
      <c r="D231" s="185"/>
      <c r="E231" s="95"/>
      <c r="F231" s="95"/>
      <c r="G231" s="94"/>
      <c r="H231" s="185"/>
      <c r="I231" s="95"/>
      <c r="J231" s="95"/>
      <c r="K231" s="94"/>
      <c r="L231" s="191"/>
    </row>
    <row r="232" spans="1:12" ht="12.75" x14ac:dyDescent="0.2">
      <c r="A232" s="95"/>
      <c r="B232" s="95"/>
      <c r="C232" s="94"/>
      <c r="D232" s="185"/>
      <c r="E232" s="95"/>
      <c r="F232" s="95"/>
      <c r="G232" s="94"/>
      <c r="H232" s="185"/>
      <c r="I232" s="95"/>
      <c r="J232" s="95"/>
      <c r="K232" s="94"/>
      <c r="L232" s="191"/>
    </row>
    <row r="233" spans="1:12" ht="12.75" x14ac:dyDescent="0.2">
      <c r="A233" s="95"/>
      <c r="B233" s="95"/>
      <c r="C233" s="94"/>
      <c r="D233" s="185"/>
      <c r="E233" s="95"/>
      <c r="F233" s="95"/>
      <c r="G233" s="94"/>
      <c r="H233" s="185"/>
      <c r="I233" s="95"/>
      <c r="J233" s="95"/>
      <c r="K233" s="94"/>
      <c r="L233" s="191"/>
    </row>
    <row r="234" spans="1:12" ht="12.75" x14ac:dyDescent="0.2">
      <c r="A234" s="95"/>
      <c r="B234" s="95"/>
      <c r="C234" s="94"/>
      <c r="D234" s="185"/>
      <c r="E234" s="95"/>
      <c r="F234" s="95"/>
      <c r="G234" s="94"/>
      <c r="H234" s="185"/>
      <c r="I234" s="95"/>
      <c r="J234" s="95"/>
      <c r="K234" s="94"/>
      <c r="L234" s="191"/>
    </row>
    <row r="235" spans="1:12" ht="12.75" x14ac:dyDescent="0.2">
      <c r="A235" s="95"/>
      <c r="B235" s="95"/>
      <c r="C235" s="94"/>
      <c r="D235" s="185"/>
      <c r="E235" s="95"/>
      <c r="F235" s="95"/>
      <c r="G235" s="94"/>
      <c r="H235" s="185"/>
      <c r="I235" s="95"/>
      <c r="J235" s="95"/>
      <c r="K235" s="94"/>
      <c r="L235" s="191"/>
    </row>
    <row r="236" spans="1:12" ht="12.75" x14ac:dyDescent="0.2">
      <c r="A236" s="95"/>
      <c r="B236" s="95"/>
      <c r="C236" s="94"/>
      <c r="D236" s="185"/>
      <c r="E236" s="95"/>
      <c r="F236" s="95"/>
      <c r="G236" s="94"/>
      <c r="H236" s="185"/>
      <c r="I236" s="95"/>
      <c r="J236" s="95"/>
      <c r="K236" s="94"/>
      <c r="L236" s="191"/>
    </row>
    <row r="237" spans="1:12" ht="12.75" x14ac:dyDescent="0.2">
      <c r="A237" s="95"/>
      <c r="B237" s="95"/>
      <c r="C237" s="94"/>
      <c r="D237" s="185"/>
      <c r="E237" s="95"/>
      <c r="F237" s="95"/>
      <c r="G237" s="94"/>
      <c r="H237" s="185"/>
      <c r="I237" s="95"/>
      <c r="J237" s="95"/>
      <c r="K237" s="94"/>
      <c r="L237" s="191"/>
    </row>
    <row r="238" spans="1:12" ht="12.75" x14ac:dyDescent="0.2">
      <c r="A238" s="95"/>
      <c r="B238" s="95"/>
      <c r="C238" s="94"/>
      <c r="D238" s="185"/>
      <c r="E238" s="95"/>
      <c r="F238" s="95"/>
      <c r="G238" s="94"/>
      <c r="H238" s="185"/>
      <c r="I238" s="95"/>
      <c r="J238" s="95"/>
      <c r="K238" s="94"/>
      <c r="L238" s="191"/>
    </row>
    <row r="239" spans="1:12" ht="12.75" x14ac:dyDescent="0.2">
      <c r="A239" s="95"/>
      <c r="B239" s="95"/>
      <c r="C239" s="94"/>
      <c r="D239" s="185"/>
      <c r="E239" s="95"/>
      <c r="F239" s="95"/>
      <c r="G239" s="94"/>
      <c r="H239" s="185"/>
      <c r="I239" s="95"/>
      <c r="J239" s="95"/>
      <c r="K239" s="94"/>
      <c r="L239" s="191"/>
    </row>
    <row r="240" spans="1:12" ht="12.75" x14ac:dyDescent="0.2">
      <c r="A240" s="95"/>
      <c r="B240" s="95"/>
      <c r="C240" s="94"/>
      <c r="D240" s="185"/>
      <c r="E240" s="95"/>
      <c r="F240" s="95"/>
      <c r="G240" s="94"/>
      <c r="H240" s="185"/>
      <c r="I240" s="95"/>
      <c r="J240" s="95"/>
      <c r="K240" s="94"/>
      <c r="L240" s="191"/>
    </row>
    <row r="241" spans="1:12" ht="12.75" x14ac:dyDescent="0.2">
      <c r="A241" s="95"/>
      <c r="B241" s="95"/>
      <c r="C241" s="94"/>
      <c r="D241" s="185"/>
      <c r="E241" s="95"/>
      <c r="F241" s="95"/>
      <c r="G241" s="94"/>
      <c r="H241" s="185"/>
      <c r="I241" s="95"/>
      <c r="J241" s="95"/>
      <c r="K241" s="94"/>
      <c r="L241" s="191"/>
    </row>
    <row r="242" spans="1:12" ht="12.75" x14ac:dyDescent="0.2">
      <c r="A242" s="95"/>
      <c r="B242" s="95"/>
      <c r="C242" s="94"/>
      <c r="D242" s="185"/>
      <c r="E242" s="95"/>
      <c r="F242" s="95"/>
      <c r="G242" s="94"/>
      <c r="H242" s="185"/>
      <c r="I242" s="95"/>
      <c r="J242" s="95"/>
      <c r="K242" s="94"/>
      <c r="L242" s="191"/>
    </row>
    <row r="243" spans="1:12" ht="12.75" x14ac:dyDescent="0.2">
      <c r="A243" s="95"/>
      <c r="B243" s="95"/>
      <c r="C243" s="94"/>
      <c r="D243" s="185"/>
      <c r="E243" s="95"/>
      <c r="F243" s="95"/>
      <c r="G243" s="94"/>
      <c r="H243" s="185"/>
      <c r="I243" s="95"/>
      <c r="J243" s="95"/>
      <c r="K243" s="94"/>
      <c r="L243" s="191"/>
    </row>
    <row r="244" spans="1:12" ht="12.75" x14ac:dyDescent="0.2">
      <c r="A244" s="95"/>
      <c r="B244" s="95"/>
      <c r="C244" s="94"/>
      <c r="D244" s="185"/>
      <c r="E244" s="95"/>
      <c r="F244" s="95"/>
      <c r="G244" s="94"/>
      <c r="H244" s="185"/>
      <c r="I244" s="95"/>
      <c r="J244" s="95"/>
      <c r="K244" s="94"/>
      <c r="L244" s="191"/>
    </row>
    <row r="245" spans="1:12" ht="12.75" x14ac:dyDescent="0.2">
      <c r="A245" s="95"/>
      <c r="B245" s="95"/>
      <c r="C245" s="94"/>
      <c r="D245" s="185"/>
      <c r="E245" s="95"/>
      <c r="F245" s="95"/>
      <c r="G245" s="94"/>
      <c r="H245" s="185"/>
      <c r="I245" s="95"/>
      <c r="J245" s="95"/>
      <c r="K245" s="94"/>
      <c r="L245" s="191"/>
    </row>
    <row r="246" spans="1:12" ht="12.75" x14ac:dyDescent="0.2">
      <c r="A246" s="95"/>
      <c r="B246" s="95"/>
      <c r="C246" s="94"/>
      <c r="D246" s="185"/>
      <c r="E246" s="95"/>
      <c r="F246" s="95"/>
      <c r="G246" s="94"/>
      <c r="H246" s="185"/>
      <c r="I246" s="95"/>
      <c r="J246" s="95"/>
      <c r="K246" s="94"/>
      <c r="L246" s="191"/>
    </row>
    <row r="247" spans="1:12" ht="12.75" x14ac:dyDescent="0.2">
      <c r="A247" s="95"/>
      <c r="B247" s="95"/>
      <c r="C247" s="94"/>
      <c r="D247" s="185"/>
      <c r="E247" s="95"/>
      <c r="F247" s="95"/>
      <c r="G247" s="94"/>
      <c r="H247" s="185"/>
      <c r="I247" s="95"/>
      <c r="J247" s="95"/>
      <c r="K247" s="94"/>
      <c r="L247" s="191"/>
    </row>
    <row r="248" spans="1:12" ht="12.75" x14ac:dyDescent="0.2">
      <c r="A248" s="95"/>
      <c r="B248" s="95"/>
      <c r="C248" s="94"/>
      <c r="D248" s="185"/>
      <c r="E248" s="95"/>
      <c r="F248" s="95"/>
      <c r="G248" s="94"/>
      <c r="H248" s="185"/>
      <c r="I248" s="95"/>
      <c r="J248" s="95"/>
      <c r="K248" s="94"/>
      <c r="L248" s="191"/>
    </row>
    <row r="249" spans="1:12" ht="12.75" x14ac:dyDescent="0.2">
      <c r="A249" s="95"/>
      <c r="B249" s="95"/>
      <c r="C249" s="94"/>
      <c r="D249" s="185"/>
      <c r="E249" s="95"/>
      <c r="F249" s="95"/>
      <c r="G249" s="94"/>
      <c r="H249" s="185"/>
      <c r="I249" s="95"/>
      <c r="J249" s="95"/>
      <c r="K249" s="94"/>
      <c r="L249" s="191"/>
    </row>
    <row r="250" spans="1:12" ht="12.75" x14ac:dyDescent="0.2">
      <c r="A250" s="95"/>
      <c r="B250" s="95"/>
      <c r="C250" s="94"/>
      <c r="D250" s="185"/>
      <c r="E250" s="95"/>
      <c r="F250" s="95"/>
      <c r="G250" s="94"/>
      <c r="H250" s="185"/>
      <c r="I250" s="95"/>
      <c r="J250" s="95"/>
      <c r="K250" s="94"/>
      <c r="L250" s="191"/>
    </row>
    <row r="251" spans="1:12" ht="12.75" x14ac:dyDescent="0.2">
      <c r="A251" s="95"/>
      <c r="B251" s="95"/>
      <c r="C251" s="94"/>
      <c r="D251" s="185"/>
      <c r="E251" s="95"/>
      <c r="F251" s="95"/>
      <c r="G251" s="94"/>
      <c r="H251" s="185"/>
      <c r="I251" s="95"/>
      <c r="J251" s="95"/>
      <c r="K251" s="94"/>
      <c r="L251" s="191"/>
    </row>
    <row r="252" spans="1:12" ht="12.75" x14ac:dyDescent="0.2">
      <c r="A252" s="95"/>
      <c r="B252" s="95"/>
      <c r="C252" s="94"/>
      <c r="D252" s="185"/>
      <c r="E252" s="95"/>
      <c r="F252" s="95"/>
      <c r="G252" s="94"/>
      <c r="H252" s="185"/>
      <c r="I252" s="95"/>
      <c r="J252" s="95"/>
      <c r="K252" s="94"/>
      <c r="L252" s="191"/>
    </row>
    <row r="253" spans="1:12" ht="12.75" x14ac:dyDescent="0.2">
      <c r="A253" s="95"/>
      <c r="B253" s="95"/>
      <c r="C253" s="94"/>
      <c r="D253" s="185"/>
      <c r="E253" s="95"/>
      <c r="F253" s="95"/>
      <c r="G253" s="94"/>
      <c r="H253" s="185"/>
      <c r="I253" s="95"/>
      <c r="J253" s="95"/>
      <c r="K253" s="94"/>
      <c r="L253" s="191"/>
    </row>
    <row r="254" spans="1:12" ht="12.75" x14ac:dyDescent="0.2">
      <c r="A254" s="95"/>
      <c r="B254" s="95"/>
      <c r="C254" s="94"/>
      <c r="D254" s="185"/>
      <c r="E254" s="95"/>
      <c r="F254" s="95"/>
      <c r="G254" s="94"/>
      <c r="H254" s="185"/>
      <c r="I254" s="95"/>
      <c r="J254" s="95"/>
      <c r="K254" s="94"/>
      <c r="L254" s="191"/>
    </row>
    <row r="255" spans="1:12" ht="12.75" x14ac:dyDescent="0.2">
      <c r="A255" s="95"/>
      <c r="B255" s="95"/>
      <c r="C255" s="94"/>
      <c r="D255" s="185"/>
      <c r="E255" s="95"/>
      <c r="F255" s="95"/>
      <c r="G255" s="94"/>
      <c r="H255" s="185"/>
      <c r="I255" s="95"/>
      <c r="J255" s="95"/>
      <c r="K255" s="94"/>
      <c r="L255" s="191"/>
    </row>
    <row r="256" spans="1:12" ht="12.75" x14ac:dyDescent="0.2">
      <c r="A256" s="95"/>
      <c r="B256" s="95"/>
      <c r="C256" s="94"/>
      <c r="D256" s="185"/>
      <c r="E256" s="95"/>
      <c r="F256" s="95"/>
      <c r="G256" s="94"/>
      <c r="H256" s="185"/>
      <c r="I256" s="95"/>
      <c r="J256" s="95"/>
      <c r="K256" s="94"/>
      <c r="L256" s="191"/>
    </row>
    <row r="257" spans="1:12" ht="12.75" x14ac:dyDescent="0.2">
      <c r="A257" s="95"/>
      <c r="B257" s="95"/>
      <c r="C257" s="94"/>
      <c r="D257" s="185"/>
      <c r="E257" s="95"/>
      <c r="F257" s="95"/>
      <c r="G257" s="94"/>
      <c r="H257" s="185"/>
      <c r="I257" s="95"/>
      <c r="J257" s="95"/>
      <c r="K257" s="94"/>
      <c r="L257" s="191"/>
    </row>
    <row r="258" spans="1:12" ht="12.75" x14ac:dyDescent="0.2">
      <c r="A258" s="95"/>
      <c r="B258" s="95"/>
      <c r="C258" s="94"/>
      <c r="D258" s="185"/>
      <c r="E258" s="95"/>
      <c r="F258" s="95"/>
      <c r="G258" s="94"/>
      <c r="H258" s="185"/>
      <c r="I258" s="95"/>
      <c r="J258" s="95"/>
      <c r="K258" s="94"/>
      <c r="L258" s="191"/>
    </row>
    <row r="259" spans="1:12" ht="12.75" x14ac:dyDescent="0.2">
      <c r="A259" s="95"/>
      <c r="B259" s="95"/>
      <c r="C259" s="94"/>
      <c r="D259" s="185"/>
      <c r="E259" s="95"/>
      <c r="F259" s="95"/>
      <c r="G259" s="94"/>
      <c r="H259" s="185"/>
      <c r="I259" s="95"/>
      <c r="J259" s="95"/>
      <c r="K259" s="94"/>
      <c r="L259" s="191"/>
    </row>
    <row r="260" spans="1:12" ht="12.75" x14ac:dyDescent="0.2">
      <c r="A260" s="95"/>
      <c r="B260" s="95"/>
      <c r="C260" s="94"/>
      <c r="D260" s="185"/>
      <c r="E260" s="95"/>
      <c r="F260" s="95"/>
      <c r="G260" s="94"/>
      <c r="H260" s="185"/>
      <c r="I260" s="95"/>
      <c r="J260" s="95"/>
      <c r="K260" s="94"/>
      <c r="L260" s="191"/>
    </row>
    <row r="261" spans="1:12" ht="12.75" x14ac:dyDescent="0.2">
      <c r="A261" s="95"/>
      <c r="B261" s="95"/>
      <c r="C261" s="94"/>
      <c r="D261" s="185"/>
      <c r="E261" s="95"/>
      <c r="F261" s="95"/>
      <c r="G261" s="94"/>
      <c r="H261" s="185"/>
      <c r="I261" s="95"/>
      <c r="J261" s="95"/>
      <c r="K261" s="94"/>
      <c r="L261" s="191"/>
    </row>
    <row r="262" spans="1:12" ht="12.75" x14ac:dyDescent="0.2">
      <c r="A262" s="95"/>
      <c r="B262" s="95"/>
      <c r="C262" s="94"/>
      <c r="D262" s="185"/>
      <c r="E262" s="95"/>
      <c r="F262" s="95"/>
      <c r="G262" s="94"/>
      <c r="H262" s="185"/>
      <c r="I262" s="95"/>
      <c r="J262" s="95"/>
      <c r="K262" s="94"/>
      <c r="L262" s="191"/>
    </row>
    <row r="263" spans="1:12" ht="12.75" x14ac:dyDescent="0.2">
      <c r="A263" s="95"/>
      <c r="B263" s="95"/>
      <c r="C263" s="94"/>
      <c r="D263" s="185"/>
      <c r="E263" s="95"/>
      <c r="F263" s="95"/>
      <c r="G263" s="94"/>
      <c r="H263" s="185"/>
      <c r="I263" s="95"/>
      <c r="J263" s="95"/>
      <c r="K263" s="94"/>
      <c r="L263" s="191"/>
    </row>
    <row r="264" spans="1:12" ht="12.75" x14ac:dyDescent="0.2">
      <c r="A264" s="95"/>
      <c r="B264" s="95"/>
      <c r="C264" s="94"/>
      <c r="D264" s="185"/>
      <c r="E264" s="95"/>
      <c r="F264" s="95"/>
      <c r="G264" s="94"/>
      <c r="H264" s="185"/>
      <c r="I264" s="95"/>
      <c r="J264" s="95"/>
      <c r="K264" s="94"/>
      <c r="L264" s="191"/>
    </row>
    <row r="265" spans="1:12" ht="12.75" x14ac:dyDescent="0.2">
      <c r="A265" s="95"/>
      <c r="B265" s="95"/>
      <c r="C265" s="94"/>
      <c r="D265" s="185"/>
      <c r="E265" s="95"/>
      <c r="F265" s="95"/>
      <c r="G265" s="94"/>
      <c r="H265" s="185"/>
      <c r="I265" s="95"/>
      <c r="J265" s="95"/>
      <c r="K265" s="94"/>
      <c r="L265" s="191"/>
    </row>
    <row r="266" spans="1:12" ht="12.75" x14ac:dyDescent="0.2">
      <c r="A266" s="95"/>
      <c r="B266" s="95"/>
      <c r="C266" s="94"/>
      <c r="D266" s="185"/>
      <c r="E266" s="95"/>
      <c r="F266" s="95"/>
      <c r="G266" s="94"/>
      <c r="H266" s="185"/>
      <c r="I266" s="95"/>
      <c r="J266" s="95"/>
      <c r="K266" s="94"/>
      <c r="L266" s="191"/>
    </row>
    <row r="267" spans="1:12" ht="12.75" x14ac:dyDescent="0.2">
      <c r="A267" s="95"/>
      <c r="B267" s="95"/>
      <c r="C267" s="94"/>
      <c r="D267" s="185"/>
      <c r="E267" s="95"/>
      <c r="F267" s="95"/>
      <c r="G267" s="94"/>
      <c r="H267" s="185"/>
      <c r="I267" s="95"/>
      <c r="J267" s="95"/>
      <c r="K267" s="94"/>
      <c r="L267" s="191"/>
    </row>
    <row r="268" spans="1:12" ht="12.75" x14ac:dyDescent="0.2">
      <c r="A268" s="95"/>
      <c r="B268" s="95"/>
      <c r="C268" s="94"/>
      <c r="D268" s="185"/>
      <c r="E268" s="95"/>
      <c r="F268" s="95"/>
      <c r="G268" s="94"/>
      <c r="H268" s="185"/>
      <c r="I268" s="95"/>
      <c r="J268" s="95"/>
      <c r="K268" s="94"/>
      <c r="L268" s="191"/>
    </row>
    <row r="269" spans="1:12" ht="12.75" x14ac:dyDescent="0.2">
      <c r="A269" s="95"/>
      <c r="B269" s="95"/>
      <c r="C269" s="94"/>
      <c r="D269" s="185"/>
      <c r="E269" s="95"/>
      <c r="F269" s="95"/>
      <c r="G269" s="94"/>
      <c r="H269" s="185"/>
      <c r="I269" s="95"/>
      <c r="J269" s="95"/>
      <c r="K269" s="94"/>
      <c r="L269" s="191"/>
    </row>
    <row r="270" spans="1:12" ht="12.75" x14ac:dyDescent="0.2">
      <c r="A270" s="95"/>
      <c r="B270" s="95"/>
      <c r="C270" s="94"/>
      <c r="D270" s="185"/>
      <c r="E270" s="95"/>
      <c r="F270" s="95"/>
      <c r="G270" s="94"/>
      <c r="H270" s="185"/>
      <c r="I270" s="95"/>
      <c r="J270" s="95"/>
      <c r="K270" s="94"/>
      <c r="L270" s="191"/>
    </row>
    <row r="271" spans="1:12" ht="12.75" x14ac:dyDescent="0.2">
      <c r="A271" s="95"/>
      <c r="B271" s="95"/>
      <c r="C271" s="94"/>
      <c r="D271" s="185"/>
      <c r="E271" s="95"/>
      <c r="F271" s="95"/>
      <c r="G271" s="94"/>
      <c r="H271" s="185"/>
      <c r="I271" s="95"/>
      <c r="J271" s="95"/>
      <c r="K271" s="94"/>
      <c r="L271" s="191"/>
    </row>
    <row r="272" spans="1:12" ht="12.75" x14ac:dyDescent="0.2">
      <c r="A272" s="95"/>
      <c r="B272" s="95"/>
      <c r="C272" s="94"/>
      <c r="D272" s="185"/>
      <c r="E272" s="95"/>
      <c r="F272" s="95"/>
      <c r="G272" s="94"/>
      <c r="H272" s="185"/>
      <c r="I272" s="95"/>
      <c r="J272" s="95"/>
      <c r="K272" s="94"/>
      <c r="L272" s="191"/>
    </row>
    <row r="273" spans="1:12" ht="12.75" x14ac:dyDescent="0.2">
      <c r="A273" s="95"/>
      <c r="B273" s="95"/>
      <c r="C273" s="94"/>
      <c r="D273" s="185"/>
      <c r="E273" s="95"/>
      <c r="F273" s="95"/>
      <c r="G273" s="94"/>
      <c r="H273" s="185"/>
      <c r="I273" s="95"/>
      <c r="J273" s="95"/>
      <c r="K273" s="94"/>
      <c r="L273" s="191"/>
    </row>
    <row r="274" spans="1:12" ht="12.75" x14ac:dyDescent="0.2">
      <c r="A274" s="95"/>
      <c r="B274" s="95"/>
      <c r="C274" s="94"/>
      <c r="D274" s="185"/>
      <c r="E274" s="95"/>
      <c r="F274" s="95"/>
      <c r="G274" s="94"/>
      <c r="H274" s="185"/>
      <c r="I274" s="95"/>
      <c r="J274" s="95"/>
      <c r="K274" s="94"/>
      <c r="L274" s="191"/>
    </row>
    <row r="275" spans="1:12" ht="12.75" x14ac:dyDescent="0.2">
      <c r="A275" s="95"/>
      <c r="B275" s="95"/>
      <c r="C275" s="94"/>
      <c r="D275" s="185"/>
      <c r="E275" s="95"/>
      <c r="F275" s="95"/>
      <c r="G275" s="94"/>
      <c r="H275" s="185"/>
      <c r="I275" s="95"/>
      <c r="J275" s="95"/>
      <c r="K275" s="94"/>
      <c r="L275" s="191"/>
    </row>
    <row r="276" spans="1:12" ht="12.75" x14ac:dyDescent="0.2">
      <c r="A276" s="95"/>
      <c r="B276" s="95"/>
      <c r="C276" s="94"/>
      <c r="D276" s="185"/>
      <c r="E276" s="95"/>
      <c r="F276" s="95"/>
      <c r="G276" s="94"/>
      <c r="H276" s="185"/>
      <c r="I276" s="95"/>
      <c r="J276" s="95"/>
      <c r="K276" s="94"/>
      <c r="L276" s="191"/>
    </row>
    <row r="277" spans="1:12" ht="12.75" x14ac:dyDescent="0.2">
      <c r="A277" s="95"/>
      <c r="B277" s="95"/>
      <c r="C277" s="94"/>
      <c r="D277" s="185"/>
      <c r="E277" s="95"/>
      <c r="F277" s="95"/>
      <c r="G277" s="94"/>
      <c r="H277" s="185"/>
      <c r="I277" s="95"/>
      <c r="J277" s="95"/>
      <c r="K277" s="94"/>
      <c r="L277" s="191"/>
    </row>
    <row r="278" spans="1:12" ht="12.75" x14ac:dyDescent="0.2">
      <c r="A278" s="95"/>
      <c r="B278" s="95"/>
      <c r="C278" s="94"/>
      <c r="D278" s="185"/>
      <c r="E278" s="95"/>
      <c r="F278" s="95"/>
      <c r="G278" s="94"/>
      <c r="H278" s="185"/>
      <c r="I278" s="95"/>
      <c r="J278" s="95"/>
      <c r="K278" s="94"/>
      <c r="L278" s="191"/>
    </row>
    <row r="279" spans="1:12" ht="12.75" x14ac:dyDescent="0.2">
      <c r="A279" s="95"/>
      <c r="B279" s="95"/>
      <c r="C279" s="94"/>
      <c r="D279" s="185"/>
      <c r="E279" s="95"/>
      <c r="F279" s="95"/>
      <c r="G279" s="94"/>
      <c r="H279" s="185"/>
      <c r="I279" s="95"/>
      <c r="J279" s="95"/>
      <c r="K279" s="94"/>
      <c r="L279" s="191"/>
    </row>
    <row r="280" spans="1:12" ht="12.75" x14ac:dyDescent="0.2">
      <c r="A280" s="95"/>
      <c r="B280" s="95"/>
      <c r="C280" s="94"/>
      <c r="D280" s="185"/>
      <c r="E280" s="95"/>
      <c r="F280" s="95"/>
      <c r="G280" s="94"/>
      <c r="H280" s="185"/>
      <c r="I280" s="95"/>
      <c r="J280" s="95"/>
      <c r="K280" s="94"/>
      <c r="L280" s="191"/>
    </row>
    <row r="281" spans="1:12" ht="12.75" x14ac:dyDescent="0.2">
      <c r="A281" s="95"/>
      <c r="B281" s="95"/>
      <c r="C281" s="94"/>
      <c r="D281" s="185"/>
      <c r="E281" s="95"/>
      <c r="F281" s="95"/>
      <c r="G281" s="94"/>
      <c r="H281" s="185"/>
      <c r="I281" s="95"/>
      <c r="J281" s="95"/>
      <c r="K281" s="94"/>
      <c r="L281" s="191"/>
    </row>
    <row r="282" spans="1:12" ht="12.75" x14ac:dyDescent="0.2">
      <c r="A282" s="95"/>
      <c r="B282" s="95"/>
      <c r="C282" s="94"/>
      <c r="D282" s="185"/>
      <c r="E282" s="95"/>
      <c r="F282" s="95"/>
      <c r="G282" s="94"/>
      <c r="H282" s="185"/>
      <c r="I282" s="95"/>
      <c r="J282" s="95"/>
      <c r="K282" s="94"/>
      <c r="L282" s="191"/>
    </row>
    <row r="283" spans="1:12" ht="12.75" x14ac:dyDescent="0.2">
      <c r="A283" s="95"/>
      <c r="B283" s="95"/>
      <c r="C283" s="94"/>
      <c r="D283" s="185"/>
      <c r="E283" s="95"/>
      <c r="F283" s="95"/>
      <c r="G283" s="94"/>
      <c r="H283" s="185"/>
      <c r="I283" s="95"/>
      <c r="J283" s="95"/>
      <c r="K283" s="94"/>
      <c r="L283" s="191"/>
    </row>
    <row r="284" spans="1:12" ht="12.75" x14ac:dyDescent="0.2">
      <c r="A284" s="95"/>
      <c r="B284" s="95"/>
      <c r="C284" s="94"/>
      <c r="D284" s="185"/>
      <c r="E284" s="95"/>
      <c r="F284" s="95"/>
      <c r="G284" s="94"/>
      <c r="H284" s="185"/>
      <c r="I284" s="95"/>
      <c r="J284" s="95"/>
      <c r="K284" s="94"/>
      <c r="L284" s="191"/>
    </row>
    <row r="285" spans="1:12" ht="12.75" x14ac:dyDescent="0.2">
      <c r="A285" s="95"/>
      <c r="B285" s="95"/>
      <c r="C285" s="94"/>
      <c r="D285" s="185"/>
      <c r="E285" s="95"/>
      <c r="F285" s="95"/>
      <c r="G285" s="94"/>
      <c r="H285" s="185"/>
      <c r="I285" s="95"/>
      <c r="J285" s="95"/>
      <c r="K285" s="94"/>
      <c r="L285" s="191"/>
    </row>
    <row r="286" spans="1:12" ht="12.75" x14ac:dyDescent="0.2">
      <c r="A286" s="95"/>
      <c r="B286" s="95"/>
      <c r="C286" s="94"/>
      <c r="D286" s="185"/>
      <c r="E286" s="95"/>
      <c r="F286" s="95"/>
      <c r="G286" s="94"/>
      <c r="H286" s="185"/>
      <c r="I286" s="95"/>
      <c r="J286" s="95"/>
      <c r="K286" s="94"/>
      <c r="L286" s="191"/>
    </row>
    <row r="287" spans="1:12" ht="12.75" x14ac:dyDescent="0.2">
      <c r="A287" s="95"/>
      <c r="B287" s="95"/>
      <c r="C287" s="94"/>
      <c r="D287" s="185"/>
      <c r="E287" s="95"/>
      <c r="F287" s="95"/>
      <c r="G287" s="94"/>
      <c r="H287" s="185"/>
      <c r="I287" s="95"/>
      <c r="J287" s="95"/>
      <c r="K287" s="94"/>
      <c r="L287" s="191"/>
    </row>
    <row r="288" spans="1:12" ht="12.75" x14ac:dyDescent="0.2">
      <c r="A288" s="95"/>
      <c r="B288" s="95"/>
      <c r="C288" s="94"/>
      <c r="D288" s="185"/>
      <c r="E288" s="95"/>
      <c r="F288" s="95"/>
      <c r="G288" s="94"/>
      <c r="H288" s="185"/>
      <c r="I288" s="95"/>
      <c r="J288" s="95"/>
      <c r="K288" s="94"/>
      <c r="L288" s="191"/>
    </row>
    <row r="289" spans="1:12" ht="12.75" x14ac:dyDescent="0.2">
      <c r="A289" s="95"/>
      <c r="B289" s="95"/>
      <c r="C289" s="94"/>
      <c r="D289" s="185"/>
      <c r="E289" s="95"/>
      <c r="F289" s="95"/>
      <c r="G289" s="94"/>
      <c r="H289" s="185"/>
      <c r="I289" s="95"/>
      <c r="J289" s="95"/>
      <c r="K289" s="94"/>
      <c r="L289" s="191"/>
    </row>
    <row r="290" spans="1:12" ht="12.75" x14ac:dyDescent="0.2">
      <c r="A290" s="95"/>
      <c r="B290" s="95"/>
      <c r="C290" s="94"/>
      <c r="D290" s="185"/>
      <c r="E290" s="95"/>
      <c r="F290" s="95"/>
      <c r="G290" s="94"/>
      <c r="H290" s="185"/>
      <c r="I290" s="95"/>
      <c r="J290" s="95"/>
      <c r="K290" s="94"/>
      <c r="L290" s="191"/>
    </row>
    <row r="291" spans="1:12" ht="12.75" x14ac:dyDescent="0.2">
      <c r="A291" s="95"/>
      <c r="B291" s="95"/>
      <c r="C291" s="94"/>
      <c r="D291" s="185"/>
      <c r="E291" s="95"/>
      <c r="F291" s="95"/>
      <c r="G291" s="94"/>
      <c r="H291" s="185"/>
      <c r="I291" s="95"/>
      <c r="J291" s="95"/>
      <c r="K291" s="94"/>
      <c r="L291" s="191"/>
    </row>
    <row r="292" spans="1:12" ht="12.75" x14ac:dyDescent="0.2">
      <c r="A292" s="95"/>
      <c r="B292" s="95"/>
      <c r="C292" s="94"/>
      <c r="D292" s="185"/>
      <c r="E292" s="95"/>
      <c r="F292" s="95"/>
      <c r="G292" s="94"/>
      <c r="H292" s="185"/>
      <c r="I292" s="95"/>
      <c r="J292" s="95"/>
      <c r="K292" s="94"/>
      <c r="L292" s="191"/>
    </row>
    <row r="293" spans="1:12" ht="12.75" x14ac:dyDescent="0.2">
      <c r="A293" s="95"/>
      <c r="B293" s="95"/>
      <c r="C293" s="94"/>
      <c r="D293" s="185"/>
      <c r="E293" s="95"/>
      <c r="F293" s="95"/>
      <c r="G293" s="94"/>
      <c r="H293" s="185"/>
      <c r="I293" s="95"/>
      <c r="J293" s="95"/>
      <c r="K293" s="94"/>
      <c r="L293" s="191"/>
    </row>
    <row r="294" spans="1:12" ht="12.75" x14ac:dyDescent="0.2">
      <c r="A294" s="95"/>
      <c r="B294" s="95"/>
      <c r="C294" s="94"/>
      <c r="D294" s="185"/>
      <c r="E294" s="95"/>
      <c r="F294" s="95"/>
      <c r="G294" s="94"/>
      <c r="H294" s="185"/>
      <c r="I294" s="95"/>
      <c r="J294" s="95"/>
      <c r="K294" s="94"/>
      <c r="L294" s="191"/>
    </row>
    <row r="295" spans="1:12" ht="12.75" x14ac:dyDescent="0.2">
      <c r="A295" s="95"/>
      <c r="B295" s="95"/>
      <c r="C295" s="94"/>
      <c r="D295" s="185"/>
      <c r="E295" s="95"/>
      <c r="F295" s="95"/>
      <c r="G295" s="94"/>
      <c r="H295" s="185"/>
      <c r="I295" s="95"/>
      <c r="J295" s="95"/>
      <c r="K295" s="94"/>
      <c r="L295" s="191"/>
    </row>
    <row r="296" spans="1:12" ht="12.75" x14ac:dyDescent="0.2">
      <c r="A296" s="95"/>
      <c r="B296" s="95"/>
      <c r="C296" s="94"/>
      <c r="D296" s="185"/>
      <c r="E296" s="95"/>
      <c r="F296" s="95"/>
      <c r="G296" s="94"/>
      <c r="H296" s="185"/>
      <c r="I296" s="95"/>
      <c r="J296" s="95"/>
      <c r="K296" s="94"/>
      <c r="L296" s="191"/>
    </row>
    <row r="297" spans="1:12" ht="12.75" x14ac:dyDescent="0.2">
      <c r="A297" s="95"/>
      <c r="B297" s="95"/>
      <c r="C297" s="94"/>
      <c r="D297" s="185"/>
      <c r="E297" s="95"/>
      <c r="F297" s="95"/>
      <c r="G297" s="94"/>
      <c r="H297" s="185"/>
      <c r="I297" s="95"/>
      <c r="J297" s="95"/>
      <c r="K297" s="94"/>
      <c r="L297" s="191"/>
    </row>
    <row r="298" spans="1:12" ht="12.75" x14ac:dyDescent="0.2">
      <c r="A298" s="95"/>
      <c r="B298" s="95"/>
      <c r="C298" s="94"/>
      <c r="D298" s="185"/>
      <c r="E298" s="95"/>
      <c r="F298" s="95"/>
      <c r="G298" s="94"/>
      <c r="H298" s="185"/>
      <c r="I298" s="95"/>
      <c r="J298" s="95"/>
      <c r="K298" s="94"/>
      <c r="L298" s="191"/>
    </row>
    <row r="299" spans="1:12" ht="12.75" x14ac:dyDescent="0.2">
      <c r="A299" s="95"/>
      <c r="B299" s="95"/>
      <c r="C299" s="94"/>
      <c r="D299" s="185"/>
      <c r="E299" s="95"/>
      <c r="F299" s="95"/>
      <c r="G299" s="94"/>
      <c r="H299" s="185"/>
      <c r="I299" s="95"/>
      <c r="J299" s="95"/>
      <c r="K299" s="94"/>
      <c r="L299" s="191"/>
    </row>
    <row r="300" spans="1:12" ht="12.75" x14ac:dyDescent="0.2">
      <c r="A300" s="95"/>
      <c r="B300" s="95"/>
      <c r="C300" s="94"/>
      <c r="D300" s="185"/>
      <c r="E300" s="95"/>
      <c r="F300" s="95"/>
      <c r="G300" s="94"/>
      <c r="H300" s="185"/>
      <c r="I300" s="95"/>
      <c r="J300" s="95"/>
      <c r="K300" s="94"/>
      <c r="L300" s="191"/>
    </row>
    <row r="301" spans="1:12" ht="12.75" x14ac:dyDescent="0.2">
      <c r="A301" s="95"/>
      <c r="B301" s="95"/>
      <c r="C301" s="94"/>
      <c r="D301" s="185"/>
      <c r="E301" s="95"/>
      <c r="F301" s="95"/>
      <c r="G301" s="94"/>
      <c r="H301" s="185"/>
      <c r="I301" s="95"/>
      <c r="J301" s="95"/>
      <c r="K301" s="94"/>
      <c r="L301" s="191"/>
    </row>
    <row r="302" spans="1:12" ht="12.75" x14ac:dyDescent="0.2">
      <c r="A302" s="95"/>
      <c r="B302" s="95"/>
      <c r="C302" s="94"/>
      <c r="D302" s="185"/>
      <c r="E302" s="95"/>
      <c r="F302" s="95"/>
      <c r="G302" s="94"/>
      <c r="H302" s="185"/>
      <c r="I302" s="95"/>
      <c r="J302" s="95"/>
      <c r="K302" s="94"/>
      <c r="L302" s="191"/>
    </row>
    <row r="303" spans="1:12" ht="12.75" x14ac:dyDescent="0.2">
      <c r="A303" s="95"/>
      <c r="B303" s="95"/>
      <c r="C303" s="94"/>
      <c r="D303" s="185"/>
      <c r="E303" s="95"/>
      <c r="F303" s="95"/>
      <c r="G303" s="94"/>
      <c r="H303" s="185"/>
      <c r="I303" s="95"/>
      <c r="J303" s="95"/>
      <c r="K303" s="94"/>
      <c r="L303" s="191"/>
    </row>
    <row r="304" spans="1:12" ht="12.75" x14ac:dyDescent="0.2">
      <c r="A304" s="95"/>
      <c r="B304" s="95"/>
      <c r="C304" s="94"/>
      <c r="D304" s="185"/>
      <c r="E304" s="95"/>
      <c r="F304" s="95"/>
      <c r="G304" s="94"/>
      <c r="H304" s="185"/>
      <c r="I304" s="95"/>
      <c r="J304" s="95"/>
      <c r="K304" s="94"/>
      <c r="L304" s="191"/>
    </row>
    <row r="305" spans="1:12" ht="12.75" x14ac:dyDescent="0.2">
      <c r="A305" s="95"/>
      <c r="B305" s="95"/>
      <c r="C305" s="94"/>
      <c r="D305" s="185"/>
      <c r="E305" s="95"/>
      <c r="F305" s="95"/>
      <c r="G305" s="94"/>
      <c r="H305" s="185"/>
      <c r="I305" s="95"/>
      <c r="J305" s="95"/>
      <c r="K305" s="94"/>
      <c r="L305" s="191"/>
    </row>
    <row r="306" spans="1:12" ht="12.75" x14ac:dyDescent="0.2">
      <c r="A306" s="95"/>
      <c r="B306" s="95"/>
      <c r="C306" s="94"/>
      <c r="D306" s="185"/>
      <c r="E306" s="95"/>
      <c r="F306" s="95"/>
      <c r="G306" s="94"/>
      <c r="H306" s="185"/>
      <c r="I306" s="95"/>
      <c r="J306" s="95"/>
      <c r="K306" s="94"/>
      <c r="L306" s="191"/>
    </row>
    <row r="307" spans="1:12" ht="12.75" x14ac:dyDescent="0.2">
      <c r="A307" s="95"/>
      <c r="B307" s="95"/>
      <c r="C307" s="94"/>
      <c r="D307" s="185"/>
      <c r="E307" s="95"/>
      <c r="F307" s="95"/>
      <c r="G307" s="94"/>
      <c r="H307" s="185"/>
      <c r="I307" s="95"/>
      <c r="J307" s="95"/>
      <c r="K307" s="94"/>
      <c r="L307" s="191"/>
    </row>
    <row r="308" spans="1:12" ht="12.75" x14ac:dyDescent="0.2">
      <c r="A308" s="95"/>
      <c r="B308" s="95"/>
      <c r="C308" s="94"/>
      <c r="D308" s="185"/>
      <c r="E308" s="95"/>
      <c r="F308" s="95"/>
      <c r="G308" s="94"/>
      <c r="H308" s="185"/>
      <c r="I308" s="95"/>
      <c r="J308" s="95"/>
      <c r="K308" s="94"/>
      <c r="L308" s="191"/>
    </row>
    <row r="309" spans="1:12" ht="12.75" x14ac:dyDescent="0.2">
      <c r="A309" s="95"/>
      <c r="B309" s="95"/>
      <c r="C309" s="94"/>
      <c r="D309" s="185"/>
      <c r="E309" s="95"/>
      <c r="F309" s="95"/>
      <c r="G309" s="94"/>
      <c r="H309" s="185"/>
      <c r="I309" s="95"/>
      <c r="J309" s="95"/>
      <c r="K309" s="94"/>
      <c r="L309" s="191"/>
    </row>
    <row r="310" spans="1:12" ht="12.75" x14ac:dyDescent="0.2">
      <c r="A310" s="95"/>
      <c r="B310" s="95"/>
      <c r="C310" s="94"/>
      <c r="D310" s="185"/>
      <c r="E310" s="95"/>
      <c r="F310" s="95"/>
      <c r="G310" s="94"/>
      <c r="H310" s="185"/>
      <c r="I310" s="95"/>
      <c r="J310" s="95"/>
      <c r="K310" s="94"/>
      <c r="L310" s="191"/>
    </row>
    <row r="311" spans="1:12" ht="12.75" x14ac:dyDescent="0.2">
      <c r="A311" s="95"/>
      <c r="B311" s="95"/>
      <c r="C311" s="94"/>
      <c r="D311" s="185"/>
      <c r="E311" s="95"/>
      <c r="F311" s="95"/>
      <c r="G311" s="94"/>
      <c r="H311" s="185"/>
      <c r="I311" s="95"/>
      <c r="J311" s="95"/>
      <c r="K311" s="94"/>
      <c r="L311" s="191"/>
    </row>
    <row r="312" spans="1:12" ht="12.75" x14ac:dyDescent="0.2">
      <c r="A312" s="95"/>
      <c r="B312" s="95"/>
      <c r="C312" s="94"/>
      <c r="D312" s="185"/>
      <c r="E312" s="95"/>
      <c r="F312" s="95"/>
      <c r="G312" s="94"/>
      <c r="H312" s="185"/>
      <c r="I312" s="95"/>
      <c r="J312" s="95"/>
      <c r="K312" s="94"/>
      <c r="L312" s="191"/>
    </row>
    <row r="313" spans="1:12" ht="12.75" x14ac:dyDescent="0.2">
      <c r="A313" s="95"/>
      <c r="B313" s="95"/>
      <c r="C313" s="94"/>
      <c r="D313" s="185"/>
      <c r="E313" s="95"/>
      <c r="F313" s="95"/>
      <c r="G313" s="94"/>
      <c r="H313" s="185"/>
      <c r="I313" s="95"/>
      <c r="J313" s="95"/>
      <c r="K313" s="94"/>
      <c r="L313" s="191"/>
    </row>
    <row r="314" spans="1:12" ht="12.75" x14ac:dyDescent="0.2">
      <c r="A314" s="95"/>
      <c r="B314" s="95"/>
      <c r="C314" s="94"/>
      <c r="D314" s="185"/>
      <c r="E314" s="95"/>
      <c r="F314" s="95"/>
      <c r="G314" s="94"/>
      <c r="H314" s="185"/>
      <c r="I314" s="95"/>
      <c r="J314" s="95"/>
      <c r="K314" s="94"/>
      <c r="L314" s="191"/>
    </row>
    <row r="315" spans="1:12" ht="12.75" x14ac:dyDescent="0.2">
      <c r="A315" s="95"/>
      <c r="B315" s="95"/>
      <c r="C315" s="94"/>
      <c r="D315" s="185"/>
      <c r="E315" s="95"/>
      <c r="F315" s="95"/>
      <c r="G315" s="94"/>
      <c r="H315" s="185"/>
      <c r="I315" s="95"/>
      <c r="J315" s="95"/>
      <c r="K315" s="94"/>
      <c r="L315" s="191"/>
    </row>
    <row r="316" spans="1:12" ht="12.75" x14ac:dyDescent="0.2">
      <c r="A316" s="95"/>
      <c r="B316" s="95"/>
      <c r="C316" s="94"/>
      <c r="D316" s="185"/>
      <c r="E316" s="95"/>
      <c r="F316" s="95"/>
      <c r="G316" s="94"/>
      <c r="H316" s="185"/>
      <c r="I316" s="95"/>
      <c r="J316" s="95"/>
      <c r="K316" s="94"/>
      <c r="L316" s="191"/>
    </row>
    <row r="317" spans="1:12" ht="12.75" x14ac:dyDescent="0.2">
      <c r="A317" s="95"/>
      <c r="B317" s="95"/>
      <c r="C317" s="94"/>
      <c r="D317" s="185"/>
      <c r="E317" s="95"/>
      <c r="F317" s="95"/>
      <c r="G317" s="94"/>
      <c r="H317" s="185"/>
      <c r="I317" s="95"/>
      <c r="J317" s="95"/>
      <c r="K317" s="94"/>
      <c r="L317" s="191"/>
    </row>
    <row r="318" spans="1:12" ht="12.75" x14ac:dyDescent="0.2">
      <c r="A318" s="95"/>
      <c r="B318" s="95"/>
      <c r="C318" s="94"/>
      <c r="D318" s="185"/>
      <c r="E318" s="95"/>
      <c r="F318" s="95"/>
      <c r="G318" s="94"/>
      <c r="H318" s="185"/>
      <c r="I318" s="95"/>
      <c r="J318" s="95"/>
      <c r="K318" s="94"/>
      <c r="L318" s="191"/>
    </row>
    <row r="319" spans="1:12" ht="12.75" x14ac:dyDescent="0.2">
      <c r="A319" s="95"/>
      <c r="B319" s="95"/>
      <c r="C319" s="94"/>
      <c r="D319" s="185"/>
      <c r="E319" s="95"/>
      <c r="F319" s="95"/>
      <c r="G319" s="94"/>
      <c r="H319" s="185"/>
      <c r="I319" s="95"/>
      <c r="J319" s="95"/>
      <c r="K319" s="94"/>
      <c r="L319" s="191"/>
    </row>
    <row r="320" spans="1:12" ht="12.75" x14ac:dyDescent="0.2">
      <c r="A320" s="95"/>
      <c r="B320" s="95"/>
      <c r="C320" s="94"/>
      <c r="D320" s="185"/>
      <c r="E320" s="95"/>
      <c r="F320" s="95"/>
      <c r="G320" s="94"/>
      <c r="H320" s="185"/>
      <c r="I320" s="95"/>
      <c r="J320" s="95"/>
      <c r="K320" s="94"/>
      <c r="L320" s="191"/>
    </row>
    <row r="321" spans="1:12" ht="12.75" x14ac:dyDescent="0.2">
      <c r="A321" s="95"/>
      <c r="B321" s="95"/>
      <c r="C321" s="94"/>
      <c r="D321" s="185"/>
      <c r="E321" s="95"/>
      <c r="F321" s="95"/>
      <c r="G321" s="94"/>
      <c r="H321" s="185"/>
      <c r="I321" s="95"/>
      <c r="J321" s="95"/>
      <c r="K321" s="94"/>
      <c r="L321" s="191"/>
    </row>
    <row r="322" spans="1:12" ht="12.75" x14ac:dyDescent="0.2">
      <c r="A322" s="95"/>
      <c r="B322" s="95"/>
      <c r="C322" s="94"/>
      <c r="D322" s="185"/>
      <c r="E322" s="95"/>
      <c r="F322" s="95"/>
      <c r="G322" s="94"/>
      <c r="H322" s="185"/>
      <c r="I322" s="95"/>
      <c r="J322" s="95"/>
      <c r="K322" s="94"/>
      <c r="L322" s="191"/>
    </row>
    <row r="323" spans="1:12" ht="12.75" x14ac:dyDescent="0.2">
      <c r="A323" s="95"/>
      <c r="B323" s="95"/>
      <c r="C323" s="94"/>
      <c r="D323" s="185"/>
      <c r="E323" s="95"/>
      <c r="F323" s="95"/>
      <c r="G323" s="94"/>
      <c r="H323" s="185"/>
      <c r="I323" s="95"/>
      <c r="J323" s="95"/>
      <c r="K323" s="94"/>
      <c r="L323" s="191"/>
    </row>
    <row r="324" spans="1:12" ht="12.75" x14ac:dyDescent="0.2">
      <c r="A324" s="95"/>
      <c r="B324" s="95"/>
      <c r="C324" s="94"/>
      <c r="D324" s="185"/>
      <c r="E324" s="95"/>
      <c r="F324" s="95"/>
      <c r="G324" s="94"/>
      <c r="H324" s="185"/>
      <c r="I324" s="95"/>
      <c r="J324" s="95"/>
      <c r="K324" s="94"/>
      <c r="L324" s="191"/>
    </row>
    <row r="325" spans="1:12" ht="12.75" x14ac:dyDescent="0.2">
      <c r="A325" s="95"/>
      <c r="B325" s="95"/>
      <c r="C325" s="94"/>
      <c r="D325" s="185"/>
      <c r="E325" s="95"/>
      <c r="F325" s="95"/>
      <c r="G325" s="94"/>
      <c r="H325" s="185"/>
      <c r="I325" s="95"/>
      <c r="J325" s="95"/>
      <c r="K325" s="94"/>
      <c r="L325" s="191"/>
    </row>
    <row r="326" spans="1:12" ht="12.75" x14ac:dyDescent="0.2">
      <c r="A326" s="95"/>
      <c r="B326" s="95"/>
      <c r="C326" s="94"/>
      <c r="D326" s="185"/>
      <c r="E326" s="95"/>
      <c r="F326" s="95"/>
      <c r="G326" s="94"/>
      <c r="H326" s="185"/>
      <c r="I326" s="95"/>
      <c r="J326" s="95"/>
      <c r="K326" s="94"/>
      <c r="L326" s="191"/>
    </row>
    <row r="327" spans="1:12" ht="12.75" x14ac:dyDescent="0.2">
      <c r="A327" s="95"/>
      <c r="B327" s="95"/>
      <c r="C327" s="94"/>
      <c r="D327" s="185"/>
      <c r="E327" s="95"/>
      <c r="F327" s="95"/>
      <c r="G327" s="94"/>
      <c r="H327" s="185"/>
      <c r="I327" s="95"/>
      <c r="J327" s="95"/>
      <c r="K327" s="94"/>
      <c r="L327" s="191"/>
    </row>
    <row r="328" spans="1:12" ht="12.75" x14ac:dyDescent="0.2">
      <c r="A328" s="95"/>
      <c r="B328" s="95"/>
      <c r="C328" s="94"/>
      <c r="D328" s="185"/>
      <c r="E328" s="95"/>
      <c r="F328" s="95"/>
      <c r="G328" s="94"/>
      <c r="H328" s="185"/>
      <c r="I328" s="95"/>
      <c r="J328" s="95"/>
      <c r="K328" s="94"/>
      <c r="L328" s="191"/>
    </row>
    <row r="329" spans="1:12" ht="12.75" x14ac:dyDescent="0.2">
      <c r="A329" s="95"/>
      <c r="B329" s="95"/>
      <c r="C329" s="94"/>
      <c r="D329" s="185"/>
      <c r="E329" s="95"/>
      <c r="F329" s="95"/>
      <c r="G329" s="94"/>
      <c r="H329" s="185"/>
      <c r="I329" s="95"/>
      <c r="J329" s="95"/>
      <c r="K329" s="94"/>
      <c r="L329" s="191"/>
    </row>
    <row r="330" spans="1:12" ht="12.75" x14ac:dyDescent="0.2">
      <c r="A330" s="95"/>
      <c r="B330" s="95"/>
      <c r="C330" s="94"/>
      <c r="D330" s="185"/>
      <c r="E330" s="95"/>
      <c r="F330" s="95"/>
      <c r="G330" s="94"/>
      <c r="H330" s="185"/>
      <c r="I330" s="95"/>
      <c r="J330" s="95"/>
      <c r="K330" s="94"/>
      <c r="L330" s="191"/>
    </row>
    <row r="331" spans="1:12" ht="12.75" x14ac:dyDescent="0.2">
      <c r="A331" s="95"/>
      <c r="B331" s="95"/>
      <c r="C331" s="94"/>
      <c r="D331" s="185"/>
      <c r="E331" s="95"/>
      <c r="F331" s="95"/>
      <c r="G331" s="94"/>
      <c r="H331" s="185"/>
      <c r="I331" s="95"/>
      <c r="J331" s="95"/>
      <c r="K331" s="94"/>
      <c r="L331" s="191"/>
    </row>
    <row r="332" spans="1:12" ht="12.75" x14ac:dyDescent="0.2">
      <c r="A332" s="95"/>
      <c r="B332" s="95"/>
      <c r="C332" s="94"/>
      <c r="D332" s="185"/>
      <c r="E332" s="95"/>
      <c r="F332" s="95"/>
      <c r="G332" s="94"/>
      <c r="H332" s="185"/>
      <c r="I332" s="95"/>
      <c r="J332" s="95"/>
      <c r="K332" s="94"/>
      <c r="L332" s="191"/>
    </row>
    <row r="333" spans="1:12" ht="12.75" x14ac:dyDescent="0.2">
      <c r="A333" s="95"/>
      <c r="B333" s="95"/>
      <c r="C333" s="94"/>
      <c r="D333" s="185"/>
      <c r="E333" s="95"/>
      <c r="F333" s="95"/>
      <c r="G333" s="94"/>
      <c r="H333" s="185"/>
      <c r="I333" s="95"/>
      <c r="J333" s="95"/>
      <c r="K333" s="94"/>
      <c r="L333" s="191"/>
    </row>
    <row r="334" spans="1:12" ht="12.75" x14ac:dyDescent="0.2">
      <c r="A334" s="95"/>
      <c r="B334" s="95"/>
      <c r="C334" s="94"/>
      <c r="D334" s="185"/>
      <c r="E334" s="95"/>
      <c r="F334" s="95"/>
      <c r="G334" s="94"/>
      <c r="H334" s="185"/>
      <c r="I334" s="95"/>
      <c r="J334" s="95"/>
      <c r="K334" s="94"/>
      <c r="L334" s="191"/>
    </row>
    <row r="335" spans="1:12" ht="12.75" x14ac:dyDescent="0.2">
      <c r="A335" s="95"/>
      <c r="B335" s="95"/>
      <c r="C335" s="94"/>
      <c r="D335" s="185"/>
      <c r="E335" s="95"/>
      <c r="F335" s="95"/>
      <c r="G335" s="94"/>
      <c r="H335" s="185"/>
      <c r="I335" s="95"/>
      <c r="J335" s="95"/>
      <c r="K335" s="94"/>
      <c r="L335" s="191"/>
    </row>
    <row r="336" spans="1:12" ht="12.75" x14ac:dyDescent="0.2">
      <c r="A336" s="95"/>
      <c r="B336" s="95"/>
      <c r="C336" s="94"/>
      <c r="D336" s="185"/>
      <c r="E336" s="95"/>
      <c r="F336" s="95"/>
      <c r="G336" s="94"/>
      <c r="H336" s="185"/>
      <c r="I336" s="95"/>
      <c r="J336" s="95"/>
      <c r="K336" s="94"/>
      <c r="L336" s="191"/>
    </row>
    <row r="337" spans="1:12" ht="12.75" x14ac:dyDescent="0.2">
      <c r="A337" s="95"/>
      <c r="B337" s="95"/>
      <c r="C337" s="94"/>
      <c r="D337" s="185"/>
      <c r="E337" s="95"/>
      <c r="F337" s="95"/>
      <c r="G337" s="94"/>
      <c r="H337" s="185"/>
      <c r="I337" s="95"/>
      <c r="J337" s="95"/>
      <c r="K337" s="94"/>
      <c r="L337" s="191"/>
    </row>
    <row r="338" spans="1:12" ht="12.75" x14ac:dyDescent="0.2">
      <c r="A338" s="95"/>
      <c r="B338" s="95"/>
      <c r="C338" s="94"/>
      <c r="D338" s="185"/>
      <c r="E338" s="95"/>
      <c r="F338" s="95"/>
      <c r="G338" s="94"/>
      <c r="H338" s="185"/>
      <c r="I338" s="95"/>
      <c r="J338" s="95"/>
      <c r="K338" s="94"/>
      <c r="L338" s="191"/>
    </row>
    <row r="339" spans="1:12" ht="12.75" x14ac:dyDescent="0.2">
      <c r="A339" s="95"/>
      <c r="B339" s="95"/>
      <c r="C339" s="94"/>
      <c r="D339" s="185"/>
      <c r="E339" s="95"/>
      <c r="F339" s="95"/>
      <c r="G339" s="94"/>
      <c r="H339" s="185"/>
      <c r="I339" s="95"/>
      <c r="J339" s="95"/>
      <c r="K339" s="94"/>
      <c r="L339" s="191"/>
    </row>
    <row r="340" spans="1:12" ht="12.75" x14ac:dyDescent="0.2">
      <c r="A340" s="95"/>
      <c r="B340" s="95"/>
      <c r="C340" s="94"/>
      <c r="D340" s="185"/>
      <c r="E340" s="95"/>
      <c r="F340" s="95"/>
      <c r="G340" s="94"/>
      <c r="H340" s="185"/>
      <c r="I340" s="95"/>
      <c r="J340" s="95"/>
      <c r="K340" s="94"/>
      <c r="L340" s="191"/>
    </row>
    <row r="341" spans="1:12" ht="12.75" x14ac:dyDescent="0.2">
      <c r="A341" s="95"/>
      <c r="B341" s="95"/>
      <c r="C341" s="94"/>
      <c r="D341" s="185"/>
      <c r="E341" s="95"/>
      <c r="F341" s="95"/>
      <c r="G341" s="94"/>
      <c r="H341" s="185"/>
      <c r="I341" s="95"/>
      <c r="J341" s="95"/>
      <c r="K341" s="94"/>
      <c r="L341" s="191"/>
    </row>
    <row r="342" spans="1:12" ht="12.75" x14ac:dyDescent="0.2">
      <c r="A342" s="95"/>
      <c r="B342" s="95"/>
      <c r="C342" s="94"/>
      <c r="D342" s="185"/>
      <c r="E342" s="95"/>
      <c r="F342" s="95"/>
      <c r="G342" s="94"/>
      <c r="H342" s="185"/>
      <c r="I342" s="95"/>
      <c r="J342" s="95"/>
      <c r="K342" s="94"/>
      <c r="L342" s="191"/>
    </row>
    <row r="343" spans="1:12" ht="12.75" x14ac:dyDescent="0.2">
      <c r="A343" s="95"/>
      <c r="B343" s="95"/>
      <c r="C343" s="94"/>
      <c r="D343" s="185"/>
      <c r="E343" s="95"/>
      <c r="F343" s="95"/>
      <c r="G343" s="94"/>
      <c r="H343" s="185"/>
      <c r="I343" s="95"/>
      <c r="J343" s="95"/>
      <c r="K343" s="94"/>
      <c r="L343" s="191"/>
    </row>
    <row r="344" spans="1:12" ht="12.75" x14ac:dyDescent="0.2">
      <c r="A344" s="95"/>
      <c r="B344" s="95"/>
      <c r="C344" s="94"/>
      <c r="D344" s="185"/>
      <c r="E344" s="95"/>
      <c r="F344" s="95"/>
      <c r="G344" s="94"/>
      <c r="H344" s="185"/>
      <c r="I344" s="95"/>
      <c r="J344" s="95"/>
      <c r="K344" s="94"/>
      <c r="L344" s="191"/>
    </row>
    <row r="345" spans="1:12" ht="12.75" x14ac:dyDescent="0.2">
      <c r="A345" s="95"/>
      <c r="B345" s="95"/>
      <c r="C345" s="94"/>
      <c r="D345" s="185"/>
      <c r="E345" s="95"/>
      <c r="F345" s="95"/>
      <c r="G345" s="94"/>
      <c r="H345" s="185"/>
      <c r="I345" s="95"/>
      <c r="J345" s="95"/>
      <c r="K345" s="94"/>
      <c r="L345" s="191"/>
    </row>
    <row r="346" spans="1:12" ht="12.75" x14ac:dyDescent="0.2">
      <c r="A346" s="95"/>
      <c r="B346" s="95"/>
      <c r="C346" s="94"/>
      <c r="D346" s="185"/>
      <c r="E346" s="95"/>
      <c r="F346" s="95"/>
      <c r="G346" s="94"/>
      <c r="H346" s="185"/>
      <c r="I346" s="95"/>
      <c r="J346" s="95"/>
      <c r="K346" s="94"/>
      <c r="L346" s="191"/>
    </row>
    <row r="347" spans="1:12" ht="12.75" x14ac:dyDescent="0.2">
      <c r="A347" s="95"/>
      <c r="B347" s="95"/>
      <c r="C347" s="94"/>
      <c r="D347" s="185"/>
      <c r="E347" s="95"/>
      <c r="F347" s="95"/>
      <c r="G347" s="94"/>
      <c r="H347" s="185"/>
      <c r="I347" s="95"/>
      <c r="J347" s="95"/>
      <c r="K347" s="94"/>
      <c r="L347" s="191"/>
    </row>
    <row r="348" spans="1:12" ht="12.75" x14ac:dyDescent="0.2">
      <c r="A348" s="95"/>
      <c r="B348" s="95"/>
      <c r="C348" s="94"/>
      <c r="D348" s="185"/>
      <c r="E348" s="95"/>
      <c r="F348" s="95"/>
      <c r="G348" s="94"/>
      <c r="H348" s="185"/>
      <c r="I348" s="95"/>
      <c r="J348" s="95"/>
      <c r="K348" s="94"/>
      <c r="L348" s="191"/>
    </row>
    <row r="349" spans="1:12" ht="12.75" x14ac:dyDescent="0.2">
      <c r="A349" s="95"/>
      <c r="B349" s="95"/>
      <c r="C349" s="94"/>
      <c r="D349" s="185"/>
      <c r="E349" s="95"/>
      <c r="F349" s="95"/>
      <c r="G349" s="94"/>
      <c r="H349" s="185"/>
      <c r="I349" s="95"/>
      <c r="J349" s="95"/>
      <c r="K349" s="94"/>
      <c r="L349" s="191"/>
    </row>
    <row r="350" spans="1:12" ht="12.75" x14ac:dyDescent="0.2">
      <c r="A350" s="95"/>
      <c r="B350" s="95"/>
      <c r="C350" s="94"/>
      <c r="D350" s="185"/>
      <c r="E350" s="95"/>
      <c r="F350" s="95"/>
      <c r="G350" s="94"/>
      <c r="H350" s="185"/>
      <c r="I350" s="95"/>
      <c r="J350" s="95"/>
      <c r="K350" s="94"/>
      <c r="L350" s="191"/>
    </row>
    <row r="351" spans="1:12" ht="12.75" x14ac:dyDescent="0.2">
      <c r="A351" s="95"/>
      <c r="B351" s="95"/>
      <c r="C351" s="94"/>
      <c r="D351" s="185"/>
      <c r="E351" s="95"/>
      <c r="F351" s="95"/>
      <c r="G351" s="94"/>
      <c r="H351" s="185"/>
      <c r="I351" s="95"/>
      <c r="J351" s="95"/>
      <c r="K351" s="94"/>
      <c r="L351" s="191"/>
    </row>
    <row r="352" spans="1:12" ht="12.75" x14ac:dyDescent="0.2">
      <c r="A352" s="95"/>
      <c r="B352" s="95"/>
      <c r="C352" s="94"/>
      <c r="D352" s="185"/>
      <c r="E352" s="95"/>
      <c r="F352" s="95"/>
      <c r="G352" s="94"/>
      <c r="H352" s="185"/>
      <c r="I352" s="95"/>
      <c r="J352" s="95"/>
      <c r="K352" s="94"/>
      <c r="L352" s="191"/>
    </row>
    <row r="353" spans="1:12" ht="12.75" x14ac:dyDescent="0.2">
      <c r="A353" s="95"/>
      <c r="B353" s="95"/>
      <c r="C353" s="94"/>
      <c r="D353" s="185"/>
      <c r="E353" s="95"/>
      <c r="F353" s="95"/>
      <c r="G353" s="94"/>
      <c r="H353" s="185"/>
      <c r="I353" s="95"/>
      <c r="J353" s="95"/>
      <c r="K353" s="94"/>
      <c r="L353" s="191"/>
    </row>
    <row r="354" spans="1:12" ht="12.75" x14ac:dyDescent="0.2">
      <c r="A354" s="95"/>
      <c r="B354" s="95"/>
      <c r="C354" s="94"/>
      <c r="D354" s="185"/>
      <c r="E354" s="95"/>
      <c r="F354" s="95"/>
      <c r="G354" s="94"/>
      <c r="H354" s="185"/>
      <c r="I354" s="95"/>
      <c r="J354" s="95"/>
      <c r="K354" s="94"/>
      <c r="L354" s="191"/>
    </row>
    <row r="355" spans="1:12" ht="12.75" x14ac:dyDescent="0.2">
      <c r="A355" s="95"/>
      <c r="B355" s="95"/>
      <c r="C355" s="94"/>
      <c r="D355" s="185"/>
      <c r="E355" s="95"/>
      <c r="F355" s="95"/>
      <c r="G355" s="94"/>
      <c r="H355" s="185"/>
      <c r="I355" s="95"/>
      <c r="J355" s="95"/>
      <c r="K355" s="94"/>
      <c r="L355" s="191"/>
    </row>
    <row r="356" spans="1:12" ht="12.75" x14ac:dyDescent="0.2">
      <c r="A356" s="95"/>
      <c r="B356" s="95"/>
      <c r="C356" s="94"/>
      <c r="D356" s="185"/>
      <c r="E356" s="95"/>
      <c r="F356" s="95"/>
      <c r="G356" s="94"/>
      <c r="H356" s="185"/>
      <c r="I356" s="95"/>
      <c r="J356" s="95"/>
      <c r="K356" s="94"/>
      <c r="L356" s="191"/>
    </row>
    <row r="357" spans="1:12" ht="12.75" x14ac:dyDescent="0.2">
      <c r="A357" s="95"/>
      <c r="B357" s="95"/>
      <c r="C357" s="94"/>
      <c r="D357" s="185"/>
      <c r="E357" s="95"/>
      <c r="F357" s="95"/>
      <c r="G357" s="94"/>
      <c r="H357" s="185"/>
      <c r="I357" s="95"/>
      <c r="J357" s="95"/>
      <c r="K357" s="94"/>
      <c r="L357" s="191"/>
    </row>
    <row r="358" spans="1:12" ht="12.75" x14ac:dyDescent="0.2">
      <c r="A358" s="95"/>
      <c r="B358" s="95"/>
      <c r="C358" s="94"/>
      <c r="D358" s="185"/>
      <c r="E358" s="95"/>
      <c r="F358" s="95"/>
      <c r="G358" s="94"/>
      <c r="H358" s="185"/>
      <c r="I358" s="95"/>
      <c r="J358" s="95"/>
      <c r="K358" s="94"/>
      <c r="L358" s="191"/>
    </row>
    <row r="359" spans="1:12" ht="12.75" x14ac:dyDescent="0.2">
      <c r="A359" s="95"/>
      <c r="B359" s="95"/>
      <c r="C359" s="94"/>
      <c r="D359" s="185"/>
      <c r="E359" s="95"/>
      <c r="F359" s="95"/>
      <c r="G359" s="94"/>
      <c r="H359" s="185"/>
      <c r="I359" s="95"/>
      <c r="J359" s="95"/>
      <c r="K359" s="94"/>
      <c r="L359" s="191"/>
    </row>
    <row r="360" spans="1:12" ht="12.75" x14ac:dyDescent="0.2">
      <c r="A360" s="95"/>
      <c r="B360" s="95"/>
      <c r="C360" s="94"/>
      <c r="D360" s="185"/>
      <c r="E360" s="95"/>
      <c r="F360" s="95"/>
      <c r="G360" s="94"/>
      <c r="H360" s="185"/>
      <c r="I360" s="95"/>
      <c r="J360" s="95"/>
      <c r="K360" s="94"/>
      <c r="L360" s="191"/>
    </row>
    <row r="361" spans="1:12" ht="12.75" x14ac:dyDescent="0.2">
      <c r="A361" s="95"/>
      <c r="B361" s="95"/>
      <c r="C361" s="94"/>
      <c r="D361" s="185"/>
      <c r="E361" s="95"/>
      <c r="F361" s="95"/>
      <c r="G361" s="94"/>
      <c r="H361" s="185"/>
      <c r="I361" s="95"/>
      <c r="J361" s="95"/>
      <c r="K361" s="94"/>
      <c r="L361" s="191"/>
    </row>
    <row r="362" spans="1:12" ht="12.75" x14ac:dyDescent="0.2">
      <c r="A362" s="95"/>
      <c r="B362" s="95"/>
      <c r="C362" s="94"/>
      <c r="D362" s="185"/>
      <c r="E362" s="95"/>
      <c r="F362" s="95"/>
      <c r="G362" s="94"/>
      <c r="H362" s="185"/>
      <c r="I362" s="95"/>
      <c r="J362" s="95"/>
      <c r="K362" s="94"/>
      <c r="L362" s="191"/>
    </row>
    <row r="363" spans="1:12" ht="12.75" x14ac:dyDescent="0.2">
      <c r="A363" s="95"/>
      <c r="B363" s="95"/>
      <c r="C363" s="94"/>
      <c r="D363" s="185"/>
      <c r="E363" s="95"/>
      <c r="F363" s="95"/>
      <c r="G363" s="94"/>
      <c r="H363" s="185"/>
      <c r="I363" s="95"/>
      <c r="J363" s="95"/>
      <c r="K363" s="94"/>
      <c r="L363" s="191"/>
    </row>
    <row r="364" spans="1:12" ht="12.75" x14ac:dyDescent="0.2">
      <c r="A364" s="95"/>
      <c r="B364" s="95"/>
      <c r="C364" s="94"/>
      <c r="D364" s="185"/>
      <c r="E364" s="95"/>
      <c r="F364" s="95"/>
      <c r="G364" s="94"/>
      <c r="H364" s="185"/>
      <c r="I364" s="95"/>
      <c r="J364" s="95"/>
      <c r="K364" s="94"/>
      <c r="L364" s="191"/>
    </row>
    <row r="365" spans="1:12" ht="12.75" x14ac:dyDescent="0.2">
      <c r="A365" s="95"/>
      <c r="B365" s="95"/>
      <c r="C365" s="94"/>
      <c r="D365" s="185"/>
      <c r="E365" s="95"/>
      <c r="F365" s="95"/>
      <c r="G365" s="94"/>
      <c r="H365" s="185"/>
      <c r="I365" s="95"/>
      <c r="J365" s="95"/>
      <c r="K365" s="94"/>
      <c r="L365" s="191"/>
    </row>
    <row r="366" spans="1:12" ht="12.75" x14ac:dyDescent="0.2">
      <c r="A366" s="95"/>
      <c r="B366" s="95"/>
      <c r="C366" s="94"/>
      <c r="D366" s="185"/>
      <c r="E366" s="95"/>
      <c r="F366" s="95"/>
      <c r="G366" s="94"/>
      <c r="H366" s="185"/>
      <c r="I366" s="95"/>
      <c r="J366" s="95"/>
      <c r="K366" s="94"/>
      <c r="L366" s="191"/>
    </row>
    <row r="367" spans="1:12" ht="12.75" x14ac:dyDescent="0.2">
      <c r="A367" s="95"/>
      <c r="B367" s="95"/>
      <c r="C367" s="94"/>
      <c r="D367" s="185"/>
      <c r="E367" s="95"/>
      <c r="F367" s="95"/>
      <c r="G367" s="94"/>
      <c r="H367" s="185"/>
      <c r="I367" s="95"/>
      <c r="J367" s="95"/>
      <c r="K367" s="94"/>
      <c r="L367" s="191"/>
    </row>
    <row r="368" spans="1:12" ht="12.75" x14ac:dyDescent="0.2">
      <c r="A368" s="95"/>
      <c r="B368" s="95"/>
      <c r="C368" s="94"/>
      <c r="D368" s="185"/>
      <c r="E368" s="95"/>
      <c r="F368" s="95"/>
      <c r="G368" s="94"/>
      <c r="H368" s="185"/>
      <c r="I368" s="95"/>
      <c r="J368" s="95"/>
      <c r="K368" s="94"/>
      <c r="L368" s="191"/>
    </row>
    <row r="369" spans="1:12" ht="12.75" x14ac:dyDescent="0.2">
      <c r="A369" s="95"/>
      <c r="B369" s="95"/>
      <c r="C369" s="94"/>
      <c r="D369" s="185"/>
      <c r="E369" s="95"/>
      <c r="F369" s="95"/>
      <c r="G369" s="94"/>
      <c r="H369" s="185"/>
      <c r="I369" s="95"/>
      <c r="J369" s="95"/>
      <c r="K369" s="94"/>
      <c r="L369" s="191"/>
    </row>
    <row r="370" spans="1:12" ht="12.75" x14ac:dyDescent="0.2">
      <c r="A370" s="95"/>
      <c r="B370" s="95"/>
      <c r="C370" s="94"/>
      <c r="D370" s="185"/>
      <c r="E370" s="95"/>
      <c r="F370" s="95"/>
      <c r="G370" s="94"/>
      <c r="H370" s="185"/>
      <c r="I370" s="95"/>
      <c r="J370" s="95"/>
      <c r="K370" s="94"/>
      <c r="L370" s="191"/>
    </row>
    <row r="371" spans="1:12" ht="12.75" x14ac:dyDescent="0.2">
      <c r="A371" s="95"/>
      <c r="B371" s="95"/>
      <c r="C371" s="94"/>
      <c r="D371" s="185"/>
      <c r="E371" s="95"/>
      <c r="F371" s="95"/>
      <c r="G371" s="94"/>
      <c r="H371" s="185"/>
      <c r="I371" s="95"/>
      <c r="J371" s="95"/>
      <c r="K371" s="94"/>
      <c r="L371" s="191"/>
    </row>
    <row r="372" spans="1:12" ht="12.75" x14ac:dyDescent="0.2">
      <c r="A372" s="95"/>
      <c r="B372" s="95"/>
      <c r="C372" s="94"/>
      <c r="D372" s="185"/>
      <c r="E372" s="95"/>
      <c r="F372" s="95"/>
      <c r="G372" s="94"/>
      <c r="H372" s="185"/>
      <c r="I372" s="95"/>
      <c r="J372" s="95"/>
      <c r="K372" s="94"/>
      <c r="L372" s="191"/>
    </row>
    <row r="373" spans="1:12" ht="12.75" x14ac:dyDescent="0.2">
      <c r="A373" s="95"/>
      <c r="B373" s="95"/>
      <c r="C373" s="94"/>
      <c r="D373" s="185"/>
      <c r="E373" s="95"/>
      <c r="F373" s="95"/>
      <c r="G373" s="94"/>
      <c r="H373" s="185"/>
      <c r="I373" s="95"/>
      <c r="J373" s="95"/>
      <c r="K373" s="94"/>
      <c r="L373" s="191"/>
    </row>
    <row r="374" spans="1:12" ht="12.75" x14ac:dyDescent="0.2">
      <c r="A374" s="95"/>
      <c r="B374" s="95"/>
      <c r="C374" s="94"/>
      <c r="D374" s="185"/>
      <c r="E374" s="95"/>
      <c r="F374" s="95"/>
      <c r="G374" s="94"/>
      <c r="H374" s="185"/>
      <c r="I374" s="95"/>
      <c r="J374" s="95"/>
      <c r="K374" s="94"/>
      <c r="L374" s="191"/>
    </row>
    <row r="375" spans="1:12" ht="12.75" x14ac:dyDescent="0.2">
      <c r="A375" s="95"/>
      <c r="B375" s="95"/>
      <c r="C375" s="94"/>
      <c r="D375" s="185"/>
      <c r="E375" s="95"/>
      <c r="F375" s="95"/>
      <c r="G375" s="94"/>
      <c r="H375" s="185"/>
      <c r="I375" s="95"/>
      <c r="J375" s="95"/>
      <c r="K375" s="94"/>
      <c r="L375" s="191"/>
    </row>
    <row r="376" spans="1:12" ht="12.75" x14ac:dyDescent="0.2">
      <c r="A376" s="95"/>
      <c r="B376" s="95"/>
      <c r="C376" s="94"/>
      <c r="D376" s="185"/>
      <c r="E376" s="95"/>
      <c r="F376" s="95"/>
      <c r="G376" s="94"/>
      <c r="H376" s="185"/>
      <c r="I376" s="95"/>
      <c r="J376" s="95"/>
      <c r="K376" s="94"/>
      <c r="L376" s="191"/>
    </row>
    <row r="377" spans="1:12" ht="12.75" x14ac:dyDescent="0.2">
      <c r="A377" s="95"/>
      <c r="B377" s="95"/>
      <c r="C377" s="94"/>
      <c r="D377" s="185"/>
      <c r="E377" s="95"/>
      <c r="F377" s="95"/>
      <c r="G377" s="94"/>
      <c r="H377" s="185"/>
      <c r="I377" s="95"/>
      <c r="J377" s="95"/>
      <c r="K377" s="94"/>
      <c r="L377" s="191"/>
    </row>
    <row r="378" spans="1:12" ht="12.75" x14ac:dyDescent="0.2">
      <c r="A378" s="95"/>
      <c r="B378" s="95"/>
      <c r="C378" s="94"/>
      <c r="D378" s="185"/>
      <c r="E378" s="95"/>
      <c r="F378" s="95"/>
      <c r="G378" s="94"/>
      <c r="H378" s="185"/>
      <c r="I378" s="95"/>
      <c r="J378" s="95"/>
      <c r="K378" s="94"/>
      <c r="L378" s="191"/>
    </row>
    <row r="379" spans="1:12" ht="12.75" x14ac:dyDescent="0.2">
      <c r="A379" s="95"/>
      <c r="B379" s="95"/>
      <c r="C379" s="94"/>
      <c r="D379" s="185"/>
      <c r="E379" s="95"/>
      <c r="F379" s="95"/>
      <c r="G379" s="94"/>
      <c r="H379" s="185"/>
      <c r="I379" s="95"/>
      <c r="J379" s="95"/>
      <c r="K379" s="94"/>
      <c r="L379" s="191"/>
    </row>
    <row r="380" spans="1:12" ht="12.75" x14ac:dyDescent="0.2">
      <c r="A380" s="95"/>
      <c r="B380" s="95"/>
      <c r="C380" s="94"/>
      <c r="D380" s="185"/>
      <c r="E380" s="95"/>
      <c r="F380" s="95"/>
      <c r="G380" s="94"/>
      <c r="H380" s="185"/>
      <c r="I380" s="95"/>
      <c r="J380" s="95"/>
      <c r="K380" s="94"/>
      <c r="L380" s="191"/>
    </row>
    <row r="381" spans="1:12" ht="12.75" x14ac:dyDescent="0.2">
      <c r="A381" s="95"/>
      <c r="B381" s="95"/>
      <c r="C381" s="94"/>
      <c r="D381" s="185"/>
      <c r="E381" s="95"/>
      <c r="F381" s="95"/>
      <c r="G381" s="94"/>
      <c r="H381" s="185"/>
      <c r="I381" s="95"/>
      <c r="J381" s="95"/>
      <c r="K381" s="94"/>
      <c r="L381" s="191"/>
    </row>
    <row r="382" spans="1:12" ht="12.75" x14ac:dyDescent="0.2">
      <c r="A382" s="95"/>
      <c r="B382" s="95"/>
      <c r="C382" s="94"/>
      <c r="D382" s="185"/>
      <c r="E382" s="95"/>
      <c r="F382" s="95"/>
      <c r="G382" s="94"/>
      <c r="H382" s="185"/>
      <c r="I382" s="95"/>
      <c r="J382" s="95"/>
      <c r="K382" s="94"/>
      <c r="L382" s="191"/>
    </row>
    <row r="383" spans="1:12" ht="12.75" x14ac:dyDescent="0.2">
      <c r="A383" s="95"/>
      <c r="B383" s="95"/>
      <c r="C383" s="94"/>
      <c r="D383" s="185"/>
      <c r="E383" s="95"/>
      <c r="F383" s="95"/>
      <c r="G383" s="94"/>
      <c r="H383" s="185"/>
      <c r="I383" s="95"/>
      <c r="J383" s="95"/>
      <c r="K383" s="94"/>
      <c r="L383" s="191"/>
    </row>
    <row r="384" spans="1:12" ht="12.75" x14ac:dyDescent="0.2">
      <c r="A384" s="95"/>
      <c r="B384" s="95"/>
      <c r="C384" s="94"/>
      <c r="D384" s="185"/>
      <c r="E384" s="95"/>
      <c r="F384" s="95"/>
      <c r="G384" s="94"/>
      <c r="H384" s="185"/>
      <c r="I384" s="95"/>
      <c r="J384" s="95"/>
      <c r="K384" s="94"/>
      <c r="L384" s="191"/>
    </row>
    <row r="385" spans="1:12" ht="12.75" x14ac:dyDescent="0.2">
      <c r="A385" s="95"/>
      <c r="B385" s="95"/>
      <c r="C385" s="94"/>
      <c r="D385" s="185"/>
      <c r="E385" s="95"/>
      <c r="F385" s="95"/>
      <c r="G385" s="94"/>
      <c r="H385" s="185"/>
      <c r="I385" s="95"/>
      <c r="J385" s="95"/>
      <c r="K385" s="94"/>
      <c r="L385" s="191"/>
    </row>
    <row r="386" spans="1:12" ht="12.75" x14ac:dyDescent="0.2">
      <c r="A386" s="95"/>
      <c r="B386" s="95"/>
      <c r="C386" s="94"/>
      <c r="D386" s="185"/>
      <c r="E386" s="95"/>
      <c r="F386" s="95"/>
      <c r="G386" s="94"/>
      <c r="H386" s="185"/>
      <c r="I386" s="95"/>
      <c r="J386" s="95"/>
      <c r="K386" s="94"/>
      <c r="L386" s="191"/>
    </row>
    <row r="387" spans="1:12" ht="12.75" x14ac:dyDescent="0.2">
      <c r="A387" s="95"/>
      <c r="B387" s="95"/>
      <c r="C387" s="94"/>
      <c r="D387" s="185"/>
      <c r="E387" s="95"/>
      <c r="F387" s="95"/>
      <c r="G387" s="94"/>
      <c r="H387" s="185"/>
      <c r="I387" s="95"/>
      <c r="J387" s="95"/>
      <c r="K387" s="94"/>
      <c r="L387" s="191"/>
    </row>
    <row r="388" spans="1:12" ht="12.75" x14ac:dyDescent="0.2">
      <c r="A388" s="95"/>
      <c r="B388" s="95"/>
      <c r="C388" s="94"/>
      <c r="D388" s="185"/>
      <c r="E388" s="95"/>
      <c r="F388" s="95"/>
      <c r="G388" s="94"/>
      <c r="H388" s="185"/>
      <c r="I388" s="95"/>
      <c r="J388" s="95"/>
      <c r="K388" s="94"/>
      <c r="L388" s="191"/>
    </row>
    <row r="389" spans="1:12" ht="12.75" x14ac:dyDescent="0.2">
      <c r="A389" s="95"/>
      <c r="B389" s="95"/>
      <c r="C389" s="94"/>
      <c r="D389" s="185"/>
      <c r="E389" s="95"/>
      <c r="F389" s="95"/>
      <c r="G389" s="94"/>
      <c r="H389" s="185"/>
      <c r="I389" s="95"/>
      <c r="J389" s="95"/>
      <c r="K389" s="94"/>
      <c r="L389" s="191"/>
    </row>
    <row r="390" spans="1:12" ht="12.75" x14ac:dyDescent="0.2">
      <c r="A390" s="95"/>
      <c r="B390" s="95"/>
      <c r="C390" s="94"/>
      <c r="D390" s="185"/>
      <c r="E390" s="95"/>
      <c r="F390" s="95"/>
      <c r="G390" s="94"/>
      <c r="H390" s="185"/>
      <c r="I390" s="95"/>
      <c r="J390" s="95"/>
      <c r="K390" s="94"/>
      <c r="L390" s="191"/>
    </row>
    <row r="391" spans="1:12" ht="12.75" x14ac:dyDescent="0.2">
      <c r="A391" s="95"/>
      <c r="B391" s="95"/>
      <c r="C391" s="94"/>
      <c r="D391" s="185"/>
      <c r="E391" s="95"/>
      <c r="F391" s="95"/>
      <c r="G391" s="94"/>
      <c r="H391" s="185"/>
      <c r="I391" s="95"/>
      <c r="J391" s="95"/>
      <c r="K391" s="94"/>
      <c r="L391" s="191"/>
    </row>
    <row r="392" spans="1:12" ht="12.75" x14ac:dyDescent="0.2">
      <c r="A392" s="95"/>
      <c r="B392" s="95"/>
      <c r="C392" s="94"/>
      <c r="D392" s="185"/>
      <c r="E392" s="95"/>
      <c r="F392" s="95"/>
      <c r="G392" s="94"/>
      <c r="H392" s="185"/>
      <c r="I392" s="95"/>
      <c r="J392" s="95"/>
      <c r="K392" s="94"/>
      <c r="L392" s="191"/>
    </row>
    <row r="393" spans="1:12" ht="12.75" x14ac:dyDescent="0.2">
      <c r="A393" s="95"/>
      <c r="B393" s="95"/>
      <c r="C393" s="94"/>
      <c r="D393" s="185"/>
      <c r="E393" s="95"/>
      <c r="F393" s="95"/>
      <c r="G393" s="94"/>
      <c r="H393" s="185"/>
      <c r="I393" s="95"/>
      <c r="J393" s="95"/>
      <c r="K393" s="94"/>
      <c r="L393" s="191"/>
    </row>
    <row r="394" spans="1:12" ht="12.75" x14ac:dyDescent="0.2">
      <c r="A394" s="95"/>
      <c r="B394" s="95"/>
      <c r="C394" s="94"/>
      <c r="D394" s="185"/>
      <c r="E394" s="95"/>
      <c r="F394" s="95"/>
      <c r="G394" s="94"/>
      <c r="H394" s="185"/>
      <c r="I394" s="95"/>
      <c r="J394" s="95"/>
      <c r="K394" s="94"/>
      <c r="L394" s="191"/>
    </row>
    <row r="395" spans="1:12" ht="12.75" x14ac:dyDescent="0.2">
      <c r="A395" s="95"/>
      <c r="B395" s="95"/>
      <c r="C395" s="94"/>
      <c r="D395" s="185"/>
      <c r="E395" s="95"/>
      <c r="F395" s="95"/>
      <c r="G395" s="94"/>
      <c r="H395" s="185"/>
      <c r="I395" s="95"/>
      <c r="J395" s="95"/>
      <c r="K395" s="94"/>
      <c r="L395" s="191"/>
    </row>
    <row r="396" spans="1:12" ht="12.75" x14ac:dyDescent="0.2">
      <c r="A396" s="95"/>
      <c r="B396" s="95"/>
      <c r="C396" s="94"/>
      <c r="D396" s="185"/>
      <c r="E396" s="95"/>
      <c r="F396" s="95"/>
      <c r="G396" s="94"/>
      <c r="H396" s="185"/>
      <c r="I396" s="95"/>
      <c r="J396" s="95"/>
      <c r="K396" s="94"/>
      <c r="L396" s="191"/>
    </row>
    <row r="397" spans="1:12" ht="12.75" x14ac:dyDescent="0.2">
      <c r="A397" s="95"/>
      <c r="B397" s="95"/>
      <c r="C397" s="94"/>
      <c r="D397" s="185"/>
      <c r="E397" s="95"/>
      <c r="F397" s="95"/>
      <c r="G397" s="94"/>
      <c r="H397" s="185"/>
      <c r="I397" s="95"/>
      <c r="J397" s="95"/>
      <c r="K397" s="94"/>
      <c r="L397" s="191"/>
    </row>
    <row r="398" spans="1:12" ht="12.75" x14ac:dyDescent="0.2">
      <c r="A398" s="95"/>
      <c r="B398" s="95"/>
      <c r="C398" s="94"/>
      <c r="D398" s="185"/>
      <c r="E398" s="95"/>
      <c r="F398" s="95"/>
      <c r="G398" s="94"/>
      <c r="H398" s="185"/>
      <c r="I398" s="95"/>
      <c r="J398" s="95"/>
      <c r="K398" s="94"/>
      <c r="L398" s="191"/>
    </row>
    <row r="399" spans="1:12" ht="12.75" x14ac:dyDescent="0.2">
      <c r="A399" s="95"/>
      <c r="B399" s="95"/>
      <c r="C399" s="94"/>
      <c r="D399" s="185"/>
      <c r="E399" s="95"/>
      <c r="F399" s="95"/>
      <c r="G399" s="94"/>
      <c r="H399" s="185"/>
      <c r="I399" s="95"/>
      <c r="J399" s="95"/>
      <c r="K399" s="94"/>
      <c r="L399" s="191"/>
    </row>
    <row r="400" spans="1:12" ht="12.75" x14ac:dyDescent="0.2">
      <c r="A400" s="95"/>
      <c r="B400" s="95"/>
      <c r="C400" s="94"/>
      <c r="D400" s="185"/>
      <c r="E400" s="95"/>
      <c r="F400" s="95"/>
      <c r="G400" s="94"/>
      <c r="H400" s="185"/>
      <c r="I400" s="95"/>
      <c r="J400" s="95"/>
      <c r="K400" s="94"/>
      <c r="L400" s="191"/>
    </row>
    <row r="401" spans="1:12" ht="12.75" x14ac:dyDescent="0.2">
      <c r="A401" s="95"/>
      <c r="B401" s="95"/>
      <c r="C401" s="94"/>
      <c r="D401" s="185"/>
      <c r="E401" s="95"/>
      <c r="F401" s="95"/>
      <c r="G401" s="94"/>
      <c r="H401" s="185"/>
      <c r="I401" s="95"/>
      <c r="J401" s="95"/>
      <c r="K401" s="94"/>
      <c r="L401" s="191"/>
    </row>
    <row r="402" spans="1:12" ht="12.75" x14ac:dyDescent="0.2">
      <c r="A402" s="95"/>
      <c r="B402" s="95"/>
      <c r="C402" s="94"/>
      <c r="D402" s="185"/>
      <c r="E402" s="95"/>
      <c r="F402" s="95"/>
      <c r="G402" s="94"/>
      <c r="H402" s="185"/>
      <c r="I402" s="95"/>
      <c r="J402" s="95"/>
      <c r="K402" s="94"/>
      <c r="L402" s="191"/>
    </row>
    <row r="403" spans="1:12" ht="12.75" x14ac:dyDescent="0.2">
      <c r="A403" s="95"/>
      <c r="B403" s="95"/>
      <c r="C403" s="94"/>
      <c r="D403" s="185"/>
      <c r="E403" s="95"/>
      <c r="F403" s="95"/>
      <c r="G403" s="94"/>
      <c r="H403" s="185"/>
      <c r="I403" s="95"/>
      <c r="J403" s="95"/>
      <c r="K403" s="94"/>
      <c r="L403" s="191"/>
    </row>
    <row r="404" spans="1:12" ht="12.75" x14ac:dyDescent="0.2">
      <c r="A404" s="95"/>
      <c r="B404" s="95"/>
      <c r="C404" s="94"/>
      <c r="D404" s="185"/>
      <c r="E404" s="95"/>
      <c r="F404" s="95"/>
      <c r="G404" s="94"/>
      <c r="H404" s="185"/>
      <c r="I404" s="95"/>
      <c r="J404" s="95"/>
      <c r="K404" s="94"/>
      <c r="L404" s="191"/>
    </row>
    <row r="405" spans="1:12" ht="12.75" x14ac:dyDescent="0.2">
      <c r="A405" s="95"/>
      <c r="B405" s="95"/>
      <c r="C405" s="94"/>
      <c r="D405" s="185"/>
      <c r="E405" s="95"/>
      <c r="F405" s="95"/>
      <c r="G405" s="94"/>
      <c r="H405" s="185"/>
      <c r="I405" s="95"/>
      <c r="J405" s="95"/>
      <c r="K405" s="94"/>
      <c r="L405" s="191"/>
    </row>
    <row r="406" spans="1:12" ht="12.75" x14ac:dyDescent="0.2">
      <c r="A406" s="95"/>
      <c r="B406" s="95"/>
      <c r="C406" s="94"/>
      <c r="D406" s="185"/>
      <c r="E406" s="95"/>
      <c r="F406" s="95"/>
      <c r="G406" s="94"/>
      <c r="H406" s="185"/>
      <c r="I406" s="95"/>
      <c r="J406" s="95"/>
      <c r="K406" s="94"/>
      <c r="L406" s="191"/>
    </row>
    <row r="407" spans="1:12" ht="12.75" x14ac:dyDescent="0.2">
      <c r="A407" s="95"/>
      <c r="B407" s="95"/>
      <c r="C407" s="94"/>
      <c r="D407" s="185"/>
      <c r="E407" s="95"/>
      <c r="F407" s="95"/>
      <c r="G407" s="94"/>
      <c r="H407" s="185"/>
      <c r="I407" s="95"/>
      <c r="J407" s="95"/>
      <c r="K407" s="94"/>
      <c r="L407" s="191"/>
    </row>
    <row r="408" spans="1:12" ht="12.75" x14ac:dyDescent="0.2">
      <c r="A408" s="95"/>
      <c r="B408" s="95"/>
      <c r="C408" s="94"/>
      <c r="D408" s="185"/>
      <c r="E408" s="95"/>
      <c r="F408" s="95"/>
      <c r="G408" s="94"/>
      <c r="H408" s="185"/>
      <c r="I408" s="95"/>
      <c r="J408" s="95"/>
      <c r="K408" s="94"/>
      <c r="L408" s="191"/>
    </row>
    <row r="409" spans="1:12" ht="12.75" x14ac:dyDescent="0.2">
      <c r="A409" s="95"/>
      <c r="B409" s="95"/>
      <c r="C409" s="94"/>
      <c r="D409" s="185"/>
      <c r="E409" s="95"/>
      <c r="F409" s="95"/>
      <c r="G409" s="94"/>
      <c r="H409" s="185"/>
      <c r="I409" s="95"/>
      <c r="J409" s="95"/>
      <c r="K409" s="94"/>
      <c r="L409" s="191"/>
    </row>
    <row r="410" spans="1:12" ht="12.75" x14ac:dyDescent="0.2">
      <c r="A410" s="95"/>
      <c r="B410" s="95"/>
      <c r="C410" s="94"/>
      <c r="D410" s="185"/>
      <c r="E410" s="95"/>
      <c r="F410" s="95"/>
      <c r="G410" s="94"/>
      <c r="H410" s="185"/>
      <c r="I410" s="95"/>
      <c r="J410" s="95"/>
      <c r="K410" s="94"/>
      <c r="L410" s="191"/>
    </row>
    <row r="411" spans="1:12" ht="12.75" x14ac:dyDescent="0.2">
      <c r="A411" s="95"/>
      <c r="B411" s="95"/>
      <c r="C411" s="94"/>
      <c r="D411" s="185"/>
      <c r="E411" s="95"/>
      <c r="F411" s="95"/>
      <c r="G411" s="94"/>
      <c r="H411" s="185"/>
      <c r="I411" s="95"/>
      <c r="J411" s="95"/>
      <c r="K411" s="94"/>
      <c r="L411" s="191"/>
    </row>
    <row r="412" spans="1:12" ht="12.75" x14ac:dyDescent="0.2">
      <c r="A412" s="95"/>
      <c r="B412" s="95"/>
      <c r="C412" s="94"/>
      <c r="D412" s="185"/>
      <c r="E412" s="95"/>
      <c r="F412" s="95"/>
      <c r="G412" s="94"/>
      <c r="H412" s="185"/>
      <c r="I412" s="95"/>
      <c r="J412" s="95"/>
      <c r="K412" s="94"/>
      <c r="L412" s="191"/>
    </row>
    <row r="413" spans="1:12" ht="12.75" x14ac:dyDescent="0.2">
      <c r="A413" s="95"/>
      <c r="B413" s="95"/>
      <c r="C413" s="94"/>
      <c r="D413" s="185"/>
      <c r="E413" s="95"/>
      <c r="F413" s="95"/>
      <c r="G413" s="94"/>
      <c r="H413" s="185"/>
      <c r="I413" s="95"/>
      <c r="J413" s="95"/>
      <c r="K413" s="94"/>
      <c r="L413" s="191"/>
    </row>
    <row r="414" spans="1:12" ht="12.75" x14ac:dyDescent="0.2">
      <c r="A414" s="95"/>
      <c r="B414" s="95"/>
      <c r="C414" s="94"/>
      <c r="D414" s="185"/>
      <c r="E414" s="95"/>
      <c r="F414" s="95"/>
      <c r="G414" s="94"/>
      <c r="H414" s="185"/>
      <c r="I414" s="95"/>
      <c r="J414" s="95"/>
      <c r="K414" s="94"/>
      <c r="L414" s="191"/>
    </row>
    <row r="415" spans="1:12" ht="12.75" x14ac:dyDescent="0.2">
      <c r="A415" s="95"/>
      <c r="B415" s="95"/>
      <c r="C415" s="94"/>
      <c r="D415" s="185"/>
      <c r="E415" s="95"/>
      <c r="F415" s="95"/>
      <c r="G415" s="94"/>
      <c r="H415" s="185"/>
      <c r="I415" s="95"/>
      <c r="J415" s="95"/>
      <c r="K415" s="94"/>
      <c r="L415" s="191"/>
    </row>
    <row r="416" spans="1:12" ht="12.75" x14ac:dyDescent="0.2">
      <c r="A416" s="95"/>
      <c r="B416" s="95"/>
      <c r="C416" s="94"/>
      <c r="D416" s="185"/>
      <c r="E416" s="95"/>
      <c r="F416" s="95"/>
      <c r="G416" s="94"/>
      <c r="H416" s="185"/>
      <c r="I416" s="95"/>
      <c r="J416" s="95"/>
      <c r="K416" s="94"/>
      <c r="L416" s="191"/>
    </row>
    <row r="417" spans="1:12" ht="12.75" x14ac:dyDescent="0.2">
      <c r="A417" s="95"/>
      <c r="B417" s="95"/>
      <c r="C417" s="94"/>
      <c r="D417" s="185"/>
      <c r="E417" s="95"/>
      <c r="F417" s="95"/>
      <c r="G417" s="94"/>
      <c r="H417" s="185"/>
      <c r="I417" s="95"/>
      <c r="J417" s="95"/>
      <c r="K417" s="94"/>
      <c r="L417" s="191"/>
    </row>
    <row r="418" spans="1:12" ht="12.75" x14ac:dyDescent="0.2">
      <c r="A418" s="95"/>
      <c r="B418" s="95"/>
      <c r="C418" s="94"/>
      <c r="D418" s="185"/>
      <c r="E418" s="95"/>
      <c r="F418" s="95"/>
      <c r="G418" s="94"/>
      <c r="H418" s="185"/>
      <c r="I418" s="95"/>
      <c r="J418" s="95"/>
      <c r="K418" s="94"/>
      <c r="L418" s="191"/>
    </row>
    <row r="419" spans="1:12" ht="12.75" x14ac:dyDescent="0.2">
      <c r="A419" s="95"/>
      <c r="B419" s="95"/>
      <c r="C419" s="94"/>
      <c r="D419" s="185"/>
      <c r="E419" s="95"/>
      <c r="F419" s="95"/>
      <c r="G419" s="94"/>
      <c r="H419" s="185"/>
      <c r="I419" s="95"/>
      <c r="J419" s="95"/>
      <c r="K419" s="94"/>
      <c r="L419" s="191"/>
    </row>
    <row r="420" spans="1:12" ht="12.75" x14ac:dyDescent="0.2">
      <c r="A420" s="95"/>
      <c r="B420" s="95"/>
      <c r="C420" s="94"/>
      <c r="D420" s="185"/>
      <c r="E420" s="95"/>
      <c r="F420" s="95"/>
      <c r="G420" s="94"/>
      <c r="H420" s="185"/>
      <c r="I420" s="95"/>
      <c r="J420" s="95"/>
      <c r="K420" s="94"/>
      <c r="L420" s="191"/>
    </row>
    <row r="421" spans="1:12" ht="12.75" x14ac:dyDescent="0.2">
      <c r="A421" s="95"/>
      <c r="B421" s="95"/>
      <c r="C421" s="94"/>
      <c r="D421" s="185"/>
      <c r="E421" s="95"/>
      <c r="F421" s="95"/>
      <c r="G421" s="94"/>
      <c r="H421" s="185"/>
      <c r="I421" s="95"/>
      <c r="J421" s="95"/>
      <c r="K421" s="94"/>
      <c r="L421" s="191"/>
    </row>
    <row r="422" spans="1:12" ht="12.75" x14ac:dyDescent="0.2">
      <c r="A422" s="95"/>
      <c r="B422" s="95"/>
      <c r="C422" s="94"/>
      <c r="D422" s="185"/>
      <c r="E422" s="95"/>
      <c r="F422" s="95"/>
      <c r="G422" s="94"/>
      <c r="H422" s="185"/>
      <c r="I422" s="95"/>
      <c r="J422" s="95"/>
      <c r="K422" s="94"/>
      <c r="L422" s="191"/>
    </row>
    <row r="423" spans="1:12" ht="12.75" x14ac:dyDescent="0.2">
      <c r="A423" s="95"/>
      <c r="B423" s="95"/>
      <c r="C423" s="94"/>
      <c r="D423" s="185"/>
      <c r="E423" s="95"/>
      <c r="F423" s="95"/>
      <c r="G423" s="94"/>
      <c r="H423" s="185"/>
      <c r="I423" s="95"/>
      <c r="J423" s="95"/>
      <c r="K423" s="94"/>
      <c r="L423" s="191"/>
    </row>
    <row r="424" spans="1:12" ht="12.75" x14ac:dyDescent="0.2">
      <c r="A424" s="95"/>
      <c r="B424" s="95"/>
      <c r="C424" s="94"/>
      <c r="D424" s="185"/>
      <c r="E424" s="95"/>
      <c r="F424" s="95"/>
      <c r="G424" s="94"/>
      <c r="H424" s="185"/>
      <c r="I424" s="95"/>
      <c r="J424" s="95"/>
      <c r="K424" s="94"/>
      <c r="L424" s="191"/>
    </row>
    <row r="425" spans="1:12" ht="12.75" x14ac:dyDescent="0.2">
      <c r="A425" s="95"/>
      <c r="B425" s="95"/>
      <c r="C425" s="94"/>
      <c r="D425" s="185"/>
      <c r="E425" s="95"/>
      <c r="F425" s="95"/>
      <c r="G425" s="94"/>
      <c r="H425" s="185"/>
      <c r="I425" s="95"/>
      <c r="J425" s="95"/>
      <c r="K425" s="94"/>
      <c r="L425" s="191"/>
    </row>
    <row r="426" spans="1:12" ht="12.75" x14ac:dyDescent="0.2">
      <c r="A426" s="95"/>
      <c r="B426" s="95"/>
      <c r="C426" s="94"/>
      <c r="D426" s="185"/>
      <c r="E426" s="95"/>
      <c r="F426" s="95"/>
      <c r="G426" s="94"/>
      <c r="H426" s="185"/>
      <c r="I426" s="95"/>
      <c r="J426" s="95"/>
      <c r="K426" s="94"/>
      <c r="L426" s="191"/>
    </row>
    <row r="427" spans="1:12" ht="12.75" x14ac:dyDescent="0.2">
      <c r="A427" s="95"/>
      <c r="B427" s="95"/>
      <c r="C427" s="94"/>
      <c r="D427" s="185"/>
      <c r="E427" s="95"/>
      <c r="F427" s="95"/>
      <c r="G427" s="94"/>
      <c r="H427" s="185"/>
      <c r="I427" s="95"/>
      <c r="J427" s="95"/>
      <c r="K427" s="94"/>
      <c r="L427" s="191"/>
    </row>
    <row r="428" spans="1:12" ht="12.75" x14ac:dyDescent="0.2">
      <c r="A428" s="95"/>
      <c r="B428" s="95"/>
      <c r="C428" s="94"/>
      <c r="D428" s="185"/>
      <c r="E428" s="95"/>
      <c r="F428" s="95"/>
      <c r="G428" s="94"/>
      <c r="H428" s="185"/>
      <c r="I428" s="95"/>
      <c r="J428" s="95"/>
      <c r="K428" s="94"/>
      <c r="L428" s="191"/>
    </row>
    <row r="429" spans="1:12" ht="12.75" x14ac:dyDescent="0.2">
      <c r="A429" s="95"/>
      <c r="B429" s="95"/>
      <c r="C429" s="94"/>
      <c r="D429" s="185"/>
      <c r="E429" s="95"/>
      <c r="F429" s="95"/>
      <c r="G429" s="94"/>
      <c r="H429" s="185"/>
      <c r="I429" s="95"/>
      <c r="J429" s="95"/>
      <c r="K429" s="94"/>
      <c r="L429" s="191"/>
    </row>
    <row r="430" spans="1:12" ht="12.75" x14ac:dyDescent="0.2">
      <c r="A430" s="95"/>
      <c r="B430" s="95"/>
      <c r="C430" s="94"/>
      <c r="D430" s="185"/>
      <c r="E430" s="95"/>
      <c r="F430" s="95"/>
      <c r="G430" s="94"/>
      <c r="H430" s="185"/>
      <c r="I430" s="95"/>
      <c r="J430" s="95"/>
      <c r="K430" s="94"/>
      <c r="L430" s="191"/>
    </row>
    <row r="431" spans="1:12" ht="12.75" x14ac:dyDescent="0.2">
      <c r="A431" s="95"/>
      <c r="B431" s="95"/>
      <c r="C431" s="94"/>
      <c r="D431" s="185"/>
      <c r="E431" s="95"/>
      <c r="F431" s="95"/>
      <c r="G431" s="94"/>
      <c r="H431" s="185"/>
      <c r="I431" s="95"/>
      <c r="J431" s="95"/>
      <c r="K431" s="94"/>
      <c r="L431" s="191"/>
    </row>
    <row r="432" spans="1:12" ht="12.75" x14ac:dyDescent="0.2">
      <c r="A432" s="95"/>
      <c r="B432" s="95"/>
      <c r="C432" s="94"/>
      <c r="D432" s="185"/>
      <c r="E432" s="95"/>
      <c r="F432" s="95"/>
      <c r="G432" s="94"/>
      <c r="H432" s="185"/>
      <c r="I432" s="95"/>
      <c r="J432" s="95"/>
      <c r="K432" s="94"/>
      <c r="L432" s="191"/>
    </row>
    <row r="433" spans="1:12" ht="12.75" x14ac:dyDescent="0.2">
      <c r="A433" s="95"/>
      <c r="B433" s="95"/>
      <c r="C433" s="94"/>
      <c r="D433" s="185"/>
      <c r="E433" s="95"/>
      <c r="F433" s="95"/>
      <c r="G433" s="94"/>
      <c r="H433" s="185"/>
      <c r="I433" s="95"/>
      <c r="J433" s="95"/>
      <c r="K433" s="94"/>
      <c r="L433" s="191"/>
    </row>
    <row r="434" spans="1:12" ht="12.75" x14ac:dyDescent="0.2">
      <c r="A434" s="95"/>
      <c r="B434" s="95"/>
      <c r="C434" s="94"/>
      <c r="D434" s="185"/>
      <c r="E434" s="95"/>
      <c r="F434" s="95"/>
      <c r="G434" s="94"/>
      <c r="H434" s="185"/>
      <c r="I434" s="95"/>
      <c r="J434" s="95"/>
      <c r="K434" s="94"/>
      <c r="L434" s="191"/>
    </row>
    <row r="435" spans="1:12" ht="12.75" x14ac:dyDescent="0.2">
      <c r="A435" s="95"/>
      <c r="B435" s="95"/>
      <c r="C435" s="94"/>
      <c r="D435" s="185"/>
      <c r="E435" s="95"/>
      <c r="F435" s="95"/>
      <c r="G435" s="94"/>
      <c r="H435" s="185"/>
      <c r="I435" s="95"/>
      <c r="J435" s="95"/>
      <c r="K435" s="94"/>
      <c r="L435" s="191"/>
    </row>
    <row r="436" spans="1:12" ht="12.75" x14ac:dyDescent="0.2">
      <c r="A436" s="95"/>
      <c r="B436" s="95"/>
      <c r="C436" s="94"/>
      <c r="D436" s="185"/>
      <c r="E436" s="95"/>
      <c r="F436" s="95"/>
      <c r="G436" s="94"/>
      <c r="H436" s="185"/>
      <c r="I436" s="95"/>
      <c r="J436" s="95"/>
      <c r="K436" s="94"/>
      <c r="L436" s="191"/>
    </row>
    <row r="437" spans="1:12" ht="12.75" x14ac:dyDescent="0.2">
      <c r="A437" s="95"/>
      <c r="B437" s="95"/>
      <c r="C437" s="94"/>
      <c r="D437" s="185"/>
      <c r="E437" s="95"/>
      <c r="F437" s="95"/>
      <c r="G437" s="94"/>
      <c r="H437" s="185"/>
      <c r="I437" s="95"/>
      <c r="J437" s="95"/>
      <c r="K437" s="94"/>
      <c r="L437" s="191"/>
    </row>
    <row r="438" spans="1:12" ht="12.75" x14ac:dyDescent="0.2">
      <c r="A438" s="95"/>
      <c r="B438" s="95"/>
      <c r="C438" s="94"/>
      <c r="D438" s="185"/>
      <c r="E438" s="95"/>
      <c r="F438" s="95"/>
      <c r="G438" s="94"/>
      <c r="H438" s="185"/>
      <c r="I438" s="95"/>
      <c r="J438" s="95"/>
      <c r="K438" s="94"/>
      <c r="L438" s="191"/>
    </row>
    <row r="439" spans="1:12" ht="12.75" x14ac:dyDescent="0.2">
      <c r="A439" s="95"/>
      <c r="B439" s="95"/>
      <c r="C439" s="94"/>
      <c r="D439" s="185"/>
      <c r="E439" s="95"/>
      <c r="F439" s="95"/>
      <c r="G439" s="94"/>
      <c r="H439" s="185"/>
      <c r="I439" s="95"/>
      <c r="J439" s="95"/>
      <c r="K439" s="94"/>
      <c r="L439" s="191"/>
    </row>
    <row r="440" spans="1:12" ht="12.75" x14ac:dyDescent="0.2">
      <c r="A440" s="95"/>
      <c r="B440" s="95"/>
      <c r="C440" s="94"/>
      <c r="D440" s="185"/>
      <c r="E440" s="95"/>
      <c r="F440" s="95"/>
      <c r="G440" s="94"/>
      <c r="H440" s="185"/>
      <c r="I440" s="95"/>
      <c r="J440" s="95"/>
      <c r="K440" s="94"/>
      <c r="L440" s="191"/>
    </row>
    <row r="441" spans="1:12" ht="12.75" x14ac:dyDescent="0.2">
      <c r="A441" s="95"/>
      <c r="B441" s="95"/>
      <c r="C441" s="94"/>
      <c r="D441" s="185"/>
      <c r="E441" s="95"/>
      <c r="F441" s="95"/>
      <c r="G441" s="94"/>
      <c r="H441" s="185"/>
      <c r="I441" s="95"/>
      <c r="J441" s="95"/>
      <c r="K441" s="94"/>
      <c r="L441" s="191"/>
    </row>
    <row r="442" spans="1:12" ht="12.75" x14ac:dyDescent="0.2">
      <c r="A442" s="95"/>
      <c r="B442" s="95"/>
      <c r="C442" s="94"/>
      <c r="D442" s="185"/>
      <c r="E442" s="95"/>
      <c r="F442" s="95"/>
      <c r="G442" s="94"/>
      <c r="H442" s="185"/>
      <c r="I442" s="95"/>
      <c r="J442" s="95"/>
      <c r="K442" s="94"/>
      <c r="L442" s="191"/>
    </row>
    <row r="443" spans="1:12" ht="12.75" x14ac:dyDescent="0.2">
      <c r="A443" s="95"/>
      <c r="B443" s="95"/>
      <c r="C443" s="94"/>
      <c r="D443" s="185"/>
      <c r="E443" s="95"/>
      <c r="F443" s="95"/>
      <c r="G443" s="94"/>
      <c r="H443" s="185"/>
      <c r="I443" s="95"/>
      <c r="J443" s="95"/>
      <c r="K443" s="94"/>
      <c r="L443" s="191"/>
    </row>
    <row r="444" spans="1:12" ht="12.75" x14ac:dyDescent="0.2">
      <c r="A444" s="95"/>
      <c r="B444" s="95"/>
      <c r="C444" s="94"/>
      <c r="D444" s="185"/>
      <c r="E444" s="95"/>
      <c r="F444" s="95"/>
      <c r="G444" s="94"/>
      <c r="H444" s="185"/>
      <c r="I444" s="95"/>
      <c r="J444" s="95"/>
      <c r="K444" s="94"/>
      <c r="L444" s="191"/>
    </row>
    <row r="445" spans="1:12" ht="12.75" x14ac:dyDescent="0.2">
      <c r="A445" s="95"/>
      <c r="B445" s="95"/>
      <c r="C445" s="94"/>
      <c r="D445" s="185"/>
      <c r="E445" s="95"/>
      <c r="F445" s="95"/>
      <c r="G445" s="94"/>
      <c r="H445" s="185"/>
      <c r="I445" s="95"/>
      <c r="J445" s="95"/>
      <c r="K445" s="94"/>
      <c r="L445" s="191"/>
    </row>
    <row r="446" spans="1:12" ht="12.75" x14ac:dyDescent="0.2">
      <c r="A446" s="95"/>
      <c r="B446" s="95"/>
      <c r="C446" s="94"/>
      <c r="D446" s="185"/>
      <c r="E446" s="95"/>
      <c r="F446" s="95"/>
      <c r="G446" s="94"/>
      <c r="H446" s="185"/>
      <c r="I446" s="95"/>
      <c r="J446" s="95"/>
      <c r="K446" s="94"/>
      <c r="L446" s="191"/>
    </row>
    <row r="447" spans="1:12" ht="12.75" x14ac:dyDescent="0.2">
      <c r="A447" s="95"/>
      <c r="B447" s="95"/>
      <c r="C447" s="94"/>
      <c r="D447" s="185"/>
      <c r="E447" s="95"/>
      <c r="F447" s="95"/>
      <c r="G447" s="94"/>
      <c r="H447" s="185"/>
      <c r="I447" s="95"/>
      <c r="J447" s="95"/>
      <c r="K447" s="94"/>
      <c r="L447" s="191"/>
    </row>
    <row r="448" spans="1:12" ht="12.75" x14ac:dyDescent="0.2">
      <c r="A448" s="95"/>
      <c r="B448" s="95"/>
      <c r="C448" s="94"/>
      <c r="D448" s="185"/>
      <c r="E448" s="95"/>
      <c r="F448" s="95"/>
      <c r="G448" s="94"/>
      <c r="H448" s="185"/>
      <c r="I448" s="95"/>
      <c r="J448" s="95"/>
      <c r="K448" s="94"/>
      <c r="L448" s="191"/>
    </row>
    <row r="449" spans="1:12" ht="12.75" x14ac:dyDescent="0.2">
      <c r="A449" s="95"/>
      <c r="B449" s="95"/>
      <c r="C449" s="94"/>
      <c r="D449" s="185"/>
      <c r="E449" s="95"/>
      <c r="F449" s="95"/>
      <c r="G449" s="94"/>
      <c r="H449" s="185"/>
      <c r="I449" s="95"/>
      <c r="J449" s="95"/>
      <c r="K449" s="94"/>
      <c r="L449" s="191"/>
    </row>
    <row r="450" spans="1:12" ht="12.75" x14ac:dyDescent="0.2">
      <c r="A450" s="95"/>
      <c r="B450" s="95"/>
      <c r="C450" s="94"/>
      <c r="D450" s="185"/>
      <c r="E450" s="95"/>
      <c r="F450" s="95"/>
      <c r="G450" s="94"/>
      <c r="H450" s="185"/>
      <c r="I450" s="95"/>
      <c r="J450" s="95"/>
      <c r="K450" s="94"/>
      <c r="L450" s="191"/>
    </row>
    <row r="451" spans="1:12" ht="12.75" x14ac:dyDescent="0.2">
      <c r="A451" s="95"/>
      <c r="B451" s="95"/>
      <c r="C451" s="94"/>
      <c r="D451" s="185"/>
      <c r="E451" s="95"/>
      <c r="F451" s="95"/>
      <c r="G451" s="94"/>
      <c r="H451" s="185"/>
      <c r="I451" s="95"/>
      <c r="J451" s="95"/>
      <c r="K451" s="94"/>
      <c r="L451" s="191"/>
    </row>
    <row r="452" spans="1:12" ht="12.75" x14ac:dyDescent="0.2">
      <c r="A452" s="95"/>
      <c r="B452" s="95"/>
      <c r="C452" s="94"/>
      <c r="D452" s="185"/>
      <c r="E452" s="95"/>
      <c r="F452" s="95"/>
      <c r="G452" s="94"/>
      <c r="H452" s="185"/>
      <c r="I452" s="95"/>
      <c r="J452" s="95"/>
      <c r="K452" s="94"/>
      <c r="L452" s="191"/>
    </row>
    <row r="453" spans="1:12" ht="12.75" x14ac:dyDescent="0.2">
      <c r="A453" s="95"/>
      <c r="B453" s="95"/>
      <c r="C453" s="94"/>
      <c r="D453" s="185"/>
      <c r="E453" s="95"/>
      <c r="F453" s="95"/>
      <c r="G453" s="94"/>
      <c r="H453" s="185"/>
      <c r="I453" s="95"/>
      <c r="J453" s="95"/>
      <c r="K453" s="94"/>
      <c r="L453" s="191"/>
    </row>
    <row r="454" spans="1:12" ht="12.75" x14ac:dyDescent="0.2">
      <c r="A454" s="95"/>
      <c r="B454" s="95"/>
      <c r="C454" s="94"/>
      <c r="D454" s="185"/>
      <c r="E454" s="95"/>
      <c r="F454" s="95"/>
      <c r="G454" s="94"/>
      <c r="H454" s="185"/>
      <c r="I454" s="95"/>
      <c r="J454" s="95"/>
      <c r="K454" s="94"/>
      <c r="L454" s="191"/>
    </row>
    <row r="455" spans="1:12" ht="12.75" x14ac:dyDescent="0.2">
      <c r="A455" s="95"/>
      <c r="B455" s="95"/>
      <c r="C455" s="94"/>
      <c r="D455" s="185"/>
      <c r="E455" s="95"/>
      <c r="F455" s="95"/>
      <c r="G455" s="94"/>
      <c r="H455" s="185"/>
      <c r="I455" s="95"/>
      <c r="J455" s="95"/>
      <c r="K455" s="94"/>
      <c r="L455" s="191"/>
    </row>
    <row r="456" spans="1:12" ht="12.75" x14ac:dyDescent="0.2">
      <c r="A456" s="95"/>
      <c r="B456" s="95"/>
      <c r="C456" s="94"/>
      <c r="D456" s="185"/>
      <c r="E456" s="95"/>
      <c r="F456" s="95"/>
      <c r="G456" s="94"/>
      <c r="H456" s="185"/>
      <c r="I456" s="95"/>
      <c r="J456" s="95"/>
      <c r="K456" s="94"/>
      <c r="L456" s="191"/>
    </row>
    <row r="457" spans="1:12" ht="12.75" x14ac:dyDescent="0.2">
      <c r="A457" s="95"/>
      <c r="B457" s="95"/>
      <c r="C457" s="94"/>
      <c r="D457" s="185"/>
      <c r="E457" s="95"/>
      <c r="F457" s="95"/>
      <c r="G457" s="94"/>
      <c r="H457" s="185"/>
      <c r="I457" s="95"/>
      <c r="J457" s="95"/>
      <c r="K457" s="94"/>
      <c r="L457" s="191"/>
    </row>
    <row r="458" spans="1:12" ht="12.75" x14ac:dyDescent="0.2">
      <c r="A458" s="95"/>
      <c r="B458" s="95"/>
      <c r="C458" s="94"/>
      <c r="D458" s="185"/>
      <c r="E458" s="95"/>
      <c r="F458" s="95"/>
      <c r="G458" s="94"/>
      <c r="H458" s="185"/>
      <c r="I458" s="95"/>
      <c r="J458" s="95"/>
      <c r="K458" s="94"/>
      <c r="L458" s="191"/>
    </row>
    <row r="459" spans="1:12" ht="12.75" x14ac:dyDescent="0.2">
      <c r="A459" s="95"/>
      <c r="B459" s="95"/>
      <c r="C459" s="94"/>
      <c r="D459" s="185"/>
      <c r="E459" s="95"/>
      <c r="F459" s="95"/>
      <c r="G459" s="94"/>
      <c r="H459" s="185"/>
      <c r="I459" s="95"/>
      <c r="J459" s="95"/>
      <c r="K459" s="94"/>
      <c r="L459" s="191"/>
    </row>
    <row r="460" spans="1:12" ht="12.75" x14ac:dyDescent="0.2">
      <c r="A460" s="95"/>
      <c r="B460" s="95"/>
      <c r="C460" s="94"/>
      <c r="D460" s="185"/>
      <c r="E460" s="95"/>
      <c r="F460" s="95"/>
      <c r="G460" s="94"/>
      <c r="H460" s="185"/>
      <c r="I460" s="95"/>
      <c r="J460" s="95"/>
      <c r="K460" s="94"/>
      <c r="L460" s="191"/>
    </row>
    <row r="461" spans="1:12" ht="12.75" x14ac:dyDescent="0.2">
      <c r="A461" s="95"/>
      <c r="B461" s="95"/>
      <c r="C461" s="94"/>
      <c r="D461" s="185"/>
      <c r="E461" s="95"/>
      <c r="F461" s="95"/>
      <c r="G461" s="94"/>
      <c r="H461" s="185"/>
      <c r="I461" s="95"/>
      <c r="J461" s="95"/>
      <c r="K461" s="94"/>
      <c r="L461" s="191"/>
    </row>
    <row r="462" spans="1:12" ht="12.75" x14ac:dyDescent="0.2">
      <c r="A462" s="95"/>
      <c r="B462" s="95"/>
      <c r="C462" s="94"/>
      <c r="D462" s="185"/>
      <c r="E462" s="95"/>
      <c r="F462" s="95"/>
      <c r="G462" s="94"/>
      <c r="H462" s="185"/>
      <c r="I462" s="95"/>
      <c r="J462" s="95"/>
      <c r="K462" s="94"/>
      <c r="L462" s="191"/>
    </row>
    <row r="463" spans="1:12" ht="12.75" x14ac:dyDescent="0.2">
      <c r="A463" s="95"/>
      <c r="B463" s="95"/>
      <c r="C463" s="94"/>
      <c r="D463" s="185"/>
      <c r="E463" s="95"/>
      <c r="F463" s="95"/>
      <c r="G463" s="94"/>
      <c r="H463" s="185"/>
      <c r="I463" s="95"/>
      <c r="J463" s="95"/>
      <c r="K463" s="94"/>
      <c r="L463" s="191"/>
    </row>
    <row r="464" spans="1:12" ht="12.75" x14ac:dyDescent="0.2">
      <c r="A464" s="95"/>
      <c r="B464" s="95"/>
      <c r="C464" s="94"/>
      <c r="D464" s="185"/>
      <c r="E464" s="95"/>
      <c r="F464" s="95"/>
      <c r="G464" s="94"/>
      <c r="H464" s="185"/>
      <c r="I464" s="95"/>
      <c r="J464" s="95"/>
      <c r="K464" s="94"/>
      <c r="L464" s="191"/>
    </row>
    <row r="465" spans="1:12" ht="12.75" x14ac:dyDescent="0.2">
      <c r="A465" s="95"/>
      <c r="B465" s="95"/>
      <c r="C465" s="94"/>
      <c r="D465" s="185"/>
      <c r="E465" s="95"/>
      <c r="F465" s="95"/>
      <c r="G465" s="94"/>
      <c r="H465" s="185"/>
      <c r="I465" s="95"/>
      <c r="J465" s="95"/>
      <c r="K465" s="94"/>
      <c r="L465" s="191"/>
    </row>
    <row r="466" spans="1:12" ht="12.75" x14ac:dyDescent="0.2">
      <c r="A466" s="95"/>
      <c r="B466" s="95"/>
      <c r="C466" s="94"/>
      <c r="D466" s="185"/>
      <c r="E466" s="95"/>
      <c r="F466" s="95"/>
      <c r="G466" s="94"/>
      <c r="H466" s="185"/>
      <c r="I466" s="95"/>
      <c r="J466" s="95"/>
      <c r="K466" s="94"/>
      <c r="L466" s="191"/>
    </row>
    <row r="467" spans="1:12" ht="12.75" x14ac:dyDescent="0.2">
      <c r="A467" s="95"/>
      <c r="B467" s="95"/>
      <c r="C467" s="94"/>
      <c r="D467" s="185"/>
      <c r="E467" s="95"/>
      <c r="F467" s="95"/>
      <c r="G467" s="94"/>
      <c r="H467" s="185"/>
      <c r="I467" s="95"/>
      <c r="J467" s="95"/>
      <c r="K467" s="94"/>
      <c r="L467" s="191"/>
    </row>
    <row r="468" spans="1:12" ht="12.75" x14ac:dyDescent="0.2">
      <c r="A468" s="95"/>
      <c r="B468" s="95"/>
      <c r="C468" s="94"/>
      <c r="D468" s="185"/>
      <c r="E468" s="95"/>
      <c r="F468" s="95"/>
      <c r="G468" s="94"/>
      <c r="H468" s="185"/>
      <c r="I468" s="95"/>
      <c r="J468" s="95"/>
      <c r="K468" s="94"/>
      <c r="L468" s="191"/>
    </row>
    <row r="469" spans="1:12" ht="12.75" x14ac:dyDescent="0.2">
      <c r="A469" s="95"/>
      <c r="B469" s="95"/>
      <c r="C469" s="94"/>
      <c r="D469" s="185"/>
      <c r="E469" s="95"/>
      <c r="F469" s="95"/>
      <c r="G469" s="94"/>
      <c r="H469" s="185"/>
      <c r="I469" s="95"/>
      <c r="J469" s="95"/>
      <c r="K469" s="94"/>
      <c r="L469" s="191"/>
    </row>
    <row r="470" spans="1:12" ht="12.75" x14ac:dyDescent="0.2">
      <c r="A470" s="95"/>
      <c r="B470" s="95"/>
      <c r="C470" s="94"/>
      <c r="D470" s="185"/>
      <c r="E470" s="95"/>
      <c r="F470" s="95"/>
      <c r="G470" s="94"/>
      <c r="H470" s="185"/>
      <c r="I470" s="95"/>
      <c r="J470" s="95"/>
      <c r="K470" s="94"/>
      <c r="L470" s="191"/>
    </row>
    <row r="471" spans="1:12" ht="12.75" x14ac:dyDescent="0.2">
      <c r="A471" s="95"/>
      <c r="B471" s="95"/>
      <c r="C471" s="94"/>
      <c r="D471" s="185"/>
      <c r="E471" s="95"/>
      <c r="F471" s="95"/>
      <c r="G471" s="94"/>
      <c r="H471" s="185"/>
      <c r="I471" s="95"/>
      <c r="J471" s="95"/>
      <c r="K471" s="94"/>
      <c r="L471" s="191"/>
    </row>
    <row r="472" spans="1:12" ht="12.75" x14ac:dyDescent="0.2">
      <c r="A472" s="95"/>
      <c r="B472" s="95"/>
      <c r="C472" s="94"/>
      <c r="D472" s="185"/>
      <c r="E472" s="95"/>
      <c r="F472" s="95"/>
      <c r="G472" s="94"/>
      <c r="H472" s="185"/>
      <c r="I472" s="95"/>
      <c r="J472" s="95"/>
      <c r="K472" s="94"/>
      <c r="L472" s="191"/>
    </row>
    <row r="473" spans="1:12" ht="12.75" x14ac:dyDescent="0.2">
      <c r="A473" s="95"/>
      <c r="B473" s="95"/>
      <c r="C473" s="94"/>
      <c r="D473" s="185"/>
      <c r="E473" s="95"/>
      <c r="F473" s="95"/>
      <c r="G473" s="94"/>
      <c r="H473" s="185"/>
      <c r="I473" s="95"/>
      <c r="J473" s="95"/>
      <c r="K473" s="94"/>
      <c r="L473" s="191"/>
    </row>
    <row r="474" spans="1:12" ht="12.75" x14ac:dyDescent="0.2">
      <c r="A474" s="95"/>
      <c r="B474" s="95"/>
      <c r="C474" s="94"/>
      <c r="D474" s="185"/>
      <c r="E474" s="95"/>
      <c r="F474" s="95"/>
      <c r="G474" s="94"/>
      <c r="H474" s="185"/>
      <c r="I474" s="95"/>
      <c r="J474" s="95"/>
      <c r="K474" s="94"/>
      <c r="L474" s="191"/>
    </row>
    <row r="475" spans="1:12" ht="12.75" x14ac:dyDescent="0.2">
      <c r="A475" s="95"/>
      <c r="B475" s="95"/>
      <c r="C475" s="94"/>
      <c r="D475" s="185"/>
      <c r="E475" s="95"/>
      <c r="F475" s="95"/>
      <c r="G475" s="94"/>
      <c r="H475" s="185"/>
      <c r="I475" s="95"/>
      <c r="J475" s="95"/>
      <c r="K475" s="94"/>
      <c r="L475" s="191"/>
    </row>
    <row r="476" spans="1:12" ht="12.75" x14ac:dyDescent="0.2">
      <c r="A476" s="95"/>
      <c r="B476" s="95"/>
      <c r="C476" s="94"/>
      <c r="D476" s="185"/>
      <c r="E476" s="95"/>
      <c r="F476" s="95"/>
      <c r="G476" s="94"/>
      <c r="H476" s="185"/>
      <c r="I476" s="95"/>
      <c r="J476" s="95"/>
      <c r="K476" s="94"/>
      <c r="L476" s="191"/>
    </row>
    <row r="477" spans="1:12" ht="12.75" x14ac:dyDescent="0.2">
      <c r="A477" s="95"/>
      <c r="B477" s="95"/>
      <c r="C477" s="94"/>
      <c r="D477" s="185"/>
      <c r="E477" s="95"/>
      <c r="F477" s="95"/>
      <c r="G477" s="94"/>
      <c r="H477" s="185"/>
      <c r="I477" s="95"/>
      <c r="J477" s="95"/>
      <c r="K477" s="94"/>
      <c r="L477" s="191"/>
    </row>
    <row r="478" spans="1:12" ht="12.75" x14ac:dyDescent="0.2">
      <c r="A478" s="95"/>
      <c r="B478" s="95"/>
      <c r="C478" s="94"/>
      <c r="D478" s="185"/>
      <c r="E478" s="95"/>
      <c r="F478" s="95"/>
      <c r="G478" s="94"/>
      <c r="H478" s="185"/>
      <c r="I478" s="95"/>
      <c r="J478" s="95"/>
      <c r="K478" s="94"/>
      <c r="L478" s="191"/>
    </row>
    <row r="479" spans="1:12" ht="12.75" x14ac:dyDescent="0.2">
      <c r="A479" s="95"/>
      <c r="B479" s="95"/>
      <c r="C479" s="94"/>
      <c r="D479" s="185"/>
      <c r="E479" s="95"/>
      <c r="F479" s="95"/>
      <c r="G479" s="94"/>
      <c r="H479" s="185"/>
      <c r="I479" s="95"/>
      <c r="J479" s="95"/>
      <c r="K479" s="94"/>
      <c r="L479" s="191"/>
    </row>
    <row r="480" spans="1:12" ht="12.75" x14ac:dyDescent="0.2">
      <c r="A480" s="95"/>
      <c r="B480" s="95"/>
      <c r="C480" s="94"/>
      <c r="D480" s="185"/>
      <c r="E480" s="95"/>
      <c r="F480" s="95"/>
      <c r="G480" s="94"/>
      <c r="H480" s="185"/>
      <c r="I480" s="95"/>
      <c r="J480" s="95"/>
      <c r="K480" s="94"/>
      <c r="L480" s="191"/>
    </row>
    <row r="481" spans="1:12" ht="12.75" x14ac:dyDescent="0.2">
      <c r="A481" s="95"/>
      <c r="B481" s="95"/>
      <c r="C481" s="94"/>
      <c r="D481" s="185"/>
      <c r="E481" s="95"/>
      <c r="F481" s="95"/>
      <c r="G481" s="94"/>
      <c r="H481" s="185"/>
      <c r="I481" s="95"/>
      <c r="J481" s="95"/>
      <c r="K481" s="94"/>
      <c r="L481" s="191"/>
    </row>
    <row r="482" spans="1:12" ht="12.75" x14ac:dyDescent="0.2">
      <c r="A482" s="95"/>
      <c r="B482" s="95"/>
      <c r="C482" s="94"/>
      <c r="D482" s="185"/>
      <c r="E482" s="95"/>
      <c r="F482" s="95"/>
      <c r="G482" s="94"/>
      <c r="H482" s="185"/>
      <c r="I482" s="95"/>
      <c r="J482" s="95"/>
      <c r="K482" s="94"/>
      <c r="L482" s="191"/>
    </row>
    <row r="483" spans="1:12" ht="12.75" x14ac:dyDescent="0.2">
      <c r="A483" s="95"/>
      <c r="B483" s="95"/>
      <c r="C483" s="94"/>
      <c r="D483" s="185"/>
      <c r="E483" s="95"/>
      <c r="F483" s="95"/>
      <c r="G483" s="94"/>
      <c r="H483" s="185"/>
      <c r="I483" s="95"/>
      <c r="J483" s="95"/>
      <c r="K483" s="94"/>
      <c r="L483" s="191"/>
    </row>
    <row r="484" spans="1:12" ht="12.75" x14ac:dyDescent="0.2">
      <c r="A484" s="95"/>
      <c r="B484" s="95"/>
      <c r="C484" s="94"/>
      <c r="D484" s="185"/>
      <c r="E484" s="95"/>
      <c r="F484" s="95"/>
      <c r="G484" s="94"/>
      <c r="H484" s="185"/>
      <c r="I484" s="95"/>
      <c r="J484" s="95"/>
      <c r="K484" s="94"/>
      <c r="L484" s="191"/>
    </row>
    <row r="485" spans="1:12" ht="12.75" x14ac:dyDescent="0.2">
      <c r="A485" s="95"/>
      <c r="B485" s="95"/>
      <c r="C485" s="94"/>
      <c r="D485" s="185"/>
      <c r="E485" s="95"/>
      <c r="F485" s="95"/>
      <c r="G485" s="94"/>
      <c r="H485" s="185"/>
      <c r="I485" s="95"/>
      <c r="J485" s="95"/>
      <c r="K485" s="94"/>
      <c r="L485" s="191"/>
    </row>
    <row r="486" spans="1:12" ht="12.75" x14ac:dyDescent="0.2">
      <c r="A486" s="95"/>
      <c r="B486" s="95"/>
      <c r="C486" s="94"/>
      <c r="D486" s="185"/>
      <c r="E486" s="95"/>
      <c r="F486" s="95"/>
      <c r="G486" s="94"/>
      <c r="H486" s="185"/>
      <c r="I486" s="95"/>
      <c r="J486" s="95"/>
      <c r="K486" s="94"/>
      <c r="L486" s="191"/>
    </row>
    <row r="487" spans="1:12" ht="12.75" x14ac:dyDescent="0.2">
      <c r="A487" s="95"/>
      <c r="B487" s="95"/>
      <c r="C487" s="94"/>
      <c r="D487" s="185"/>
      <c r="E487" s="95"/>
      <c r="F487" s="95"/>
      <c r="G487" s="94"/>
      <c r="H487" s="185"/>
      <c r="I487" s="95"/>
      <c r="J487" s="95"/>
      <c r="K487" s="94"/>
      <c r="L487" s="191"/>
    </row>
    <row r="488" spans="1:12" ht="12.75" x14ac:dyDescent="0.2">
      <c r="A488" s="95"/>
      <c r="B488" s="95"/>
      <c r="C488" s="94"/>
      <c r="D488" s="185"/>
      <c r="E488" s="95"/>
      <c r="F488" s="95"/>
      <c r="G488" s="94"/>
      <c r="H488" s="185"/>
      <c r="I488" s="95"/>
      <c r="J488" s="95"/>
      <c r="K488" s="94"/>
      <c r="L488" s="191"/>
    </row>
    <row r="489" spans="1:12" ht="12.75" x14ac:dyDescent="0.2">
      <c r="A489" s="95"/>
      <c r="B489" s="95"/>
      <c r="C489" s="94"/>
      <c r="D489" s="185"/>
      <c r="E489" s="95"/>
      <c r="F489" s="95"/>
      <c r="G489" s="94"/>
      <c r="H489" s="185"/>
      <c r="I489" s="95"/>
      <c r="J489" s="95"/>
      <c r="K489" s="94"/>
      <c r="L489" s="191"/>
    </row>
    <row r="490" spans="1:12" ht="12.75" x14ac:dyDescent="0.2">
      <c r="A490" s="95"/>
      <c r="B490" s="95"/>
      <c r="C490" s="94"/>
      <c r="D490" s="185"/>
      <c r="E490" s="95"/>
      <c r="F490" s="95"/>
      <c r="G490" s="94"/>
      <c r="H490" s="185"/>
      <c r="I490" s="95"/>
      <c r="J490" s="95"/>
      <c r="K490" s="94"/>
      <c r="L490" s="191"/>
    </row>
    <row r="491" spans="1:12" ht="12.75" x14ac:dyDescent="0.2">
      <c r="A491" s="95"/>
      <c r="B491" s="95"/>
      <c r="C491" s="94"/>
      <c r="D491" s="185"/>
      <c r="E491" s="95"/>
      <c r="F491" s="95"/>
      <c r="G491" s="94"/>
      <c r="H491" s="185"/>
      <c r="I491" s="95"/>
      <c r="J491" s="95"/>
      <c r="K491" s="94"/>
      <c r="L491" s="191"/>
    </row>
    <row r="492" spans="1:12" ht="12.75" x14ac:dyDescent="0.2">
      <c r="A492" s="95"/>
      <c r="B492" s="95"/>
      <c r="C492" s="94"/>
      <c r="D492" s="185"/>
      <c r="E492" s="95"/>
      <c r="F492" s="95"/>
      <c r="G492" s="94"/>
      <c r="H492" s="185"/>
      <c r="I492" s="95"/>
      <c r="J492" s="95"/>
      <c r="K492" s="94"/>
      <c r="L492" s="191"/>
    </row>
    <row r="493" spans="1:12" ht="12.75" x14ac:dyDescent="0.2">
      <c r="A493" s="95"/>
      <c r="B493" s="95"/>
      <c r="C493" s="94"/>
      <c r="D493" s="185"/>
      <c r="E493" s="95"/>
      <c r="F493" s="95"/>
      <c r="G493" s="94"/>
      <c r="H493" s="185"/>
      <c r="I493" s="95"/>
      <c r="J493" s="95"/>
      <c r="K493" s="94"/>
      <c r="L493" s="191"/>
    </row>
    <row r="494" spans="1:12" ht="12.75" x14ac:dyDescent="0.2">
      <c r="A494" s="95"/>
      <c r="B494" s="95"/>
      <c r="C494" s="94"/>
      <c r="D494" s="185"/>
      <c r="E494" s="95"/>
      <c r="F494" s="95"/>
      <c r="G494" s="94"/>
      <c r="H494" s="185"/>
      <c r="I494" s="95"/>
      <c r="J494" s="95"/>
      <c r="K494" s="94"/>
      <c r="L494" s="191"/>
    </row>
    <row r="495" spans="1:12" ht="12.75" x14ac:dyDescent="0.2">
      <c r="A495" s="95"/>
      <c r="B495" s="95"/>
      <c r="C495" s="94"/>
      <c r="D495" s="185"/>
      <c r="E495" s="95"/>
      <c r="F495" s="95"/>
      <c r="G495" s="94"/>
      <c r="H495" s="185"/>
      <c r="I495" s="95"/>
      <c r="J495" s="95"/>
      <c r="K495" s="94"/>
      <c r="L495" s="191"/>
    </row>
    <row r="496" spans="1:12" ht="12.75" x14ac:dyDescent="0.2">
      <c r="A496" s="95"/>
      <c r="B496" s="95"/>
      <c r="C496" s="94"/>
      <c r="D496" s="185"/>
      <c r="E496" s="95"/>
      <c r="F496" s="95"/>
      <c r="G496" s="94"/>
      <c r="H496" s="185"/>
      <c r="I496" s="95"/>
      <c r="J496" s="95"/>
      <c r="K496" s="94"/>
      <c r="L496" s="191"/>
    </row>
    <row r="497" spans="1:12" ht="12.75" x14ac:dyDescent="0.2">
      <c r="A497" s="95"/>
      <c r="B497" s="95"/>
      <c r="C497" s="94"/>
      <c r="D497" s="185"/>
      <c r="E497" s="95"/>
      <c r="F497" s="95"/>
      <c r="G497" s="94"/>
      <c r="H497" s="185"/>
      <c r="I497" s="95"/>
      <c r="J497" s="95"/>
      <c r="K497" s="94"/>
      <c r="L497" s="191"/>
    </row>
    <row r="498" spans="1:12" ht="12.75" x14ac:dyDescent="0.2">
      <c r="A498" s="95"/>
      <c r="B498" s="95"/>
      <c r="C498" s="94"/>
      <c r="D498" s="185"/>
      <c r="E498" s="95"/>
      <c r="F498" s="95"/>
      <c r="G498" s="94"/>
      <c r="H498" s="185"/>
      <c r="I498" s="95"/>
      <c r="J498" s="95"/>
      <c r="K498" s="94"/>
      <c r="L498" s="191"/>
    </row>
    <row r="499" spans="1:12" ht="12.75" x14ac:dyDescent="0.2">
      <c r="A499" s="95"/>
      <c r="B499" s="95"/>
      <c r="C499" s="94"/>
      <c r="D499" s="185"/>
      <c r="E499" s="95"/>
      <c r="F499" s="95"/>
      <c r="G499" s="94"/>
      <c r="H499" s="185"/>
      <c r="I499" s="95"/>
      <c r="J499" s="95"/>
      <c r="K499" s="94"/>
      <c r="L499" s="191"/>
    </row>
    <row r="500" spans="1:12" ht="12.75" x14ac:dyDescent="0.2">
      <c r="A500" s="95"/>
      <c r="B500" s="95"/>
      <c r="C500" s="94"/>
      <c r="D500" s="185"/>
      <c r="E500" s="95"/>
      <c r="F500" s="95"/>
      <c r="G500" s="94"/>
      <c r="H500" s="185"/>
      <c r="I500" s="95"/>
      <c r="J500" s="95"/>
      <c r="K500" s="94"/>
      <c r="L500" s="191"/>
    </row>
    <row r="501" spans="1:12" ht="12.75" x14ac:dyDescent="0.2">
      <c r="A501" s="95"/>
      <c r="B501" s="95"/>
      <c r="C501" s="94"/>
      <c r="D501" s="185"/>
      <c r="E501" s="95"/>
      <c r="F501" s="95"/>
      <c r="G501" s="94"/>
      <c r="H501" s="185"/>
      <c r="I501" s="95"/>
      <c r="J501" s="95"/>
      <c r="K501" s="94"/>
      <c r="L501" s="191"/>
    </row>
    <row r="502" spans="1:12" ht="12.75" x14ac:dyDescent="0.2">
      <c r="A502" s="95"/>
      <c r="B502" s="95"/>
      <c r="C502" s="94"/>
      <c r="D502" s="185"/>
      <c r="E502" s="95"/>
      <c r="F502" s="95"/>
      <c r="G502" s="94"/>
      <c r="H502" s="185"/>
      <c r="I502" s="95"/>
      <c r="J502" s="95"/>
      <c r="K502" s="94"/>
      <c r="L502" s="191"/>
    </row>
    <row r="503" spans="1:12" ht="12.75" x14ac:dyDescent="0.2">
      <c r="A503" s="95"/>
      <c r="B503" s="95"/>
      <c r="C503" s="94"/>
      <c r="D503" s="185"/>
      <c r="E503" s="95"/>
      <c r="F503" s="95"/>
      <c r="G503" s="94"/>
      <c r="H503" s="185"/>
      <c r="I503" s="95"/>
      <c r="J503" s="95"/>
      <c r="K503" s="94"/>
      <c r="L503" s="191"/>
    </row>
    <row r="504" spans="1:12" ht="12.75" x14ac:dyDescent="0.2">
      <c r="A504" s="95"/>
      <c r="B504" s="95"/>
      <c r="C504" s="94"/>
      <c r="D504" s="185"/>
      <c r="E504" s="95"/>
      <c r="F504" s="95"/>
      <c r="G504" s="94"/>
      <c r="H504" s="185"/>
      <c r="I504" s="95"/>
      <c r="J504" s="95"/>
      <c r="K504" s="94"/>
      <c r="L504" s="191"/>
    </row>
    <row r="505" spans="1:12" ht="12.75" x14ac:dyDescent="0.2">
      <c r="A505" s="95"/>
      <c r="B505" s="95"/>
      <c r="C505" s="94"/>
      <c r="D505" s="185"/>
      <c r="E505" s="95"/>
      <c r="F505" s="95"/>
      <c r="G505" s="94"/>
      <c r="H505" s="185"/>
      <c r="I505" s="95"/>
      <c r="J505" s="95"/>
      <c r="K505" s="94"/>
      <c r="L505" s="191"/>
    </row>
    <row r="506" spans="1:12" ht="12.75" x14ac:dyDescent="0.2">
      <c r="A506" s="95"/>
      <c r="B506" s="95"/>
      <c r="C506" s="94"/>
      <c r="D506" s="185"/>
      <c r="E506" s="95"/>
      <c r="F506" s="95"/>
      <c r="G506" s="94"/>
      <c r="H506" s="185"/>
      <c r="I506" s="95"/>
      <c r="J506" s="95"/>
      <c r="K506" s="94"/>
      <c r="L506" s="191"/>
    </row>
    <row r="507" spans="1:12" ht="12.75" x14ac:dyDescent="0.2">
      <c r="A507" s="95"/>
      <c r="B507" s="95"/>
      <c r="C507" s="94"/>
      <c r="D507" s="185"/>
      <c r="E507" s="95"/>
      <c r="F507" s="95"/>
      <c r="G507" s="94"/>
      <c r="H507" s="185"/>
      <c r="I507" s="95"/>
      <c r="J507" s="95"/>
      <c r="K507" s="94"/>
      <c r="L507" s="191"/>
    </row>
    <row r="508" spans="1:12" ht="12.75" x14ac:dyDescent="0.2">
      <c r="A508" s="95"/>
      <c r="B508" s="95"/>
      <c r="C508" s="94"/>
      <c r="D508" s="185"/>
      <c r="E508" s="95"/>
      <c r="F508" s="95"/>
      <c r="G508" s="94"/>
      <c r="H508" s="185"/>
      <c r="I508" s="95"/>
      <c r="J508" s="95"/>
      <c r="K508" s="94"/>
      <c r="L508" s="191"/>
    </row>
    <row r="509" spans="1:12" ht="12.75" x14ac:dyDescent="0.2">
      <c r="A509" s="95"/>
      <c r="B509" s="95"/>
      <c r="C509" s="94"/>
      <c r="D509" s="185"/>
      <c r="E509" s="95"/>
      <c r="F509" s="95"/>
      <c r="G509" s="94"/>
      <c r="H509" s="185"/>
      <c r="I509" s="95"/>
      <c r="J509" s="95"/>
      <c r="K509" s="94"/>
      <c r="L509" s="191"/>
    </row>
    <row r="510" spans="1:12" ht="12.75" x14ac:dyDescent="0.2">
      <c r="A510" s="95"/>
      <c r="B510" s="95"/>
      <c r="C510" s="94"/>
      <c r="D510" s="185"/>
      <c r="E510" s="95"/>
      <c r="F510" s="95"/>
      <c r="G510" s="94"/>
      <c r="H510" s="185"/>
      <c r="I510" s="95"/>
      <c r="J510" s="95"/>
      <c r="K510" s="94"/>
      <c r="L510" s="191"/>
    </row>
    <row r="511" spans="1:12" ht="12.75" x14ac:dyDescent="0.2">
      <c r="A511" s="95"/>
      <c r="B511" s="95"/>
      <c r="C511" s="94"/>
      <c r="D511" s="185"/>
      <c r="E511" s="95"/>
      <c r="F511" s="95"/>
      <c r="G511" s="94"/>
      <c r="H511" s="185"/>
      <c r="I511" s="95"/>
      <c r="J511" s="95"/>
      <c r="K511" s="94"/>
      <c r="L511" s="191"/>
    </row>
    <row r="512" spans="1:12" ht="12.75" x14ac:dyDescent="0.2">
      <c r="A512" s="95"/>
      <c r="B512" s="95"/>
      <c r="C512" s="94"/>
      <c r="D512" s="185"/>
      <c r="E512" s="95"/>
      <c r="F512" s="95"/>
      <c r="G512" s="94"/>
      <c r="H512" s="185"/>
      <c r="I512" s="95"/>
      <c r="J512" s="95"/>
      <c r="K512" s="94"/>
      <c r="L512" s="191"/>
    </row>
    <row r="513" spans="1:12" ht="12.75" x14ac:dyDescent="0.2">
      <c r="A513" s="95"/>
      <c r="B513" s="95"/>
      <c r="C513" s="94"/>
      <c r="D513" s="185"/>
      <c r="E513" s="95"/>
      <c r="F513" s="95"/>
      <c r="G513" s="94"/>
      <c r="H513" s="185"/>
      <c r="I513" s="95"/>
      <c r="J513" s="95"/>
      <c r="K513" s="94"/>
      <c r="L513" s="191"/>
    </row>
    <row r="514" spans="1:12" ht="12.75" x14ac:dyDescent="0.2">
      <c r="A514" s="95"/>
      <c r="B514" s="95"/>
      <c r="C514" s="94"/>
      <c r="D514" s="185"/>
      <c r="E514" s="95"/>
      <c r="F514" s="95"/>
      <c r="G514" s="94"/>
      <c r="H514" s="185"/>
      <c r="I514" s="95"/>
      <c r="J514" s="95"/>
      <c r="K514" s="94"/>
      <c r="L514" s="191"/>
    </row>
    <row r="515" spans="1:12" ht="12.75" x14ac:dyDescent="0.2">
      <c r="A515" s="95"/>
      <c r="B515" s="95"/>
      <c r="C515" s="94"/>
      <c r="D515" s="185"/>
      <c r="E515" s="95"/>
      <c r="F515" s="95"/>
      <c r="G515" s="94"/>
      <c r="H515" s="185"/>
      <c r="I515" s="95"/>
      <c r="J515" s="95"/>
      <c r="K515" s="94"/>
      <c r="L515" s="191"/>
    </row>
    <row r="516" spans="1:12" ht="12.75" x14ac:dyDescent="0.2">
      <c r="A516" s="95"/>
      <c r="B516" s="95"/>
      <c r="C516" s="94"/>
      <c r="D516" s="185"/>
      <c r="E516" s="95"/>
      <c r="F516" s="95"/>
      <c r="G516" s="94"/>
      <c r="H516" s="185"/>
      <c r="I516" s="95"/>
      <c r="J516" s="95"/>
      <c r="K516" s="94"/>
      <c r="L516" s="191"/>
    </row>
    <row r="517" spans="1:12" ht="12.75" x14ac:dyDescent="0.2">
      <c r="A517" s="95"/>
      <c r="B517" s="95"/>
      <c r="C517" s="94"/>
      <c r="D517" s="185"/>
      <c r="E517" s="95"/>
      <c r="F517" s="95"/>
      <c r="G517" s="94"/>
      <c r="H517" s="185"/>
      <c r="I517" s="95"/>
      <c r="J517" s="95"/>
      <c r="K517" s="94"/>
      <c r="L517" s="191"/>
    </row>
    <row r="518" spans="1:12" ht="12.75" x14ac:dyDescent="0.2">
      <c r="A518" s="95"/>
      <c r="B518" s="95"/>
      <c r="C518" s="94"/>
      <c r="D518" s="185"/>
      <c r="E518" s="95"/>
      <c r="F518" s="95"/>
      <c r="G518" s="94"/>
      <c r="H518" s="185"/>
      <c r="I518" s="95"/>
      <c r="J518" s="95"/>
      <c r="K518" s="94"/>
      <c r="L518" s="191"/>
    </row>
    <row r="519" spans="1:12" ht="12.75" x14ac:dyDescent="0.2">
      <c r="A519" s="95"/>
      <c r="B519" s="95"/>
      <c r="C519" s="94"/>
      <c r="D519" s="185"/>
      <c r="E519" s="95"/>
      <c r="F519" s="95"/>
      <c r="G519" s="94"/>
      <c r="H519" s="185"/>
      <c r="I519" s="95"/>
      <c r="J519" s="95"/>
      <c r="K519" s="94"/>
      <c r="L519" s="191"/>
    </row>
    <row r="520" spans="1:12" ht="12.75" x14ac:dyDescent="0.2">
      <c r="A520" s="95"/>
      <c r="B520" s="95"/>
      <c r="C520" s="94"/>
      <c r="D520" s="185"/>
      <c r="E520" s="95"/>
      <c r="F520" s="95"/>
      <c r="G520" s="94"/>
      <c r="H520" s="185"/>
      <c r="I520" s="95"/>
      <c r="J520" s="95"/>
      <c r="K520" s="94"/>
      <c r="L520" s="191"/>
    </row>
    <row r="521" spans="1:12" ht="12.75" x14ac:dyDescent="0.2">
      <c r="A521" s="95"/>
      <c r="B521" s="95"/>
      <c r="C521" s="94"/>
      <c r="D521" s="185"/>
      <c r="E521" s="95"/>
      <c r="F521" s="95"/>
      <c r="G521" s="94"/>
      <c r="H521" s="185"/>
      <c r="I521" s="95"/>
      <c r="J521" s="95"/>
      <c r="K521" s="94"/>
      <c r="L521" s="191"/>
    </row>
    <row r="522" spans="1:12" ht="12.75" x14ac:dyDescent="0.2">
      <c r="A522" s="95"/>
      <c r="B522" s="95"/>
      <c r="C522" s="94"/>
      <c r="D522" s="185"/>
      <c r="E522" s="95"/>
      <c r="F522" s="95"/>
      <c r="G522" s="94"/>
      <c r="H522" s="185"/>
      <c r="I522" s="95"/>
      <c r="J522" s="95"/>
      <c r="K522" s="94"/>
      <c r="L522" s="191"/>
    </row>
    <row r="523" spans="1:12" ht="12.75" x14ac:dyDescent="0.2">
      <c r="A523" s="95"/>
      <c r="B523" s="95"/>
      <c r="C523" s="94"/>
      <c r="D523" s="185"/>
      <c r="E523" s="95"/>
      <c r="F523" s="95"/>
      <c r="G523" s="94"/>
      <c r="H523" s="185"/>
      <c r="I523" s="95"/>
      <c r="J523" s="95"/>
      <c r="K523" s="94"/>
      <c r="L523" s="191"/>
    </row>
    <row r="524" spans="1:12" ht="12.75" x14ac:dyDescent="0.2">
      <c r="A524" s="95"/>
      <c r="B524" s="95"/>
      <c r="C524" s="94"/>
      <c r="D524" s="185"/>
      <c r="E524" s="95"/>
      <c r="F524" s="95"/>
      <c r="G524" s="94"/>
      <c r="H524" s="185"/>
      <c r="I524" s="95"/>
      <c r="J524" s="95"/>
      <c r="K524" s="94"/>
      <c r="L524" s="191"/>
    </row>
    <row r="525" spans="1:12" ht="12.75" x14ac:dyDescent="0.2">
      <c r="A525" s="95"/>
      <c r="B525" s="95"/>
      <c r="C525" s="94"/>
      <c r="D525" s="185"/>
      <c r="E525" s="95"/>
      <c r="F525" s="95"/>
      <c r="G525" s="94"/>
      <c r="H525" s="185"/>
      <c r="I525" s="95"/>
      <c r="J525" s="95"/>
      <c r="K525" s="94"/>
      <c r="L525" s="191"/>
    </row>
    <row r="526" spans="1:12" ht="12.75" x14ac:dyDescent="0.2">
      <c r="A526" s="95"/>
      <c r="B526" s="95"/>
      <c r="C526" s="94"/>
      <c r="D526" s="185"/>
      <c r="E526" s="95"/>
      <c r="F526" s="95"/>
      <c r="G526" s="94"/>
      <c r="H526" s="185"/>
      <c r="I526" s="95"/>
      <c r="J526" s="95"/>
      <c r="K526" s="94"/>
      <c r="L526" s="191"/>
    </row>
    <row r="527" spans="1:12" ht="12.75" x14ac:dyDescent="0.2">
      <c r="A527" s="95"/>
      <c r="B527" s="95"/>
      <c r="C527" s="94"/>
      <c r="D527" s="185"/>
      <c r="E527" s="95"/>
      <c r="F527" s="95"/>
      <c r="G527" s="94"/>
      <c r="H527" s="185"/>
      <c r="I527" s="95"/>
      <c r="J527" s="95"/>
      <c r="K527" s="94"/>
      <c r="L527" s="191"/>
    </row>
    <row r="528" spans="1:12" ht="12.75" x14ac:dyDescent="0.2">
      <c r="A528" s="95"/>
      <c r="B528" s="95"/>
      <c r="C528" s="94"/>
      <c r="D528" s="185"/>
      <c r="E528" s="95"/>
      <c r="F528" s="95"/>
      <c r="G528" s="94"/>
      <c r="H528" s="185"/>
      <c r="I528" s="95"/>
      <c r="J528" s="95"/>
      <c r="K528" s="94"/>
      <c r="L528" s="191"/>
    </row>
    <row r="529" spans="1:12" ht="12.75" x14ac:dyDescent="0.2">
      <c r="A529" s="95"/>
      <c r="B529" s="95"/>
      <c r="C529" s="94"/>
      <c r="D529" s="185"/>
      <c r="E529" s="95"/>
      <c r="F529" s="95"/>
      <c r="G529" s="94"/>
      <c r="H529" s="185"/>
      <c r="I529" s="95"/>
      <c r="J529" s="95"/>
      <c r="K529" s="94"/>
      <c r="L529" s="191"/>
    </row>
    <row r="530" spans="1:12" ht="12.75" x14ac:dyDescent="0.2">
      <c r="A530" s="95"/>
      <c r="B530" s="95"/>
      <c r="C530" s="94"/>
      <c r="D530" s="185"/>
      <c r="E530" s="95"/>
      <c r="F530" s="95"/>
      <c r="G530" s="94"/>
      <c r="H530" s="185"/>
      <c r="I530" s="95"/>
      <c r="J530" s="95"/>
      <c r="K530" s="94"/>
      <c r="L530" s="191"/>
    </row>
    <row r="531" spans="1:12" ht="12.75" x14ac:dyDescent="0.2">
      <c r="A531" s="95"/>
      <c r="B531" s="95"/>
      <c r="C531" s="94"/>
      <c r="D531" s="185"/>
      <c r="E531" s="95"/>
      <c r="F531" s="95"/>
      <c r="G531" s="94"/>
      <c r="H531" s="185"/>
      <c r="I531" s="95"/>
      <c r="J531" s="95"/>
      <c r="K531" s="94"/>
      <c r="L531" s="191"/>
    </row>
    <row r="532" spans="1:12" ht="12.75" x14ac:dyDescent="0.2">
      <c r="A532" s="95"/>
      <c r="B532" s="95"/>
      <c r="C532" s="94"/>
      <c r="D532" s="185"/>
      <c r="E532" s="95"/>
      <c r="F532" s="95"/>
      <c r="G532" s="94"/>
      <c r="H532" s="185"/>
      <c r="I532" s="95"/>
      <c r="J532" s="95"/>
      <c r="K532" s="94"/>
      <c r="L532" s="191"/>
    </row>
    <row r="533" spans="1:12" ht="12.75" x14ac:dyDescent="0.2">
      <c r="A533" s="95"/>
      <c r="B533" s="95"/>
      <c r="C533" s="94"/>
      <c r="D533" s="185"/>
      <c r="E533" s="95"/>
      <c r="F533" s="95"/>
      <c r="G533" s="94"/>
      <c r="H533" s="185"/>
      <c r="I533" s="95"/>
      <c r="J533" s="95"/>
      <c r="K533" s="94"/>
      <c r="L533" s="191"/>
    </row>
    <row r="534" spans="1:12" ht="12.75" x14ac:dyDescent="0.2">
      <c r="A534" s="95"/>
      <c r="B534" s="95"/>
      <c r="C534" s="94"/>
      <c r="D534" s="185"/>
      <c r="E534" s="95"/>
      <c r="F534" s="95"/>
      <c r="G534" s="94"/>
      <c r="H534" s="185"/>
      <c r="I534" s="95"/>
      <c r="J534" s="95"/>
      <c r="K534" s="94"/>
      <c r="L534" s="191"/>
    </row>
    <row r="535" spans="1:12" ht="12.75" x14ac:dyDescent="0.2">
      <c r="A535" s="95"/>
      <c r="B535" s="95"/>
      <c r="C535" s="94"/>
      <c r="D535" s="185"/>
      <c r="E535" s="95"/>
      <c r="F535" s="95"/>
      <c r="G535" s="94"/>
      <c r="H535" s="185"/>
      <c r="I535" s="95"/>
      <c r="J535" s="95"/>
      <c r="K535" s="94"/>
      <c r="L535" s="191"/>
    </row>
    <row r="536" spans="1:12" ht="12.75" x14ac:dyDescent="0.2">
      <c r="A536" s="95"/>
      <c r="B536" s="95"/>
      <c r="C536" s="94"/>
      <c r="D536" s="185"/>
      <c r="E536" s="95"/>
      <c r="F536" s="95"/>
      <c r="G536" s="94"/>
      <c r="H536" s="185"/>
      <c r="I536" s="95"/>
      <c r="J536" s="95"/>
      <c r="K536" s="94"/>
      <c r="L536" s="191"/>
    </row>
    <row r="537" spans="1:12" ht="12.75" x14ac:dyDescent="0.2">
      <c r="A537" s="95"/>
      <c r="B537" s="95"/>
      <c r="C537" s="94"/>
      <c r="D537" s="185"/>
      <c r="E537" s="95"/>
      <c r="F537" s="95"/>
      <c r="G537" s="94"/>
      <c r="H537" s="185"/>
      <c r="I537" s="95"/>
      <c r="J537" s="95"/>
      <c r="K537" s="94"/>
      <c r="L537" s="191"/>
    </row>
    <row r="538" spans="1:12" ht="12.75" x14ac:dyDescent="0.2">
      <c r="A538" s="95"/>
      <c r="B538" s="95"/>
      <c r="C538" s="94"/>
      <c r="D538" s="185"/>
      <c r="E538" s="95"/>
      <c r="F538" s="95"/>
      <c r="G538" s="94"/>
      <c r="H538" s="185"/>
      <c r="I538" s="95"/>
      <c r="J538" s="95"/>
      <c r="K538" s="94"/>
      <c r="L538" s="191"/>
    </row>
    <row r="539" spans="1:12" ht="12.75" x14ac:dyDescent="0.2">
      <c r="A539" s="95"/>
      <c r="B539" s="95"/>
      <c r="C539" s="94"/>
      <c r="D539" s="185"/>
      <c r="E539" s="95"/>
      <c r="F539" s="95"/>
      <c r="G539" s="94"/>
      <c r="H539" s="185"/>
      <c r="I539" s="95"/>
      <c r="J539" s="95"/>
      <c r="K539" s="94"/>
      <c r="L539" s="191"/>
    </row>
    <row r="540" spans="1:12" ht="12.75" x14ac:dyDescent="0.2">
      <c r="A540" s="95"/>
      <c r="B540" s="95"/>
      <c r="C540" s="94"/>
      <c r="D540" s="185"/>
      <c r="E540" s="95"/>
      <c r="F540" s="95"/>
      <c r="G540" s="94"/>
      <c r="H540" s="185"/>
      <c r="I540" s="95"/>
      <c r="J540" s="95"/>
      <c r="K540" s="94"/>
      <c r="L540" s="191"/>
    </row>
    <row r="541" spans="1:12" ht="12.75" x14ac:dyDescent="0.2">
      <c r="A541" s="95"/>
      <c r="B541" s="95"/>
      <c r="C541" s="94"/>
      <c r="D541" s="185"/>
      <c r="E541" s="95"/>
      <c r="F541" s="95"/>
      <c r="G541" s="94"/>
      <c r="H541" s="185"/>
      <c r="I541" s="95"/>
      <c r="J541" s="95"/>
      <c r="K541" s="94"/>
      <c r="L541" s="191"/>
    </row>
    <row r="542" spans="1:12" ht="12.75" x14ac:dyDescent="0.2">
      <c r="A542" s="95"/>
      <c r="B542" s="95"/>
      <c r="C542" s="94"/>
      <c r="D542" s="185"/>
      <c r="E542" s="95"/>
      <c r="F542" s="95"/>
      <c r="G542" s="94"/>
      <c r="H542" s="185"/>
      <c r="I542" s="95"/>
      <c r="J542" s="95"/>
      <c r="K542" s="94"/>
      <c r="L542" s="191"/>
    </row>
    <row r="543" spans="1:12" ht="12.75" x14ac:dyDescent="0.2">
      <c r="A543" s="95"/>
      <c r="B543" s="95"/>
      <c r="C543" s="94"/>
      <c r="D543" s="185"/>
      <c r="E543" s="95"/>
      <c r="F543" s="95"/>
      <c r="G543" s="94"/>
      <c r="H543" s="185"/>
      <c r="I543" s="95"/>
      <c r="J543" s="95"/>
      <c r="K543" s="94"/>
      <c r="L543" s="191"/>
    </row>
    <row r="544" spans="1:12" ht="12.75" x14ac:dyDescent="0.2">
      <c r="A544" s="95"/>
      <c r="B544" s="95"/>
      <c r="C544" s="94"/>
      <c r="D544" s="185"/>
      <c r="E544" s="95"/>
      <c r="F544" s="95"/>
      <c r="G544" s="94"/>
      <c r="H544" s="185"/>
      <c r="I544" s="95"/>
      <c r="J544" s="95"/>
      <c r="K544" s="94"/>
      <c r="L544" s="191"/>
    </row>
    <row r="545" spans="1:12" ht="12.75" x14ac:dyDescent="0.2">
      <c r="A545" s="95"/>
      <c r="B545" s="95"/>
      <c r="C545" s="94"/>
      <c r="D545" s="185"/>
      <c r="E545" s="95"/>
      <c r="F545" s="95"/>
      <c r="G545" s="94"/>
      <c r="H545" s="185"/>
      <c r="I545" s="95"/>
      <c r="J545" s="95"/>
      <c r="K545" s="94"/>
      <c r="L545" s="191"/>
    </row>
    <row r="546" spans="1:12" ht="12.75" x14ac:dyDescent="0.2">
      <c r="A546" s="95"/>
      <c r="B546" s="95"/>
      <c r="C546" s="94"/>
      <c r="D546" s="185"/>
      <c r="E546" s="95"/>
      <c r="F546" s="95"/>
      <c r="G546" s="94"/>
      <c r="H546" s="185"/>
      <c r="I546" s="95"/>
      <c r="J546" s="95"/>
      <c r="K546" s="94"/>
      <c r="L546" s="191"/>
    </row>
    <row r="547" spans="1:12" ht="12.75" x14ac:dyDescent="0.2">
      <c r="A547" s="95"/>
      <c r="B547" s="95"/>
      <c r="C547" s="94"/>
      <c r="D547" s="185"/>
      <c r="E547" s="95"/>
      <c r="F547" s="95"/>
      <c r="G547" s="94"/>
      <c r="H547" s="185"/>
      <c r="I547" s="95"/>
      <c r="J547" s="95"/>
      <c r="K547" s="94"/>
      <c r="L547" s="191"/>
    </row>
    <row r="548" spans="1:12" ht="12.75" x14ac:dyDescent="0.2">
      <c r="A548" s="95"/>
      <c r="B548" s="95"/>
      <c r="C548" s="94"/>
      <c r="D548" s="185"/>
      <c r="E548" s="95"/>
      <c r="F548" s="95"/>
      <c r="G548" s="94"/>
      <c r="H548" s="185"/>
      <c r="I548" s="95"/>
      <c r="J548" s="95"/>
      <c r="K548" s="94"/>
      <c r="L548" s="191"/>
    </row>
    <row r="549" spans="1:12" ht="12.75" x14ac:dyDescent="0.2">
      <c r="A549" s="95"/>
      <c r="B549" s="95"/>
      <c r="C549" s="94"/>
      <c r="D549" s="185"/>
      <c r="E549" s="95"/>
      <c r="F549" s="95"/>
      <c r="G549" s="94"/>
      <c r="H549" s="185"/>
      <c r="I549" s="95"/>
      <c r="J549" s="95"/>
      <c r="K549" s="94"/>
      <c r="L549" s="191"/>
    </row>
    <row r="550" spans="1:12" ht="12.75" x14ac:dyDescent="0.2">
      <c r="A550" s="95"/>
      <c r="B550" s="95"/>
      <c r="C550" s="94"/>
      <c r="D550" s="185"/>
      <c r="E550" s="95"/>
      <c r="F550" s="95"/>
      <c r="G550" s="94"/>
      <c r="H550" s="185"/>
      <c r="I550" s="95"/>
      <c r="J550" s="95"/>
      <c r="K550" s="94"/>
      <c r="L550" s="191"/>
    </row>
    <row r="551" spans="1:12" ht="12.75" x14ac:dyDescent="0.2">
      <c r="A551" s="95"/>
      <c r="B551" s="95"/>
      <c r="C551" s="94"/>
      <c r="D551" s="185"/>
      <c r="E551" s="95"/>
      <c r="F551" s="95"/>
      <c r="G551" s="94"/>
      <c r="H551" s="185"/>
      <c r="I551" s="95"/>
      <c r="J551" s="95"/>
      <c r="K551" s="94"/>
      <c r="L551" s="191"/>
    </row>
    <row r="552" spans="1:12" ht="12.75" x14ac:dyDescent="0.2">
      <c r="A552" s="95"/>
      <c r="B552" s="95"/>
      <c r="C552" s="94"/>
      <c r="D552" s="185"/>
      <c r="E552" s="95"/>
      <c r="F552" s="95"/>
      <c r="G552" s="94"/>
      <c r="H552" s="185"/>
      <c r="I552" s="95"/>
      <c r="J552" s="95"/>
      <c r="K552" s="94"/>
      <c r="L552" s="191"/>
    </row>
    <row r="553" spans="1:12" ht="12.75" x14ac:dyDescent="0.2">
      <c r="A553" s="95"/>
      <c r="B553" s="95"/>
      <c r="C553" s="94"/>
      <c r="D553" s="185"/>
      <c r="E553" s="95"/>
      <c r="F553" s="95"/>
      <c r="G553" s="94"/>
      <c r="H553" s="185"/>
      <c r="I553" s="95"/>
      <c r="J553" s="95"/>
      <c r="K553" s="94"/>
      <c r="L553" s="191"/>
    </row>
    <row r="554" spans="1:12" ht="12.75" x14ac:dyDescent="0.2">
      <c r="A554" s="95"/>
      <c r="B554" s="95"/>
      <c r="C554" s="94"/>
      <c r="D554" s="185"/>
      <c r="E554" s="95"/>
      <c r="F554" s="95"/>
      <c r="G554" s="94"/>
      <c r="H554" s="185"/>
      <c r="I554" s="95"/>
      <c r="J554" s="95"/>
      <c r="K554" s="94"/>
      <c r="L554" s="191"/>
    </row>
    <row r="555" spans="1:12" ht="12.75" x14ac:dyDescent="0.2">
      <c r="A555" s="95"/>
      <c r="B555" s="95"/>
      <c r="C555" s="94"/>
      <c r="D555" s="185"/>
      <c r="E555" s="95"/>
      <c r="F555" s="95"/>
      <c r="G555" s="94"/>
      <c r="H555" s="185"/>
      <c r="I555" s="95"/>
      <c r="J555" s="95"/>
      <c r="K555" s="94"/>
      <c r="L555" s="191"/>
    </row>
    <row r="556" spans="1:12" ht="12.75" x14ac:dyDescent="0.2">
      <c r="A556" s="95"/>
      <c r="B556" s="95"/>
      <c r="C556" s="94"/>
      <c r="D556" s="185"/>
      <c r="E556" s="95"/>
      <c r="F556" s="95"/>
      <c r="G556" s="94"/>
      <c r="H556" s="185"/>
      <c r="I556" s="95"/>
      <c r="J556" s="95"/>
      <c r="K556" s="94"/>
      <c r="L556" s="191"/>
    </row>
    <row r="557" spans="1:12" ht="12.75" x14ac:dyDescent="0.2">
      <c r="A557" s="95"/>
      <c r="B557" s="95"/>
      <c r="C557" s="94"/>
      <c r="D557" s="185"/>
      <c r="E557" s="95"/>
      <c r="F557" s="95"/>
      <c r="G557" s="94"/>
      <c r="H557" s="185"/>
      <c r="I557" s="95"/>
      <c r="J557" s="95"/>
      <c r="K557" s="94"/>
      <c r="L557" s="191"/>
    </row>
    <row r="558" spans="1:12" ht="12.75" x14ac:dyDescent="0.2">
      <c r="A558" s="95"/>
      <c r="B558" s="95"/>
      <c r="C558" s="94"/>
      <c r="D558" s="185"/>
      <c r="E558" s="95"/>
      <c r="F558" s="95"/>
      <c r="G558" s="94"/>
      <c r="H558" s="185"/>
      <c r="I558" s="95"/>
      <c r="J558" s="95"/>
      <c r="K558" s="94"/>
      <c r="L558" s="191"/>
    </row>
    <row r="559" spans="1:12" ht="12.75" x14ac:dyDescent="0.2">
      <c r="A559" s="95"/>
      <c r="B559" s="95"/>
      <c r="C559" s="94"/>
      <c r="D559" s="185"/>
      <c r="E559" s="95"/>
      <c r="F559" s="95"/>
      <c r="G559" s="94"/>
      <c r="H559" s="185"/>
      <c r="I559" s="95"/>
      <c r="J559" s="95"/>
      <c r="K559" s="94"/>
      <c r="L559" s="191"/>
    </row>
    <row r="560" spans="1:12" ht="12.75" x14ac:dyDescent="0.2">
      <c r="A560" s="95"/>
      <c r="B560" s="95"/>
      <c r="C560" s="94"/>
      <c r="D560" s="185"/>
      <c r="E560" s="95"/>
      <c r="F560" s="95"/>
      <c r="G560" s="94"/>
      <c r="H560" s="185"/>
      <c r="I560" s="95"/>
      <c r="J560" s="95"/>
      <c r="K560" s="94"/>
      <c r="L560" s="191"/>
    </row>
    <row r="561" spans="1:12" ht="12.75" x14ac:dyDescent="0.2">
      <c r="A561" s="95"/>
      <c r="B561" s="95"/>
      <c r="C561" s="94"/>
      <c r="D561" s="185"/>
      <c r="E561" s="95"/>
      <c r="F561" s="95"/>
      <c r="G561" s="94"/>
      <c r="H561" s="185"/>
      <c r="I561" s="95"/>
      <c r="J561" s="95"/>
      <c r="K561" s="94"/>
      <c r="L561" s="191"/>
    </row>
    <row r="562" spans="1:12" ht="12.75" x14ac:dyDescent="0.2">
      <c r="A562" s="95"/>
      <c r="B562" s="95"/>
      <c r="C562" s="94"/>
      <c r="D562" s="185"/>
      <c r="E562" s="95"/>
      <c r="F562" s="95"/>
      <c r="G562" s="94"/>
      <c r="H562" s="185"/>
      <c r="I562" s="95"/>
      <c r="J562" s="95"/>
      <c r="K562" s="94"/>
      <c r="L562" s="191"/>
    </row>
    <row r="563" spans="1:12" ht="12.75" x14ac:dyDescent="0.2">
      <c r="A563" s="95"/>
      <c r="B563" s="95"/>
      <c r="C563" s="94"/>
      <c r="D563" s="185"/>
      <c r="E563" s="95"/>
      <c r="F563" s="95"/>
      <c r="G563" s="94"/>
      <c r="H563" s="185"/>
      <c r="I563" s="95"/>
      <c r="J563" s="95"/>
      <c r="K563" s="94"/>
      <c r="L563" s="191"/>
    </row>
    <row r="564" spans="1:12" ht="12.75" x14ac:dyDescent="0.2">
      <c r="A564" s="95"/>
      <c r="B564" s="95"/>
      <c r="C564" s="94"/>
      <c r="D564" s="185"/>
      <c r="E564" s="95"/>
      <c r="F564" s="95"/>
      <c r="G564" s="94"/>
      <c r="H564" s="185"/>
      <c r="I564" s="95"/>
      <c r="J564" s="95"/>
      <c r="K564" s="94"/>
      <c r="L564" s="191"/>
    </row>
    <row r="565" spans="1:12" ht="12.75" x14ac:dyDescent="0.2">
      <c r="A565" s="95"/>
      <c r="B565" s="95"/>
      <c r="C565" s="94"/>
      <c r="D565" s="185"/>
      <c r="E565" s="95"/>
      <c r="F565" s="95"/>
      <c r="G565" s="94"/>
      <c r="H565" s="185"/>
      <c r="I565" s="95"/>
      <c r="J565" s="95"/>
      <c r="K565" s="94"/>
      <c r="L565" s="191"/>
    </row>
    <row r="566" spans="1:12" ht="12.75" x14ac:dyDescent="0.2">
      <c r="A566" s="95"/>
      <c r="B566" s="95"/>
      <c r="C566" s="94"/>
      <c r="D566" s="185"/>
      <c r="E566" s="95"/>
      <c r="F566" s="95"/>
      <c r="G566" s="94"/>
      <c r="H566" s="185"/>
      <c r="I566" s="95"/>
      <c r="J566" s="95"/>
      <c r="K566" s="94"/>
      <c r="L566" s="191"/>
    </row>
    <row r="567" spans="1:12" ht="12.75" x14ac:dyDescent="0.2">
      <c r="A567" s="95"/>
      <c r="B567" s="95"/>
      <c r="C567" s="94"/>
      <c r="D567" s="185"/>
      <c r="E567" s="95"/>
      <c r="F567" s="95"/>
      <c r="G567" s="94"/>
      <c r="H567" s="185"/>
      <c r="I567" s="95"/>
      <c r="J567" s="95"/>
      <c r="K567" s="94"/>
      <c r="L567" s="191"/>
    </row>
    <row r="568" spans="1:12" ht="12.75" x14ac:dyDescent="0.2">
      <c r="A568" s="95"/>
      <c r="B568" s="95"/>
      <c r="C568" s="94"/>
      <c r="D568" s="185"/>
      <c r="E568" s="95"/>
      <c r="F568" s="95"/>
      <c r="G568" s="94"/>
      <c r="H568" s="185"/>
      <c r="I568" s="95"/>
      <c r="J568" s="95"/>
      <c r="K568" s="94"/>
      <c r="L568" s="191"/>
    </row>
    <row r="569" spans="1:12" ht="12.75" x14ac:dyDescent="0.2">
      <c r="A569" s="95"/>
      <c r="B569" s="95"/>
      <c r="C569" s="94"/>
      <c r="D569" s="185"/>
      <c r="E569" s="95"/>
      <c r="F569" s="95"/>
      <c r="G569" s="94"/>
      <c r="H569" s="185"/>
      <c r="I569" s="95"/>
      <c r="J569" s="95"/>
      <c r="K569" s="94"/>
      <c r="L569" s="191"/>
    </row>
    <row r="570" spans="1:12" ht="12.75" x14ac:dyDescent="0.2">
      <c r="A570" s="95"/>
      <c r="B570" s="95"/>
      <c r="C570" s="94"/>
      <c r="D570" s="185"/>
      <c r="E570" s="95"/>
      <c r="F570" s="95"/>
      <c r="G570" s="94"/>
      <c r="H570" s="185"/>
      <c r="I570" s="95"/>
      <c r="J570" s="95"/>
      <c r="K570" s="94"/>
      <c r="L570" s="191"/>
    </row>
    <row r="571" spans="1:12" ht="12.75" x14ac:dyDescent="0.2">
      <c r="A571" s="95"/>
      <c r="B571" s="95"/>
      <c r="C571" s="94"/>
      <c r="D571" s="185"/>
      <c r="E571" s="95"/>
      <c r="F571" s="95"/>
      <c r="G571" s="94"/>
      <c r="H571" s="185"/>
      <c r="I571" s="95"/>
      <c r="J571" s="95"/>
      <c r="K571" s="94"/>
      <c r="L571" s="191"/>
    </row>
    <row r="572" spans="1:12" ht="12.75" x14ac:dyDescent="0.2">
      <c r="A572" s="95"/>
      <c r="B572" s="95"/>
      <c r="C572" s="94"/>
      <c r="D572" s="185"/>
      <c r="E572" s="95"/>
      <c r="F572" s="95"/>
      <c r="G572" s="94"/>
      <c r="H572" s="185"/>
      <c r="I572" s="95"/>
      <c r="J572" s="95"/>
      <c r="K572" s="94"/>
      <c r="L572" s="191"/>
    </row>
    <row r="573" spans="1:12" ht="12.75" x14ac:dyDescent="0.2">
      <c r="A573" s="95"/>
      <c r="B573" s="95"/>
      <c r="C573" s="94"/>
      <c r="D573" s="185"/>
      <c r="E573" s="95"/>
      <c r="F573" s="95"/>
      <c r="G573" s="94"/>
      <c r="H573" s="185"/>
      <c r="I573" s="95"/>
      <c r="J573" s="95"/>
      <c r="K573" s="94"/>
      <c r="L573" s="191"/>
    </row>
    <row r="574" spans="1:12" ht="12.75" x14ac:dyDescent="0.2">
      <c r="A574" s="95"/>
      <c r="B574" s="95"/>
      <c r="C574" s="94"/>
      <c r="D574" s="185"/>
      <c r="E574" s="95"/>
      <c r="F574" s="95"/>
      <c r="G574" s="94"/>
      <c r="H574" s="185"/>
      <c r="I574" s="95"/>
      <c r="J574" s="95"/>
      <c r="K574" s="94"/>
      <c r="L574" s="191"/>
    </row>
    <row r="575" spans="1:12" ht="12.75" x14ac:dyDescent="0.2">
      <c r="A575" s="95"/>
      <c r="B575" s="95"/>
      <c r="C575" s="94"/>
      <c r="D575" s="185"/>
      <c r="E575" s="95"/>
      <c r="F575" s="95"/>
      <c r="G575" s="94"/>
      <c r="H575" s="185"/>
      <c r="I575" s="95"/>
      <c r="J575" s="95"/>
      <c r="K575" s="94"/>
      <c r="L575" s="191"/>
    </row>
    <row r="576" spans="1:12" ht="12.75" x14ac:dyDescent="0.2">
      <c r="A576" s="95"/>
      <c r="B576" s="95"/>
      <c r="C576" s="94"/>
      <c r="D576" s="185"/>
      <c r="E576" s="95"/>
      <c r="F576" s="95"/>
      <c r="G576" s="94"/>
      <c r="H576" s="185"/>
      <c r="I576" s="95"/>
      <c r="J576" s="95"/>
      <c r="K576" s="94"/>
      <c r="L576" s="191"/>
    </row>
    <row r="577" spans="1:12" ht="12.75" x14ac:dyDescent="0.2">
      <c r="A577" s="95"/>
      <c r="B577" s="95"/>
      <c r="C577" s="94"/>
      <c r="D577" s="185"/>
      <c r="E577" s="95"/>
      <c r="F577" s="95"/>
      <c r="G577" s="94"/>
      <c r="H577" s="185"/>
      <c r="I577" s="95"/>
      <c r="J577" s="95"/>
      <c r="K577" s="94"/>
      <c r="L577" s="191"/>
    </row>
    <row r="578" spans="1:12" ht="12.75" x14ac:dyDescent="0.2">
      <c r="A578" s="95"/>
      <c r="B578" s="95"/>
      <c r="C578" s="94"/>
      <c r="D578" s="185"/>
      <c r="E578" s="95"/>
      <c r="F578" s="95"/>
      <c r="G578" s="94"/>
      <c r="H578" s="185"/>
      <c r="I578" s="95"/>
      <c r="J578" s="95"/>
      <c r="K578" s="94"/>
      <c r="L578" s="191"/>
    </row>
    <row r="579" spans="1:12" ht="12.75" x14ac:dyDescent="0.2">
      <c r="A579" s="95"/>
      <c r="B579" s="95"/>
      <c r="C579" s="94"/>
      <c r="D579" s="185"/>
      <c r="E579" s="95"/>
      <c r="F579" s="95"/>
      <c r="G579" s="94"/>
      <c r="H579" s="185"/>
      <c r="I579" s="95"/>
      <c r="J579" s="95"/>
      <c r="K579" s="94"/>
      <c r="L579" s="191"/>
    </row>
    <row r="580" spans="1:12" ht="12.75" x14ac:dyDescent="0.2">
      <c r="A580" s="95"/>
      <c r="B580" s="95"/>
      <c r="C580" s="94"/>
      <c r="D580" s="185"/>
      <c r="E580" s="95"/>
      <c r="F580" s="95"/>
      <c r="G580" s="94"/>
      <c r="H580" s="185"/>
      <c r="I580" s="95"/>
      <c r="J580" s="95"/>
      <c r="K580" s="94"/>
      <c r="L580" s="191"/>
    </row>
    <row r="581" spans="1:12" ht="12.75" x14ac:dyDescent="0.2">
      <c r="A581" s="95"/>
      <c r="B581" s="95"/>
      <c r="C581" s="94"/>
      <c r="D581" s="185"/>
      <c r="E581" s="95"/>
      <c r="F581" s="95"/>
      <c r="G581" s="94"/>
      <c r="H581" s="185"/>
      <c r="I581" s="95"/>
      <c r="J581" s="95"/>
      <c r="K581" s="94"/>
      <c r="L581" s="191"/>
    </row>
    <row r="582" spans="1:12" ht="12.75" x14ac:dyDescent="0.2">
      <c r="A582" s="95"/>
      <c r="B582" s="95"/>
      <c r="C582" s="94"/>
      <c r="D582" s="185"/>
      <c r="E582" s="95"/>
      <c r="F582" s="95"/>
      <c r="G582" s="94"/>
      <c r="H582" s="185"/>
      <c r="I582" s="95"/>
      <c r="J582" s="95"/>
      <c r="K582" s="94"/>
      <c r="L582" s="191"/>
    </row>
    <row r="583" spans="1:12" ht="12.75" x14ac:dyDescent="0.2">
      <c r="A583" s="95"/>
      <c r="B583" s="95"/>
      <c r="C583" s="94"/>
      <c r="D583" s="185"/>
      <c r="E583" s="95"/>
      <c r="F583" s="95"/>
      <c r="G583" s="94"/>
      <c r="H583" s="185"/>
      <c r="I583" s="95"/>
      <c r="J583" s="95"/>
      <c r="K583" s="94"/>
      <c r="L583" s="191"/>
    </row>
    <row r="584" spans="1:12" ht="12.75" x14ac:dyDescent="0.2">
      <c r="A584" s="95"/>
      <c r="B584" s="95"/>
      <c r="C584" s="94"/>
      <c r="D584" s="185"/>
      <c r="E584" s="95"/>
      <c r="F584" s="95"/>
      <c r="G584" s="94"/>
      <c r="H584" s="185"/>
      <c r="I584" s="95"/>
      <c r="J584" s="95"/>
      <c r="K584" s="94"/>
      <c r="L584" s="191"/>
    </row>
    <row r="585" spans="1:12" ht="12.75" x14ac:dyDescent="0.2">
      <c r="A585" s="95"/>
      <c r="B585" s="95"/>
      <c r="C585" s="94"/>
      <c r="D585" s="185"/>
      <c r="E585" s="95"/>
      <c r="F585" s="95"/>
      <c r="G585" s="94"/>
      <c r="H585" s="185"/>
      <c r="I585" s="95"/>
      <c r="J585" s="95"/>
      <c r="K585" s="94"/>
      <c r="L585" s="191"/>
    </row>
    <row r="586" spans="1:12" ht="12.75" x14ac:dyDescent="0.2">
      <c r="A586" s="95"/>
      <c r="B586" s="95"/>
      <c r="C586" s="94"/>
      <c r="D586" s="185"/>
      <c r="E586" s="95"/>
      <c r="F586" s="95"/>
      <c r="G586" s="94"/>
      <c r="H586" s="185"/>
      <c r="I586" s="95"/>
      <c r="J586" s="95"/>
      <c r="K586" s="94"/>
      <c r="L586" s="191"/>
    </row>
    <row r="587" spans="1:12" ht="12.75" x14ac:dyDescent="0.2">
      <c r="A587" s="95"/>
      <c r="B587" s="95"/>
      <c r="C587" s="94"/>
      <c r="D587" s="185"/>
      <c r="E587" s="95"/>
      <c r="F587" s="95"/>
      <c r="G587" s="94"/>
      <c r="H587" s="185"/>
      <c r="I587" s="95"/>
      <c r="J587" s="95"/>
      <c r="K587" s="94"/>
      <c r="L587" s="191"/>
    </row>
    <row r="588" spans="1:12" ht="12.75" x14ac:dyDescent="0.2">
      <c r="A588" s="95"/>
      <c r="B588" s="95"/>
      <c r="C588" s="94"/>
      <c r="D588" s="185"/>
      <c r="E588" s="95"/>
      <c r="F588" s="95"/>
      <c r="G588" s="94"/>
      <c r="H588" s="185"/>
      <c r="I588" s="95"/>
      <c r="J588" s="95"/>
      <c r="K588" s="94"/>
      <c r="L588" s="191"/>
    </row>
    <row r="589" spans="1:12" ht="12.75" x14ac:dyDescent="0.2">
      <c r="A589" s="95"/>
      <c r="B589" s="95"/>
      <c r="C589" s="94"/>
      <c r="D589" s="185"/>
      <c r="E589" s="95"/>
      <c r="F589" s="95"/>
      <c r="G589" s="94"/>
      <c r="H589" s="185"/>
      <c r="I589" s="95"/>
      <c r="J589" s="95"/>
      <c r="K589" s="94"/>
      <c r="L589" s="191"/>
    </row>
    <row r="590" spans="1:12" ht="12.75" x14ac:dyDescent="0.2">
      <c r="A590" s="95"/>
      <c r="B590" s="95"/>
      <c r="C590" s="94"/>
      <c r="D590" s="185"/>
      <c r="E590" s="95"/>
      <c r="F590" s="95"/>
      <c r="G590" s="94"/>
      <c r="H590" s="185"/>
      <c r="I590" s="95"/>
      <c r="J590" s="95"/>
      <c r="K590" s="94"/>
      <c r="L590" s="191"/>
    </row>
    <row r="591" spans="1:12" ht="12.75" x14ac:dyDescent="0.2">
      <c r="A591" s="95"/>
      <c r="B591" s="95"/>
      <c r="C591" s="94"/>
      <c r="D591" s="185"/>
      <c r="E591" s="95"/>
      <c r="F591" s="95"/>
      <c r="G591" s="94"/>
      <c r="H591" s="185"/>
      <c r="I591" s="95"/>
      <c r="J591" s="95"/>
      <c r="K591" s="94"/>
      <c r="L591" s="191"/>
    </row>
    <row r="592" spans="1:12" ht="12.75" x14ac:dyDescent="0.2">
      <c r="A592" s="95"/>
      <c r="B592" s="95"/>
      <c r="C592" s="94"/>
      <c r="D592" s="185"/>
      <c r="E592" s="95"/>
      <c r="F592" s="95"/>
      <c r="G592" s="94"/>
      <c r="H592" s="185"/>
      <c r="I592" s="95"/>
      <c r="J592" s="95"/>
      <c r="K592" s="94"/>
      <c r="L592" s="191"/>
    </row>
    <row r="593" spans="1:12" ht="12.75" x14ac:dyDescent="0.2">
      <c r="A593" s="95"/>
      <c r="B593" s="95"/>
      <c r="C593" s="94"/>
      <c r="D593" s="185"/>
      <c r="E593" s="95"/>
      <c r="F593" s="95"/>
      <c r="G593" s="94"/>
      <c r="H593" s="185"/>
      <c r="I593" s="95"/>
      <c r="J593" s="95"/>
      <c r="K593" s="94"/>
      <c r="L593" s="191"/>
    </row>
    <row r="594" spans="1:12" ht="12.75" x14ac:dyDescent="0.2">
      <c r="A594" s="95"/>
      <c r="B594" s="95"/>
      <c r="C594" s="94"/>
      <c r="D594" s="185"/>
      <c r="E594" s="95"/>
      <c r="F594" s="95"/>
      <c r="G594" s="94"/>
      <c r="H594" s="185"/>
      <c r="I594" s="95"/>
      <c r="J594" s="95"/>
      <c r="K594" s="94"/>
      <c r="L594" s="191"/>
    </row>
    <row r="595" spans="1:12" ht="12.75" x14ac:dyDescent="0.2">
      <c r="A595" s="95"/>
      <c r="B595" s="95"/>
      <c r="C595" s="94"/>
      <c r="D595" s="185"/>
      <c r="E595" s="95"/>
      <c r="F595" s="95"/>
      <c r="G595" s="94"/>
      <c r="H595" s="185"/>
      <c r="I595" s="95"/>
      <c r="J595" s="95"/>
      <c r="K595" s="94"/>
      <c r="L595" s="191"/>
    </row>
    <row r="596" spans="1:12" ht="12.75" x14ac:dyDescent="0.2">
      <c r="A596" s="95"/>
      <c r="B596" s="95"/>
      <c r="C596" s="94"/>
      <c r="D596" s="185"/>
      <c r="E596" s="95"/>
      <c r="F596" s="95"/>
      <c r="G596" s="94"/>
      <c r="H596" s="185"/>
      <c r="I596" s="95"/>
      <c r="J596" s="95"/>
      <c r="K596" s="94"/>
      <c r="L596" s="191"/>
    </row>
    <row r="597" spans="1:12" ht="12.75" x14ac:dyDescent="0.2">
      <c r="A597" s="95"/>
      <c r="B597" s="95"/>
      <c r="C597" s="94"/>
      <c r="D597" s="185"/>
      <c r="E597" s="95"/>
      <c r="F597" s="95"/>
      <c r="G597" s="94"/>
      <c r="H597" s="185"/>
      <c r="I597" s="95"/>
      <c r="J597" s="95"/>
      <c r="K597" s="94"/>
      <c r="L597" s="191"/>
    </row>
    <row r="598" spans="1:12" ht="12.75" x14ac:dyDescent="0.2">
      <c r="A598" s="95"/>
      <c r="B598" s="95"/>
      <c r="C598" s="94"/>
      <c r="D598" s="185"/>
      <c r="E598" s="95"/>
      <c r="F598" s="95"/>
      <c r="G598" s="94"/>
      <c r="H598" s="185"/>
      <c r="I598" s="95"/>
      <c r="J598" s="95"/>
      <c r="K598" s="94"/>
      <c r="L598" s="191"/>
    </row>
    <row r="599" spans="1:12" ht="12.75" x14ac:dyDescent="0.2">
      <c r="A599" s="95"/>
      <c r="B599" s="95"/>
      <c r="C599" s="94"/>
      <c r="D599" s="185"/>
      <c r="E599" s="95"/>
      <c r="F599" s="95"/>
      <c r="G599" s="94"/>
      <c r="H599" s="185"/>
      <c r="I599" s="95"/>
      <c r="J599" s="95"/>
      <c r="K599" s="94"/>
      <c r="L599" s="191"/>
    </row>
    <row r="600" spans="1:12" ht="12.75" x14ac:dyDescent="0.2">
      <c r="A600" s="95"/>
      <c r="B600" s="95"/>
      <c r="C600" s="94"/>
      <c r="D600" s="185"/>
      <c r="E600" s="95"/>
      <c r="F600" s="95"/>
      <c r="G600" s="94"/>
      <c r="H600" s="185"/>
      <c r="I600" s="95"/>
      <c r="J600" s="95"/>
      <c r="K600" s="94"/>
      <c r="L600" s="191"/>
    </row>
    <row r="601" spans="1:12" ht="12.75" x14ac:dyDescent="0.2">
      <c r="A601" s="95"/>
      <c r="B601" s="95"/>
      <c r="C601" s="94"/>
      <c r="D601" s="185"/>
      <c r="E601" s="95"/>
      <c r="F601" s="95"/>
      <c r="G601" s="94"/>
      <c r="H601" s="185"/>
      <c r="I601" s="95"/>
      <c r="J601" s="95"/>
      <c r="K601" s="94"/>
      <c r="L601" s="191"/>
    </row>
    <row r="602" spans="1:12" ht="12.75" x14ac:dyDescent="0.2">
      <c r="A602" s="95"/>
      <c r="B602" s="95"/>
      <c r="C602" s="94"/>
      <c r="D602" s="185"/>
      <c r="E602" s="95"/>
      <c r="F602" s="95"/>
      <c r="G602" s="94"/>
      <c r="H602" s="185"/>
      <c r="I602" s="95"/>
      <c r="J602" s="95"/>
      <c r="K602" s="94"/>
      <c r="L602" s="191"/>
    </row>
    <row r="603" spans="1:12" ht="12.75" x14ac:dyDescent="0.2">
      <c r="A603" s="95"/>
      <c r="B603" s="95"/>
      <c r="C603" s="94"/>
      <c r="D603" s="185"/>
      <c r="E603" s="95"/>
      <c r="F603" s="95"/>
      <c r="G603" s="94"/>
      <c r="H603" s="185"/>
      <c r="I603" s="95"/>
      <c r="J603" s="95"/>
      <c r="K603" s="94"/>
      <c r="L603" s="191"/>
    </row>
    <row r="604" spans="1:12" ht="12.75" x14ac:dyDescent="0.2">
      <c r="A604" s="95"/>
      <c r="B604" s="95"/>
      <c r="C604" s="94"/>
      <c r="D604" s="185"/>
      <c r="E604" s="95"/>
      <c r="F604" s="95"/>
      <c r="G604" s="94"/>
      <c r="H604" s="185"/>
      <c r="I604" s="95"/>
      <c r="J604" s="95"/>
      <c r="K604" s="94"/>
      <c r="L604" s="191"/>
    </row>
    <row r="605" spans="1:12" ht="12.75" x14ac:dyDescent="0.2">
      <c r="A605" s="95"/>
      <c r="B605" s="95"/>
      <c r="C605" s="94"/>
      <c r="D605" s="185"/>
      <c r="E605" s="95"/>
      <c r="F605" s="95"/>
      <c r="G605" s="94"/>
      <c r="H605" s="185"/>
      <c r="I605" s="95"/>
      <c r="J605" s="95"/>
      <c r="K605" s="94"/>
      <c r="L605" s="191"/>
    </row>
    <row r="606" spans="1:12" ht="12.75" x14ac:dyDescent="0.2">
      <c r="A606" s="95"/>
      <c r="B606" s="95"/>
      <c r="C606" s="94"/>
      <c r="D606" s="185"/>
      <c r="E606" s="95"/>
      <c r="F606" s="95"/>
      <c r="G606" s="94"/>
      <c r="H606" s="185"/>
      <c r="I606" s="95"/>
      <c r="J606" s="95"/>
      <c r="K606" s="94"/>
      <c r="L606" s="191"/>
    </row>
    <row r="607" spans="1:12" ht="12.75" x14ac:dyDescent="0.2">
      <c r="A607" s="95"/>
      <c r="B607" s="95"/>
      <c r="C607" s="94"/>
      <c r="D607" s="185"/>
      <c r="E607" s="95"/>
      <c r="F607" s="95"/>
      <c r="G607" s="94"/>
      <c r="H607" s="185"/>
      <c r="I607" s="95"/>
      <c r="J607" s="95"/>
      <c r="K607" s="94"/>
      <c r="L607" s="191"/>
    </row>
    <row r="608" spans="1:12" ht="12.75" x14ac:dyDescent="0.2">
      <c r="A608" s="95"/>
      <c r="B608" s="95"/>
      <c r="C608" s="94"/>
      <c r="D608" s="185"/>
      <c r="E608" s="95"/>
      <c r="F608" s="95"/>
      <c r="G608" s="94"/>
      <c r="H608" s="185"/>
      <c r="I608" s="95"/>
      <c r="J608" s="95"/>
      <c r="K608" s="94"/>
      <c r="L608" s="191"/>
    </row>
    <row r="609" spans="1:12" ht="12.75" x14ac:dyDescent="0.2">
      <c r="A609" s="95"/>
      <c r="B609" s="95"/>
      <c r="C609" s="94"/>
      <c r="D609" s="185"/>
      <c r="E609" s="95"/>
      <c r="F609" s="95"/>
      <c r="G609" s="94"/>
      <c r="H609" s="185"/>
      <c r="I609" s="95"/>
      <c r="J609" s="95"/>
      <c r="K609" s="94"/>
      <c r="L609" s="191"/>
    </row>
    <row r="610" spans="1:12" ht="12.75" x14ac:dyDescent="0.2">
      <c r="A610" s="95"/>
      <c r="B610" s="95"/>
      <c r="C610" s="94"/>
      <c r="D610" s="185"/>
      <c r="E610" s="95"/>
      <c r="F610" s="95"/>
      <c r="G610" s="94"/>
      <c r="H610" s="185"/>
      <c r="I610" s="95"/>
      <c r="J610" s="95"/>
      <c r="K610" s="94"/>
      <c r="L610" s="191"/>
    </row>
    <row r="611" spans="1:12" ht="12.75" x14ac:dyDescent="0.2">
      <c r="A611" s="95"/>
      <c r="B611" s="95"/>
      <c r="C611" s="94"/>
      <c r="D611" s="185"/>
      <c r="E611" s="95"/>
      <c r="F611" s="95"/>
      <c r="G611" s="94"/>
      <c r="H611" s="185"/>
      <c r="I611" s="95"/>
      <c r="J611" s="95"/>
      <c r="K611" s="94"/>
      <c r="L611" s="191"/>
    </row>
    <row r="612" spans="1:12" ht="12.75" x14ac:dyDescent="0.2">
      <c r="A612" s="95"/>
      <c r="B612" s="95"/>
      <c r="C612" s="94"/>
      <c r="D612" s="185"/>
      <c r="E612" s="95"/>
      <c r="F612" s="95"/>
      <c r="G612" s="94"/>
      <c r="H612" s="185"/>
      <c r="I612" s="95"/>
      <c r="J612" s="95"/>
      <c r="K612" s="94"/>
      <c r="L612" s="191"/>
    </row>
    <row r="613" spans="1:12" ht="12.75" x14ac:dyDescent="0.2">
      <c r="A613" s="95"/>
      <c r="B613" s="95"/>
      <c r="C613" s="94"/>
      <c r="D613" s="185"/>
      <c r="E613" s="95"/>
      <c r="F613" s="95"/>
      <c r="G613" s="94"/>
      <c r="H613" s="185"/>
      <c r="I613" s="95"/>
      <c r="J613" s="95"/>
      <c r="K613" s="94"/>
      <c r="L613" s="191"/>
    </row>
    <row r="614" spans="1:12" ht="12.75" x14ac:dyDescent="0.2">
      <c r="A614" s="95"/>
      <c r="B614" s="95"/>
      <c r="C614" s="94"/>
      <c r="D614" s="185"/>
      <c r="E614" s="95"/>
      <c r="F614" s="95"/>
      <c r="G614" s="94"/>
      <c r="H614" s="185"/>
      <c r="I614" s="95"/>
      <c r="J614" s="95"/>
      <c r="K614" s="94"/>
      <c r="L614" s="191"/>
    </row>
    <row r="615" spans="1:12" ht="12.75" x14ac:dyDescent="0.2">
      <c r="A615" s="95"/>
      <c r="B615" s="95"/>
      <c r="C615" s="94"/>
      <c r="D615" s="185"/>
      <c r="E615" s="95"/>
      <c r="F615" s="95"/>
      <c r="G615" s="94"/>
      <c r="H615" s="185"/>
      <c r="I615" s="95"/>
      <c r="J615" s="95"/>
      <c r="K615" s="94"/>
      <c r="L615" s="191"/>
    </row>
    <row r="616" spans="1:12" ht="12.75" x14ac:dyDescent="0.2">
      <c r="A616" s="95"/>
      <c r="B616" s="95"/>
      <c r="C616" s="94"/>
      <c r="D616" s="185"/>
      <c r="E616" s="95"/>
      <c r="F616" s="95"/>
      <c r="G616" s="94"/>
      <c r="H616" s="185"/>
      <c r="I616" s="95"/>
      <c r="J616" s="95"/>
      <c r="K616" s="94"/>
      <c r="L616" s="191"/>
    </row>
    <row r="617" spans="1:12" ht="12.75" x14ac:dyDescent="0.2">
      <c r="A617" s="95"/>
      <c r="B617" s="95"/>
      <c r="C617" s="94"/>
      <c r="D617" s="185"/>
      <c r="E617" s="95"/>
      <c r="F617" s="95"/>
      <c r="G617" s="94"/>
      <c r="H617" s="185"/>
      <c r="I617" s="95"/>
      <c r="J617" s="95"/>
      <c r="K617" s="94"/>
      <c r="L617" s="191"/>
    </row>
    <row r="618" spans="1:12" ht="12.75" x14ac:dyDescent="0.2">
      <c r="A618" s="95"/>
      <c r="B618" s="95"/>
      <c r="C618" s="94"/>
      <c r="D618" s="185"/>
      <c r="E618" s="95"/>
      <c r="F618" s="95"/>
      <c r="G618" s="94"/>
      <c r="H618" s="185"/>
      <c r="I618" s="95"/>
      <c r="J618" s="95"/>
      <c r="K618" s="94"/>
      <c r="L618" s="191"/>
    </row>
    <row r="619" spans="1:12" ht="12.75" x14ac:dyDescent="0.2">
      <c r="A619" s="95"/>
      <c r="B619" s="95"/>
      <c r="C619" s="94"/>
      <c r="D619" s="185"/>
      <c r="E619" s="95"/>
      <c r="F619" s="95"/>
      <c r="G619" s="94"/>
      <c r="H619" s="185"/>
      <c r="I619" s="95"/>
      <c r="J619" s="95"/>
      <c r="K619" s="94"/>
      <c r="L619" s="191"/>
    </row>
    <row r="620" spans="1:12" ht="12.75" x14ac:dyDescent="0.2">
      <c r="A620" s="95"/>
      <c r="B620" s="95"/>
      <c r="C620" s="94"/>
      <c r="D620" s="185"/>
      <c r="E620" s="95"/>
      <c r="F620" s="95"/>
      <c r="G620" s="94"/>
      <c r="H620" s="185"/>
      <c r="I620" s="95"/>
      <c r="J620" s="95"/>
      <c r="K620" s="94"/>
      <c r="L620" s="191"/>
    </row>
    <row r="621" spans="1:12" ht="12.75" x14ac:dyDescent="0.2">
      <c r="A621" s="95"/>
      <c r="B621" s="95"/>
      <c r="C621" s="94"/>
      <c r="D621" s="185"/>
      <c r="E621" s="95"/>
      <c r="F621" s="95"/>
      <c r="G621" s="94"/>
      <c r="H621" s="185"/>
      <c r="I621" s="95"/>
      <c r="J621" s="95"/>
      <c r="K621" s="94"/>
      <c r="L621" s="191"/>
    </row>
    <row r="622" spans="1:12" ht="12.75" x14ac:dyDescent="0.2">
      <c r="A622" s="95"/>
      <c r="B622" s="95"/>
      <c r="C622" s="94"/>
      <c r="D622" s="185"/>
      <c r="E622" s="95"/>
      <c r="F622" s="95"/>
      <c r="G622" s="94"/>
      <c r="H622" s="185"/>
      <c r="I622" s="95"/>
      <c r="J622" s="95"/>
      <c r="K622" s="94"/>
      <c r="L622" s="191"/>
    </row>
    <row r="623" spans="1:12" ht="12.75" x14ac:dyDescent="0.2">
      <c r="A623" s="95"/>
      <c r="B623" s="95"/>
      <c r="C623" s="94"/>
      <c r="D623" s="185"/>
      <c r="E623" s="95"/>
      <c r="F623" s="95"/>
      <c r="G623" s="94"/>
      <c r="H623" s="185"/>
      <c r="I623" s="95"/>
      <c r="J623" s="95"/>
      <c r="K623" s="94"/>
      <c r="L623" s="191"/>
    </row>
    <row r="624" spans="1:12" ht="12.75" x14ac:dyDescent="0.2">
      <c r="A624" s="95"/>
      <c r="B624" s="95"/>
      <c r="C624" s="94"/>
      <c r="D624" s="185"/>
      <c r="E624" s="95"/>
      <c r="F624" s="95"/>
      <c r="G624" s="94"/>
      <c r="H624" s="185"/>
      <c r="I624" s="95"/>
      <c r="J624" s="95"/>
      <c r="K624" s="94"/>
      <c r="L624" s="191"/>
    </row>
    <row r="625" spans="1:12" ht="12.75" x14ac:dyDescent="0.2">
      <c r="A625" s="95"/>
      <c r="B625" s="95"/>
      <c r="C625" s="94"/>
      <c r="D625" s="185"/>
      <c r="E625" s="95"/>
      <c r="F625" s="95"/>
      <c r="G625" s="94"/>
      <c r="H625" s="185"/>
      <c r="I625" s="95"/>
      <c r="J625" s="95"/>
      <c r="K625" s="94"/>
      <c r="L625" s="191"/>
    </row>
    <row r="626" spans="1:12" ht="12.75" x14ac:dyDescent="0.2">
      <c r="A626" s="95"/>
      <c r="B626" s="95"/>
      <c r="C626" s="94"/>
      <c r="D626" s="185"/>
      <c r="E626" s="95"/>
      <c r="F626" s="95"/>
      <c r="G626" s="94"/>
      <c r="H626" s="185"/>
      <c r="I626" s="95"/>
      <c r="J626" s="95"/>
      <c r="K626" s="94"/>
      <c r="L626" s="191"/>
    </row>
    <row r="627" spans="1:12" ht="12.75" x14ac:dyDescent="0.2">
      <c r="A627" s="95"/>
      <c r="B627" s="95"/>
      <c r="C627" s="94"/>
      <c r="D627" s="185"/>
      <c r="E627" s="95"/>
      <c r="F627" s="95"/>
      <c r="G627" s="94"/>
      <c r="H627" s="185"/>
      <c r="I627" s="95"/>
      <c r="J627" s="95"/>
      <c r="K627" s="94"/>
      <c r="L627" s="191"/>
    </row>
    <row r="628" spans="1:12" ht="12.75" x14ac:dyDescent="0.2">
      <c r="A628" s="95"/>
      <c r="B628" s="95"/>
      <c r="C628" s="94"/>
      <c r="D628" s="185"/>
      <c r="E628" s="95"/>
      <c r="F628" s="95"/>
      <c r="G628" s="94"/>
      <c r="H628" s="185"/>
      <c r="I628" s="95"/>
      <c r="J628" s="95"/>
      <c r="K628" s="94"/>
      <c r="L628" s="191"/>
    </row>
    <row r="629" spans="1:12" ht="12.75" x14ac:dyDescent="0.2">
      <c r="A629" s="95"/>
      <c r="B629" s="95"/>
      <c r="C629" s="94"/>
      <c r="D629" s="185"/>
      <c r="E629" s="95"/>
      <c r="F629" s="95"/>
      <c r="G629" s="94"/>
      <c r="H629" s="185"/>
      <c r="I629" s="95"/>
      <c r="J629" s="95"/>
      <c r="K629" s="94"/>
      <c r="L629" s="191"/>
    </row>
    <row r="630" spans="1:12" ht="12.75" x14ac:dyDescent="0.2">
      <c r="A630" s="95"/>
      <c r="B630" s="95"/>
      <c r="C630" s="94"/>
      <c r="D630" s="185"/>
      <c r="E630" s="95"/>
      <c r="F630" s="95"/>
      <c r="G630" s="94"/>
      <c r="H630" s="185"/>
      <c r="I630" s="95"/>
      <c r="J630" s="95"/>
      <c r="K630" s="94"/>
      <c r="L630" s="191"/>
    </row>
    <row r="631" spans="1:12" ht="12.75" x14ac:dyDescent="0.2">
      <c r="A631" s="95"/>
      <c r="B631" s="95"/>
      <c r="C631" s="94"/>
      <c r="D631" s="185"/>
      <c r="E631" s="95"/>
      <c r="F631" s="95"/>
      <c r="G631" s="94"/>
      <c r="H631" s="185"/>
      <c r="I631" s="95"/>
      <c r="J631" s="95"/>
      <c r="K631" s="94"/>
      <c r="L631" s="191"/>
    </row>
    <row r="632" spans="1:12" ht="12.75" x14ac:dyDescent="0.2">
      <c r="A632" s="95"/>
      <c r="B632" s="95"/>
      <c r="C632" s="94"/>
      <c r="D632" s="185"/>
      <c r="E632" s="95"/>
      <c r="F632" s="95"/>
      <c r="G632" s="94"/>
      <c r="H632" s="185"/>
      <c r="I632" s="95"/>
      <c r="J632" s="95"/>
      <c r="K632" s="94"/>
      <c r="L632" s="191"/>
    </row>
    <row r="633" spans="1:12" ht="12.75" x14ac:dyDescent="0.2">
      <c r="A633" s="95"/>
      <c r="B633" s="95"/>
      <c r="C633" s="94"/>
      <c r="D633" s="185"/>
      <c r="E633" s="95"/>
      <c r="F633" s="95"/>
      <c r="G633" s="94"/>
      <c r="H633" s="185"/>
      <c r="I633" s="95"/>
      <c r="J633" s="95"/>
      <c r="K633" s="94"/>
      <c r="L633" s="191"/>
    </row>
    <row r="634" spans="1:12" ht="12.75" x14ac:dyDescent="0.2">
      <c r="A634" s="95"/>
      <c r="B634" s="95"/>
      <c r="C634" s="94"/>
      <c r="D634" s="185"/>
      <c r="E634" s="95"/>
      <c r="F634" s="95"/>
      <c r="G634" s="94"/>
      <c r="H634" s="185"/>
      <c r="I634" s="95"/>
      <c r="J634" s="95"/>
      <c r="K634" s="94"/>
      <c r="L634" s="191"/>
    </row>
    <row r="635" spans="1:12" ht="12.75" x14ac:dyDescent="0.2">
      <c r="A635" s="95"/>
      <c r="B635" s="95"/>
      <c r="C635" s="94"/>
      <c r="D635" s="185"/>
      <c r="E635" s="95"/>
      <c r="F635" s="95"/>
      <c r="G635" s="94"/>
      <c r="H635" s="185"/>
      <c r="I635" s="95"/>
      <c r="J635" s="95"/>
      <c r="K635" s="94"/>
      <c r="L635" s="191"/>
    </row>
    <row r="636" spans="1:12" ht="12.75" x14ac:dyDescent="0.2">
      <c r="A636" s="95"/>
      <c r="B636" s="95"/>
      <c r="C636" s="94"/>
      <c r="D636" s="185"/>
      <c r="E636" s="95"/>
      <c r="F636" s="95"/>
      <c r="G636" s="94"/>
      <c r="H636" s="185"/>
      <c r="I636" s="95"/>
      <c r="J636" s="95"/>
      <c r="K636" s="94"/>
      <c r="L636" s="191"/>
    </row>
    <row r="637" spans="1:12" ht="12.75" x14ac:dyDescent="0.2">
      <c r="A637" s="95"/>
      <c r="B637" s="95"/>
      <c r="C637" s="94"/>
      <c r="D637" s="185"/>
      <c r="E637" s="95"/>
      <c r="F637" s="95"/>
      <c r="G637" s="94"/>
      <c r="H637" s="185"/>
      <c r="I637" s="95"/>
      <c r="J637" s="95"/>
      <c r="K637" s="94"/>
      <c r="L637" s="191"/>
    </row>
    <row r="638" spans="1:12" ht="12.75" x14ac:dyDescent="0.2">
      <c r="A638" s="95"/>
      <c r="B638" s="95"/>
      <c r="C638" s="94"/>
      <c r="D638" s="185"/>
      <c r="E638" s="95"/>
      <c r="F638" s="95"/>
      <c r="G638" s="94"/>
      <c r="H638" s="185"/>
      <c r="I638" s="95"/>
      <c r="J638" s="95"/>
      <c r="K638" s="94"/>
      <c r="L638" s="191"/>
    </row>
    <row r="639" spans="1:12" ht="12.75" x14ac:dyDescent="0.2">
      <c r="A639" s="95"/>
      <c r="B639" s="95"/>
      <c r="C639" s="94"/>
      <c r="D639" s="185"/>
      <c r="E639" s="95"/>
      <c r="F639" s="95"/>
      <c r="G639" s="94"/>
      <c r="H639" s="185"/>
      <c r="I639" s="95"/>
      <c r="J639" s="95"/>
      <c r="K639" s="94"/>
      <c r="L639" s="191"/>
    </row>
    <row r="640" spans="1:12" ht="12.75" x14ac:dyDescent="0.2">
      <c r="A640" s="95"/>
      <c r="B640" s="95"/>
      <c r="C640" s="94"/>
      <c r="D640" s="185"/>
      <c r="E640" s="95"/>
      <c r="F640" s="95"/>
      <c r="G640" s="94"/>
      <c r="H640" s="185"/>
      <c r="I640" s="95"/>
      <c r="J640" s="95"/>
      <c r="K640" s="94"/>
      <c r="L640" s="191"/>
    </row>
    <row r="641" spans="1:12" ht="12.75" x14ac:dyDescent="0.2">
      <c r="A641" s="95"/>
      <c r="B641" s="95"/>
      <c r="C641" s="94"/>
      <c r="D641" s="185"/>
      <c r="E641" s="95"/>
      <c r="F641" s="95"/>
      <c r="G641" s="94"/>
      <c r="H641" s="185"/>
      <c r="I641" s="95"/>
      <c r="J641" s="95"/>
      <c r="K641" s="94"/>
      <c r="L641" s="191"/>
    </row>
    <row r="642" spans="1:12" ht="12.75" x14ac:dyDescent="0.2">
      <c r="A642" s="95"/>
      <c r="B642" s="95"/>
      <c r="C642" s="94"/>
      <c r="D642" s="185"/>
      <c r="E642" s="95"/>
      <c r="F642" s="95"/>
      <c r="G642" s="94"/>
      <c r="H642" s="185"/>
      <c r="I642" s="95"/>
      <c r="J642" s="95"/>
      <c r="K642" s="94"/>
      <c r="L642" s="191"/>
    </row>
    <row r="643" spans="1:12" ht="12.75" x14ac:dyDescent="0.2">
      <c r="A643" s="95"/>
      <c r="B643" s="95"/>
      <c r="C643" s="94"/>
      <c r="D643" s="185"/>
      <c r="E643" s="95"/>
      <c r="F643" s="95"/>
      <c r="G643" s="94"/>
      <c r="H643" s="185"/>
      <c r="I643" s="95"/>
      <c r="J643" s="95"/>
      <c r="K643" s="94"/>
      <c r="L643" s="191"/>
    </row>
    <row r="644" spans="1:12" ht="12.75" x14ac:dyDescent="0.2">
      <c r="A644" s="95"/>
      <c r="B644" s="95"/>
      <c r="C644" s="94"/>
      <c r="D644" s="185"/>
      <c r="E644" s="95"/>
      <c r="F644" s="95"/>
      <c r="G644" s="94"/>
      <c r="H644" s="185"/>
      <c r="I644" s="95"/>
      <c r="J644" s="95"/>
      <c r="K644" s="94"/>
      <c r="L644" s="191"/>
    </row>
    <row r="645" spans="1:12" ht="12.75" x14ac:dyDescent="0.2">
      <c r="A645" s="95"/>
      <c r="B645" s="95"/>
      <c r="C645" s="94"/>
      <c r="D645" s="185"/>
      <c r="E645" s="95"/>
      <c r="F645" s="95"/>
      <c r="G645" s="94"/>
      <c r="H645" s="185"/>
      <c r="I645" s="95"/>
      <c r="J645" s="95"/>
      <c r="K645" s="94"/>
      <c r="L645" s="191"/>
    </row>
    <row r="646" spans="1:12" ht="12.75" x14ac:dyDescent="0.2">
      <c r="A646" s="95"/>
      <c r="B646" s="95"/>
      <c r="C646" s="94"/>
      <c r="D646" s="185"/>
      <c r="E646" s="95"/>
      <c r="F646" s="95"/>
      <c r="G646" s="94"/>
      <c r="H646" s="185"/>
      <c r="I646" s="95"/>
      <c r="J646" s="95"/>
      <c r="K646" s="94"/>
      <c r="L646" s="191"/>
    </row>
    <row r="647" spans="1:12" ht="12.75" x14ac:dyDescent="0.2">
      <c r="A647" s="95"/>
      <c r="B647" s="95"/>
      <c r="C647" s="94"/>
      <c r="D647" s="185"/>
      <c r="E647" s="95"/>
      <c r="F647" s="95"/>
      <c r="G647" s="94"/>
      <c r="H647" s="185"/>
      <c r="I647" s="95"/>
      <c r="J647" s="95"/>
      <c r="K647" s="94"/>
      <c r="L647" s="191"/>
    </row>
    <row r="648" spans="1:12" ht="12.75" x14ac:dyDescent="0.2">
      <c r="A648" s="95"/>
      <c r="B648" s="95"/>
      <c r="C648" s="94"/>
      <c r="D648" s="185"/>
      <c r="E648" s="95"/>
      <c r="F648" s="95"/>
      <c r="G648" s="94"/>
      <c r="H648" s="185"/>
      <c r="I648" s="95"/>
      <c r="J648" s="95"/>
      <c r="K648" s="94"/>
      <c r="L648" s="191"/>
    </row>
    <row r="649" spans="1:12" ht="12.75" x14ac:dyDescent="0.2">
      <c r="A649" s="95"/>
      <c r="B649" s="95"/>
      <c r="C649" s="94"/>
      <c r="D649" s="185"/>
      <c r="E649" s="95"/>
      <c r="F649" s="95"/>
      <c r="G649" s="94"/>
      <c r="H649" s="185"/>
      <c r="I649" s="95"/>
      <c r="J649" s="95"/>
      <c r="K649" s="94"/>
      <c r="L649" s="191"/>
    </row>
    <row r="650" spans="1:12" ht="12.75" x14ac:dyDescent="0.2">
      <c r="A650" s="95"/>
      <c r="B650" s="95"/>
      <c r="C650" s="94"/>
      <c r="D650" s="185"/>
      <c r="E650" s="95"/>
      <c r="F650" s="95"/>
      <c r="G650" s="94"/>
      <c r="H650" s="185"/>
      <c r="I650" s="95"/>
      <c r="J650" s="95"/>
      <c r="K650" s="94"/>
      <c r="L650" s="191"/>
    </row>
    <row r="651" spans="1:12" ht="12.75" x14ac:dyDescent="0.2">
      <c r="A651" s="95"/>
      <c r="B651" s="95"/>
      <c r="C651" s="94"/>
      <c r="D651" s="185"/>
      <c r="E651" s="95"/>
      <c r="F651" s="95"/>
      <c r="G651" s="94"/>
      <c r="H651" s="185"/>
      <c r="I651" s="95"/>
      <c r="J651" s="95"/>
      <c r="K651" s="94"/>
      <c r="L651" s="191"/>
    </row>
    <row r="652" spans="1:12" ht="12.75" x14ac:dyDescent="0.2">
      <c r="A652" s="95"/>
      <c r="B652" s="95"/>
      <c r="C652" s="94"/>
      <c r="D652" s="185"/>
      <c r="E652" s="95"/>
      <c r="F652" s="95"/>
      <c r="G652" s="94"/>
      <c r="H652" s="185"/>
      <c r="I652" s="95"/>
      <c r="J652" s="95"/>
      <c r="K652" s="94"/>
      <c r="L652" s="191"/>
    </row>
    <row r="653" spans="1:12" ht="12.75" x14ac:dyDescent="0.2">
      <c r="A653" s="95"/>
      <c r="B653" s="95"/>
      <c r="C653" s="94"/>
      <c r="D653" s="185"/>
      <c r="E653" s="95"/>
      <c r="F653" s="95"/>
      <c r="G653" s="94"/>
      <c r="H653" s="185"/>
      <c r="I653" s="95"/>
      <c r="J653" s="95"/>
      <c r="K653" s="94"/>
      <c r="L653" s="191"/>
    </row>
    <row r="654" spans="1:12" ht="12.75" x14ac:dyDescent="0.2">
      <c r="A654" s="95"/>
      <c r="B654" s="95"/>
      <c r="C654" s="94"/>
      <c r="D654" s="185"/>
      <c r="E654" s="95"/>
      <c r="F654" s="95"/>
      <c r="G654" s="94"/>
      <c r="H654" s="185"/>
      <c r="I654" s="95"/>
      <c r="J654" s="95"/>
      <c r="K654" s="94"/>
      <c r="L654" s="191"/>
    </row>
    <row r="655" spans="1:12" ht="12.75" x14ac:dyDescent="0.2">
      <c r="A655" s="95"/>
      <c r="B655" s="95"/>
      <c r="C655" s="94"/>
      <c r="D655" s="185"/>
      <c r="E655" s="95"/>
      <c r="F655" s="95"/>
      <c r="G655" s="94"/>
      <c r="H655" s="185"/>
      <c r="I655" s="95"/>
      <c r="J655" s="95"/>
      <c r="K655" s="94"/>
      <c r="L655" s="191"/>
    </row>
    <row r="656" spans="1:12" ht="12.75" x14ac:dyDescent="0.2">
      <c r="A656" s="95"/>
      <c r="B656" s="95"/>
      <c r="C656" s="94"/>
      <c r="D656" s="185"/>
      <c r="E656" s="95"/>
      <c r="F656" s="95"/>
      <c r="G656" s="94"/>
      <c r="H656" s="185"/>
      <c r="I656" s="95"/>
      <c r="J656" s="95"/>
      <c r="K656" s="94"/>
      <c r="L656" s="191"/>
    </row>
    <row r="657" spans="1:12" ht="12.75" x14ac:dyDescent="0.2">
      <c r="A657" s="95"/>
      <c r="B657" s="95"/>
      <c r="C657" s="94"/>
      <c r="D657" s="185"/>
      <c r="E657" s="95"/>
      <c r="F657" s="95"/>
      <c r="G657" s="94"/>
      <c r="H657" s="185"/>
      <c r="I657" s="95"/>
      <c r="J657" s="95"/>
      <c r="K657" s="94"/>
      <c r="L657" s="191"/>
    </row>
    <row r="658" spans="1:12" ht="12.75" x14ac:dyDescent="0.2">
      <c r="A658" s="95"/>
      <c r="B658" s="95"/>
      <c r="C658" s="94"/>
      <c r="D658" s="185"/>
      <c r="E658" s="95"/>
      <c r="F658" s="95"/>
      <c r="G658" s="94"/>
      <c r="H658" s="185"/>
      <c r="I658" s="95"/>
      <c r="J658" s="95"/>
      <c r="K658" s="94"/>
      <c r="L658" s="191"/>
    </row>
    <row r="659" spans="1:12" ht="12.75" x14ac:dyDescent="0.2">
      <c r="A659" s="95"/>
      <c r="B659" s="95"/>
      <c r="C659" s="94"/>
      <c r="D659" s="185"/>
      <c r="E659" s="95"/>
      <c r="F659" s="95"/>
      <c r="G659" s="94"/>
      <c r="H659" s="185"/>
      <c r="I659" s="95"/>
      <c r="J659" s="95"/>
      <c r="K659" s="94"/>
      <c r="L659" s="191"/>
    </row>
    <row r="660" spans="1:12" ht="12.75" x14ac:dyDescent="0.2">
      <c r="A660" s="95"/>
      <c r="B660" s="95"/>
      <c r="C660" s="94"/>
      <c r="D660" s="185"/>
      <c r="E660" s="95"/>
      <c r="F660" s="95"/>
      <c r="G660" s="94"/>
      <c r="H660" s="185"/>
      <c r="I660" s="95"/>
      <c r="J660" s="95"/>
      <c r="K660" s="94"/>
      <c r="L660" s="191"/>
    </row>
    <row r="661" spans="1:12" ht="12.75" x14ac:dyDescent="0.2">
      <c r="A661" s="95"/>
      <c r="B661" s="95"/>
      <c r="C661" s="94"/>
      <c r="D661" s="185"/>
      <c r="E661" s="95"/>
      <c r="F661" s="95"/>
      <c r="G661" s="94"/>
      <c r="H661" s="185"/>
      <c r="I661" s="95"/>
      <c r="J661" s="95"/>
      <c r="K661" s="94"/>
      <c r="L661" s="191"/>
    </row>
    <row r="662" spans="1:12" ht="12.75" x14ac:dyDescent="0.2">
      <c r="A662" s="95"/>
      <c r="B662" s="95"/>
      <c r="C662" s="94"/>
      <c r="D662" s="185"/>
      <c r="E662" s="95"/>
      <c r="F662" s="95"/>
      <c r="G662" s="94"/>
      <c r="H662" s="185"/>
      <c r="I662" s="95"/>
      <c r="J662" s="95"/>
      <c r="K662" s="94"/>
      <c r="L662" s="191"/>
    </row>
    <row r="663" spans="1:12" ht="12.75" x14ac:dyDescent="0.2">
      <c r="A663" s="95"/>
      <c r="B663" s="95"/>
      <c r="C663" s="94"/>
      <c r="D663" s="185"/>
      <c r="E663" s="95"/>
      <c r="F663" s="95"/>
      <c r="G663" s="94"/>
      <c r="H663" s="185"/>
      <c r="I663" s="95"/>
      <c r="J663" s="95"/>
      <c r="K663" s="94"/>
      <c r="L663" s="191"/>
    </row>
    <row r="664" spans="1:12" ht="12.75" x14ac:dyDescent="0.2">
      <c r="A664" s="95"/>
      <c r="B664" s="95"/>
      <c r="C664" s="94"/>
      <c r="D664" s="185"/>
      <c r="E664" s="95"/>
      <c r="F664" s="95"/>
      <c r="G664" s="94"/>
      <c r="H664" s="185"/>
      <c r="I664" s="95"/>
      <c r="J664" s="95"/>
      <c r="K664" s="94"/>
      <c r="L664" s="191"/>
    </row>
    <row r="665" spans="1:12" ht="12.75" x14ac:dyDescent="0.2">
      <c r="A665" s="95"/>
      <c r="B665" s="95"/>
      <c r="C665" s="94"/>
      <c r="D665" s="185"/>
      <c r="E665" s="95"/>
      <c r="F665" s="95"/>
      <c r="G665" s="94"/>
      <c r="H665" s="185"/>
      <c r="I665" s="95"/>
      <c r="J665" s="95"/>
      <c r="K665" s="94"/>
      <c r="L665" s="191"/>
    </row>
    <row r="666" spans="1:12" ht="12.75" x14ac:dyDescent="0.2">
      <c r="A666" s="95"/>
      <c r="B666" s="95"/>
      <c r="C666" s="94"/>
      <c r="D666" s="185"/>
      <c r="E666" s="95"/>
      <c r="F666" s="95"/>
      <c r="G666" s="94"/>
      <c r="H666" s="185"/>
      <c r="I666" s="95"/>
      <c r="J666" s="95"/>
      <c r="K666" s="94"/>
      <c r="L666" s="191"/>
    </row>
    <row r="667" spans="1:12" ht="12.75" x14ac:dyDescent="0.2">
      <c r="A667" s="95"/>
      <c r="B667" s="95"/>
      <c r="C667" s="94"/>
      <c r="D667" s="185"/>
      <c r="E667" s="95"/>
      <c r="F667" s="95"/>
      <c r="G667" s="94"/>
      <c r="H667" s="185"/>
      <c r="I667" s="95"/>
      <c r="J667" s="95"/>
      <c r="K667" s="94"/>
      <c r="L667" s="191"/>
    </row>
    <row r="668" spans="1:12" ht="12.75" x14ac:dyDescent="0.2">
      <c r="A668" s="95"/>
      <c r="B668" s="95"/>
      <c r="C668" s="94"/>
      <c r="D668" s="185"/>
      <c r="E668" s="95"/>
      <c r="F668" s="95"/>
      <c r="G668" s="94"/>
      <c r="H668" s="185"/>
      <c r="I668" s="95"/>
      <c r="J668" s="95"/>
      <c r="K668" s="94"/>
      <c r="L668" s="191"/>
    </row>
    <row r="669" spans="1:12" ht="12.75" x14ac:dyDescent="0.2">
      <c r="A669" s="95"/>
      <c r="B669" s="95"/>
      <c r="C669" s="94"/>
      <c r="D669" s="185"/>
      <c r="E669" s="95"/>
      <c r="F669" s="95"/>
      <c r="G669" s="94"/>
      <c r="H669" s="185"/>
      <c r="I669" s="95"/>
      <c r="J669" s="95"/>
      <c r="K669" s="94"/>
      <c r="L669" s="191"/>
    </row>
    <row r="670" spans="1:12" ht="12.75" x14ac:dyDescent="0.2">
      <c r="A670" s="95"/>
      <c r="B670" s="95"/>
      <c r="C670" s="94"/>
      <c r="D670" s="185"/>
      <c r="E670" s="95"/>
      <c r="F670" s="95"/>
      <c r="G670" s="94"/>
      <c r="H670" s="185"/>
      <c r="I670" s="95"/>
      <c r="J670" s="95"/>
      <c r="K670" s="94"/>
      <c r="L670" s="191"/>
    </row>
    <row r="671" spans="1:12" ht="12.75" x14ac:dyDescent="0.2">
      <c r="A671" s="95"/>
      <c r="B671" s="95"/>
      <c r="C671" s="94"/>
      <c r="D671" s="185"/>
      <c r="E671" s="95"/>
      <c r="F671" s="95"/>
      <c r="G671" s="94"/>
      <c r="H671" s="185"/>
      <c r="I671" s="95"/>
      <c r="J671" s="95"/>
      <c r="K671" s="94"/>
      <c r="L671" s="191"/>
    </row>
    <row r="672" spans="1:12" ht="12.75" x14ac:dyDescent="0.2">
      <c r="A672" s="95"/>
      <c r="B672" s="95"/>
      <c r="C672" s="94"/>
      <c r="D672" s="185"/>
      <c r="E672" s="95"/>
      <c r="F672" s="95"/>
      <c r="G672" s="94"/>
      <c r="H672" s="185"/>
      <c r="I672" s="95"/>
      <c r="J672" s="95"/>
      <c r="K672" s="94"/>
      <c r="L672" s="191"/>
    </row>
    <row r="673" spans="1:12" ht="12.75" x14ac:dyDescent="0.2">
      <c r="A673" s="95"/>
      <c r="B673" s="95"/>
      <c r="C673" s="94"/>
      <c r="D673" s="185"/>
      <c r="E673" s="95"/>
      <c r="F673" s="95"/>
      <c r="G673" s="94"/>
      <c r="H673" s="185"/>
      <c r="I673" s="95"/>
      <c r="J673" s="95"/>
      <c r="K673" s="94"/>
      <c r="L673" s="191"/>
    </row>
    <row r="674" spans="1:12" ht="12.75" x14ac:dyDescent="0.2">
      <c r="A674" s="95"/>
      <c r="B674" s="95"/>
      <c r="C674" s="94"/>
      <c r="D674" s="185"/>
      <c r="E674" s="95"/>
      <c r="F674" s="95"/>
      <c r="G674" s="94"/>
      <c r="H674" s="185"/>
      <c r="I674" s="95"/>
      <c r="J674" s="95"/>
      <c r="K674" s="94"/>
      <c r="L674" s="191"/>
    </row>
    <row r="675" spans="1:12" ht="12.75" x14ac:dyDescent="0.2">
      <c r="A675" s="95"/>
      <c r="B675" s="95"/>
      <c r="C675" s="94"/>
      <c r="D675" s="185"/>
      <c r="E675" s="95"/>
      <c r="F675" s="95"/>
      <c r="G675" s="94"/>
      <c r="H675" s="185"/>
      <c r="I675" s="95"/>
      <c r="J675" s="95"/>
      <c r="K675" s="94"/>
      <c r="L675" s="191"/>
    </row>
    <row r="676" spans="1:12" ht="12.75" x14ac:dyDescent="0.2">
      <c r="A676" s="95"/>
      <c r="B676" s="95"/>
      <c r="C676" s="94"/>
      <c r="D676" s="185"/>
      <c r="E676" s="95"/>
      <c r="F676" s="95"/>
      <c r="G676" s="94"/>
      <c r="H676" s="185"/>
      <c r="I676" s="95"/>
      <c r="J676" s="95"/>
      <c r="K676" s="94"/>
      <c r="L676" s="191"/>
    </row>
    <row r="677" spans="1:12" ht="12.75" x14ac:dyDescent="0.2">
      <c r="A677" s="95"/>
      <c r="B677" s="95"/>
      <c r="C677" s="94"/>
      <c r="D677" s="185"/>
      <c r="E677" s="95"/>
      <c r="F677" s="95"/>
      <c r="G677" s="94"/>
      <c r="H677" s="185"/>
      <c r="I677" s="95"/>
      <c r="J677" s="95"/>
      <c r="K677" s="94"/>
      <c r="L677" s="191"/>
    </row>
    <row r="678" spans="1:12" ht="12.75" x14ac:dyDescent="0.2">
      <c r="A678" s="95"/>
      <c r="B678" s="95"/>
      <c r="C678" s="94"/>
      <c r="D678" s="185"/>
      <c r="E678" s="95"/>
      <c r="F678" s="95"/>
      <c r="G678" s="94"/>
      <c r="H678" s="185"/>
      <c r="I678" s="95"/>
      <c r="J678" s="95"/>
      <c r="K678" s="94"/>
      <c r="L678" s="191"/>
    </row>
    <row r="679" spans="1:12" ht="12.75" x14ac:dyDescent="0.2">
      <c r="A679" s="95"/>
      <c r="B679" s="95"/>
      <c r="C679" s="94"/>
      <c r="D679" s="185"/>
      <c r="E679" s="95"/>
      <c r="F679" s="95"/>
      <c r="G679" s="94"/>
      <c r="H679" s="185"/>
      <c r="I679" s="95"/>
      <c r="J679" s="95"/>
      <c r="K679" s="94"/>
      <c r="L679" s="191"/>
    </row>
    <row r="680" spans="1:12" ht="12.75" x14ac:dyDescent="0.2">
      <c r="A680" s="95"/>
      <c r="B680" s="95"/>
      <c r="C680" s="94"/>
      <c r="D680" s="185"/>
      <c r="E680" s="95"/>
      <c r="F680" s="95"/>
      <c r="G680" s="94"/>
      <c r="H680" s="185"/>
      <c r="I680" s="95"/>
      <c r="J680" s="95"/>
      <c r="K680" s="94"/>
      <c r="L680" s="191"/>
    </row>
    <row r="681" spans="1:12" ht="12.75" x14ac:dyDescent="0.2">
      <c r="A681" s="95"/>
      <c r="B681" s="95"/>
      <c r="C681" s="94"/>
      <c r="D681" s="185"/>
      <c r="E681" s="95"/>
      <c r="F681" s="95"/>
      <c r="G681" s="94"/>
      <c r="H681" s="185"/>
      <c r="I681" s="95"/>
      <c r="J681" s="95"/>
      <c r="K681" s="94"/>
      <c r="L681" s="191"/>
    </row>
    <row r="682" spans="1:12" ht="12.75" x14ac:dyDescent="0.2">
      <c r="A682" s="95"/>
      <c r="B682" s="95"/>
      <c r="C682" s="94"/>
      <c r="D682" s="185"/>
      <c r="E682" s="95"/>
      <c r="F682" s="95"/>
      <c r="G682" s="94"/>
      <c r="H682" s="185"/>
      <c r="I682" s="95"/>
      <c r="J682" s="95"/>
      <c r="K682" s="94"/>
      <c r="L682" s="191"/>
    </row>
    <row r="683" spans="1:12" ht="12.75" x14ac:dyDescent="0.2">
      <c r="A683" s="95"/>
      <c r="B683" s="95"/>
      <c r="C683" s="94"/>
      <c r="D683" s="185"/>
      <c r="E683" s="95"/>
      <c r="F683" s="95"/>
      <c r="G683" s="94"/>
      <c r="H683" s="185"/>
      <c r="I683" s="95"/>
      <c r="J683" s="95"/>
      <c r="K683" s="94"/>
      <c r="L683" s="191"/>
    </row>
    <row r="684" spans="1:12" ht="12.75" x14ac:dyDescent="0.2">
      <c r="A684" s="95"/>
      <c r="B684" s="95"/>
      <c r="C684" s="94"/>
      <c r="D684" s="185"/>
      <c r="E684" s="95"/>
      <c r="F684" s="95"/>
      <c r="G684" s="94"/>
      <c r="H684" s="185"/>
      <c r="I684" s="95"/>
      <c r="J684" s="95"/>
      <c r="K684" s="94"/>
      <c r="L684" s="191"/>
    </row>
    <row r="685" spans="1:12" ht="12.75" x14ac:dyDescent="0.2">
      <c r="A685" s="95"/>
      <c r="B685" s="95"/>
      <c r="C685" s="94"/>
      <c r="D685" s="185"/>
      <c r="E685" s="95"/>
      <c r="F685" s="95"/>
      <c r="G685" s="94"/>
      <c r="H685" s="185"/>
      <c r="I685" s="95"/>
      <c r="J685" s="95"/>
      <c r="K685" s="94"/>
      <c r="L685" s="191"/>
    </row>
    <row r="686" spans="1:12" ht="12.75" x14ac:dyDescent="0.2">
      <c r="A686" s="95"/>
      <c r="B686" s="95"/>
      <c r="C686" s="94"/>
      <c r="D686" s="185"/>
      <c r="E686" s="95"/>
      <c r="F686" s="95"/>
      <c r="G686" s="94"/>
      <c r="H686" s="185"/>
      <c r="I686" s="95"/>
      <c r="J686" s="95"/>
      <c r="K686" s="94"/>
      <c r="L686" s="191"/>
    </row>
    <row r="687" spans="1:12" ht="12.75" x14ac:dyDescent="0.2">
      <c r="A687" s="95"/>
      <c r="B687" s="95"/>
      <c r="C687" s="94"/>
      <c r="D687" s="185"/>
      <c r="E687" s="95"/>
      <c r="F687" s="95"/>
      <c r="G687" s="94"/>
      <c r="H687" s="185"/>
      <c r="I687" s="95"/>
      <c r="J687" s="95"/>
      <c r="K687" s="94"/>
      <c r="L687" s="191"/>
    </row>
    <row r="688" spans="1:12" ht="12.75" x14ac:dyDescent="0.2">
      <c r="A688" s="95"/>
      <c r="B688" s="95"/>
      <c r="C688" s="94"/>
      <c r="D688" s="185"/>
      <c r="E688" s="95"/>
      <c r="F688" s="95"/>
      <c r="G688" s="94"/>
      <c r="H688" s="185"/>
      <c r="I688" s="95"/>
      <c r="J688" s="95"/>
      <c r="K688" s="94"/>
      <c r="L688" s="191"/>
    </row>
    <row r="689" spans="1:12" ht="12.75" x14ac:dyDescent="0.2">
      <c r="A689" s="95"/>
      <c r="B689" s="95"/>
      <c r="C689" s="94"/>
      <c r="D689" s="185"/>
      <c r="E689" s="95"/>
      <c r="F689" s="95"/>
      <c r="G689" s="94"/>
      <c r="H689" s="185"/>
      <c r="I689" s="95"/>
      <c r="J689" s="95"/>
      <c r="K689" s="94"/>
      <c r="L689" s="191"/>
    </row>
    <row r="690" spans="1:12" ht="12.75" x14ac:dyDescent="0.2">
      <c r="A690" s="95"/>
      <c r="B690" s="95"/>
      <c r="C690" s="94"/>
      <c r="D690" s="185"/>
      <c r="E690" s="95"/>
      <c r="F690" s="95"/>
      <c r="G690" s="94"/>
      <c r="H690" s="185"/>
      <c r="I690" s="95"/>
      <c r="J690" s="95"/>
      <c r="K690" s="94"/>
      <c r="L690" s="191"/>
    </row>
    <row r="691" spans="1:12" ht="12.75" x14ac:dyDescent="0.2">
      <c r="A691" s="95"/>
      <c r="B691" s="95"/>
      <c r="C691" s="94"/>
      <c r="D691" s="185"/>
      <c r="E691" s="95"/>
      <c r="F691" s="95"/>
      <c r="G691" s="94"/>
      <c r="H691" s="185"/>
      <c r="I691" s="95"/>
      <c r="J691" s="95"/>
      <c r="K691" s="94"/>
      <c r="L691" s="191"/>
    </row>
    <row r="692" spans="1:12" ht="12.75" x14ac:dyDescent="0.2">
      <c r="A692" s="95"/>
      <c r="B692" s="95"/>
      <c r="C692" s="94"/>
      <c r="D692" s="185"/>
      <c r="E692" s="95"/>
      <c r="F692" s="95"/>
      <c r="G692" s="94"/>
      <c r="H692" s="185"/>
      <c r="I692" s="95"/>
      <c r="J692" s="95"/>
      <c r="K692" s="94"/>
      <c r="L692" s="191"/>
    </row>
    <row r="693" spans="1:12" ht="12.75" x14ac:dyDescent="0.2">
      <c r="A693" s="95"/>
      <c r="B693" s="95"/>
      <c r="C693" s="94"/>
      <c r="D693" s="185"/>
      <c r="E693" s="95"/>
      <c r="F693" s="95"/>
      <c r="G693" s="94"/>
      <c r="H693" s="185"/>
      <c r="I693" s="95"/>
      <c r="J693" s="95"/>
      <c r="K693" s="94"/>
      <c r="L693" s="191"/>
    </row>
    <row r="694" spans="1:12" ht="12.75" x14ac:dyDescent="0.2">
      <c r="A694" s="95"/>
      <c r="B694" s="95"/>
      <c r="C694" s="94"/>
      <c r="D694" s="185"/>
      <c r="E694" s="95"/>
      <c r="F694" s="95"/>
      <c r="G694" s="94"/>
      <c r="H694" s="185"/>
      <c r="I694" s="95"/>
      <c r="J694" s="95"/>
      <c r="K694" s="94"/>
      <c r="L694" s="191"/>
    </row>
    <row r="695" spans="1:12" ht="12.75" x14ac:dyDescent="0.2">
      <c r="A695" s="95"/>
      <c r="B695" s="95"/>
      <c r="C695" s="94"/>
      <c r="D695" s="185"/>
      <c r="E695" s="95"/>
      <c r="F695" s="95"/>
      <c r="G695" s="94"/>
      <c r="H695" s="185"/>
      <c r="I695" s="95"/>
      <c r="J695" s="95"/>
      <c r="K695" s="94"/>
      <c r="L695" s="191"/>
    </row>
    <row r="696" spans="1:12" ht="12.75" x14ac:dyDescent="0.2">
      <c r="A696" s="95"/>
      <c r="B696" s="95"/>
      <c r="C696" s="94"/>
      <c r="D696" s="185"/>
      <c r="E696" s="95"/>
      <c r="F696" s="95"/>
      <c r="G696" s="94"/>
      <c r="H696" s="185"/>
      <c r="I696" s="95"/>
      <c r="J696" s="95"/>
      <c r="K696" s="94"/>
      <c r="L696" s="191"/>
    </row>
    <row r="697" spans="1:12" ht="12.75" x14ac:dyDescent="0.2">
      <c r="A697" s="95"/>
      <c r="B697" s="95"/>
      <c r="C697" s="94"/>
      <c r="D697" s="185"/>
      <c r="E697" s="95"/>
      <c r="F697" s="95"/>
      <c r="G697" s="94"/>
      <c r="H697" s="185"/>
      <c r="I697" s="95"/>
      <c r="J697" s="95"/>
      <c r="K697" s="94"/>
      <c r="L697" s="191"/>
    </row>
    <row r="698" spans="1:12" ht="12.75" x14ac:dyDescent="0.2">
      <c r="A698" s="95"/>
      <c r="B698" s="95"/>
      <c r="C698" s="94"/>
      <c r="D698" s="185"/>
      <c r="E698" s="95"/>
      <c r="F698" s="95"/>
      <c r="G698" s="94"/>
      <c r="H698" s="185"/>
      <c r="I698" s="95"/>
      <c r="J698" s="95"/>
      <c r="K698" s="94"/>
      <c r="L698" s="191"/>
    </row>
    <row r="699" spans="1:12" ht="12.75" x14ac:dyDescent="0.2">
      <c r="A699" s="95"/>
      <c r="B699" s="95"/>
      <c r="C699" s="94"/>
      <c r="D699" s="185"/>
      <c r="E699" s="95"/>
      <c r="F699" s="95"/>
      <c r="G699" s="94"/>
      <c r="H699" s="185"/>
      <c r="I699" s="95"/>
      <c r="J699" s="95"/>
      <c r="K699" s="94"/>
      <c r="L699" s="191"/>
    </row>
    <row r="700" spans="1:12" ht="12.75" x14ac:dyDescent="0.2">
      <c r="A700" s="95"/>
      <c r="B700" s="95"/>
      <c r="C700" s="94"/>
      <c r="D700" s="185"/>
      <c r="E700" s="95"/>
      <c r="F700" s="95"/>
      <c r="G700" s="94"/>
      <c r="H700" s="185"/>
      <c r="I700" s="95"/>
      <c r="J700" s="95"/>
      <c r="K700" s="94"/>
      <c r="L700" s="191"/>
    </row>
    <row r="701" spans="1:12" ht="12.75" x14ac:dyDescent="0.2">
      <c r="A701" s="95"/>
      <c r="B701" s="95"/>
      <c r="C701" s="94"/>
      <c r="D701" s="185"/>
      <c r="E701" s="95"/>
      <c r="F701" s="95"/>
      <c r="G701" s="94"/>
      <c r="H701" s="185"/>
      <c r="I701" s="95"/>
      <c r="J701" s="95"/>
      <c r="K701" s="94"/>
      <c r="L701" s="191"/>
    </row>
    <row r="702" spans="1:12" ht="12.75" x14ac:dyDescent="0.2">
      <c r="A702" s="95"/>
      <c r="B702" s="95"/>
      <c r="C702" s="94"/>
      <c r="D702" s="185"/>
      <c r="E702" s="95"/>
      <c r="F702" s="95"/>
      <c r="G702" s="94"/>
      <c r="H702" s="185"/>
      <c r="I702" s="95"/>
      <c r="J702" s="95"/>
      <c r="K702" s="94"/>
      <c r="L702" s="191"/>
    </row>
    <row r="703" spans="1:12" ht="12.75" x14ac:dyDescent="0.2">
      <c r="A703" s="95"/>
      <c r="B703" s="95"/>
      <c r="C703" s="94"/>
      <c r="D703" s="185"/>
      <c r="E703" s="95"/>
      <c r="F703" s="95"/>
      <c r="G703" s="94"/>
      <c r="H703" s="185"/>
      <c r="I703" s="95"/>
      <c r="J703" s="95"/>
      <c r="K703" s="94"/>
      <c r="L703" s="191"/>
    </row>
    <row r="704" spans="1:12" ht="12.75" x14ac:dyDescent="0.2">
      <c r="A704" s="95"/>
      <c r="B704" s="95"/>
      <c r="C704" s="94"/>
      <c r="D704" s="185"/>
      <c r="E704" s="95"/>
      <c r="F704" s="95"/>
      <c r="G704" s="94"/>
      <c r="H704" s="185"/>
      <c r="I704" s="95"/>
      <c r="J704" s="95"/>
      <c r="K704" s="94"/>
      <c r="L704" s="191"/>
    </row>
    <row r="705" spans="1:12" ht="12.75" x14ac:dyDescent="0.2">
      <c r="A705" s="95"/>
      <c r="B705" s="95"/>
      <c r="C705" s="94"/>
      <c r="D705" s="185"/>
      <c r="E705" s="95"/>
      <c r="F705" s="95"/>
      <c r="G705" s="94"/>
      <c r="H705" s="185"/>
      <c r="I705" s="95"/>
      <c r="J705" s="95"/>
      <c r="K705" s="94"/>
      <c r="L705" s="191"/>
    </row>
    <row r="706" spans="1:12" ht="12.75" x14ac:dyDescent="0.2">
      <c r="A706" s="95"/>
      <c r="B706" s="95"/>
      <c r="C706" s="94"/>
      <c r="D706" s="185"/>
      <c r="E706" s="95"/>
      <c r="F706" s="95"/>
      <c r="G706" s="94"/>
      <c r="H706" s="185"/>
      <c r="I706" s="95"/>
      <c r="J706" s="95"/>
      <c r="K706" s="94"/>
      <c r="L706" s="191"/>
    </row>
    <row r="707" spans="1:12" ht="12.75" x14ac:dyDescent="0.2">
      <c r="A707" s="95"/>
      <c r="B707" s="95"/>
      <c r="C707" s="94"/>
      <c r="D707" s="185"/>
      <c r="E707" s="95"/>
      <c r="F707" s="95"/>
      <c r="G707" s="94"/>
      <c r="H707" s="185"/>
      <c r="I707" s="95"/>
      <c r="J707" s="95"/>
      <c r="K707" s="94"/>
      <c r="L707" s="191"/>
    </row>
    <row r="708" spans="1:12" ht="12.75" x14ac:dyDescent="0.2">
      <c r="A708" s="95"/>
      <c r="B708" s="95"/>
      <c r="C708" s="94"/>
      <c r="D708" s="185"/>
      <c r="E708" s="95"/>
      <c r="F708" s="95"/>
      <c r="G708" s="94"/>
      <c r="H708" s="185"/>
      <c r="I708" s="95"/>
      <c r="J708" s="95"/>
      <c r="K708" s="94"/>
      <c r="L708" s="191"/>
    </row>
    <row r="709" spans="1:12" ht="12.75" x14ac:dyDescent="0.2">
      <c r="A709" s="95"/>
      <c r="B709" s="95"/>
      <c r="C709" s="94"/>
      <c r="D709" s="185"/>
      <c r="E709" s="95"/>
      <c r="F709" s="95"/>
      <c r="G709" s="94"/>
      <c r="H709" s="185"/>
      <c r="I709" s="95"/>
      <c r="J709" s="95"/>
      <c r="K709" s="94"/>
      <c r="L709" s="191"/>
    </row>
    <row r="710" spans="1:12" ht="12.75" x14ac:dyDescent="0.2">
      <c r="A710" s="95"/>
      <c r="B710" s="95"/>
      <c r="C710" s="94"/>
      <c r="D710" s="185"/>
      <c r="E710" s="95"/>
      <c r="F710" s="95"/>
      <c r="G710" s="94"/>
      <c r="H710" s="185"/>
      <c r="I710" s="95"/>
      <c r="J710" s="95"/>
      <c r="K710" s="94"/>
      <c r="L710" s="191"/>
    </row>
    <row r="711" spans="1:12" ht="12.75" x14ac:dyDescent="0.2">
      <c r="A711" s="95"/>
      <c r="B711" s="95"/>
      <c r="C711" s="94"/>
      <c r="D711" s="185"/>
      <c r="E711" s="95"/>
      <c r="F711" s="95"/>
      <c r="G711" s="94"/>
      <c r="H711" s="185"/>
      <c r="I711" s="95"/>
      <c r="J711" s="95"/>
      <c r="K711" s="94"/>
      <c r="L711" s="191"/>
    </row>
    <row r="712" spans="1:12" ht="12.75" x14ac:dyDescent="0.2">
      <c r="A712" s="95"/>
      <c r="B712" s="95"/>
      <c r="C712" s="94"/>
      <c r="D712" s="185"/>
      <c r="E712" s="95"/>
      <c r="F712" s="95"/>
      <c r="G712" s="94"/>
      <c r="H712" s="185"/>
      <c r="I712" s="95"/>
      <c r="J712" s="95"/>
      <c r="K712" s="94"/>
      <c r="L712" s="191"/>
    </row>
    <row r="713" spans="1:12" ht="12.75" x14ac:dyDescent="0.2">
      <c r="A713" s="95"/>
      <c r="B713" s="95"/>
      <c r="C713" s="94"/>
      <c r="D713" s="185"/>
      <c r="E713" s="95"/>
      <c r="F713" s="95"/>
      <c r="G713" s="94"/>
      <c r="H713" s="185"/>
      <c r="I713" s="95"/>
      <c r="J713" s="95"/>
      <c r="K713" s="94"/>
      <c r="L713" s="191"/>
    </row>
    <row r="714" spans="1:12" ht="12.75" x14ac:dyDescent="0.2">
      <c r="A714" s="95"/>
      <c r="B714" s="95"/>
      <c r="C714" s="94"/>
      <c r="D714" s="185"/>
      <c r="E714" s="95"/>
      <c r="F714" s="95"/>
      <c r="G714" s="94"/>
      <c r="H714" s="185"/>
      <c r="I714" s="95"/>
      <c r="J714" s="95"/>
      <c r="K714" s="94"/>
      <c r="L714" s="191"/>
    </row>
    <row r="715" spans="1:12" ht="12.75" x14ac:dyDescent="0.2">
      <c r="A715" s="95"/>
      <c r="B715" s="95"/>
      <c r="C715" s="94"/>
      <c r="D715" s="185"/>
      <c r="E715" s="95"/>
      <c r="F715" s="95"/>
      <c r="G715" s="94"/>
      <c r="H715" s="185"/>
      <c r="I715" s="95"/>
      <c r="J715" s="95"/>
      <c r="K715" s="94"/>
      <c r="L715" s="191"/>
    </row>
    <row r="716" spans="1:12" ht="12.75" x14ac:dyDescent="0.2">
      <c r="A716" s="95"/>
      <c r="B716" s="95"/>
      <c r="C716" s="94"/>
      <c r="D716" s="185"/>
      <c r="E716" s="95"/>
      <c r="F716" s="95"/>
      <c r="G716" s="94"/>
      <c r="H716" s="185"/>
      <c r="I716" s="95"/>
      <c r="J716" s="95"/>
      <c r="K716" s="94"/>
      <c r="L716" s="191"/>
    </row>
    <row r="717" spans="1:12" ht="12.75" x14ac:dyDescent="0.2">
      <c r="A717" s="95"/>
      <c r="B717" s="95"/>
      <c r="C717" s="94"/>
      <c r="D717" s="185"/>
      <c r="E717" s="95"/>
      <c r="F717" s="95"/>
      <c r="G717" s="94"/>
      <c r="H717" s="185"/>
      <c r="I717" s="95"/>
      <c r="J717" s="95"/>
      <c r="K717" s="94"/>
      <c r="L717" s="191"/>
    </row>
    <row r="718" spans="1:12" ht="12.75" x14ac:dyDescent="0.2">
      <c r="A718" s="95"/>
      <c r="B718" s="95"/>
      <c r="C718" s="94"/>
      <c r="D718" s="185"/>
      <c r="E718" s="95"/>
      <c r="F718" s="95"/>
      <c r="G718" s="94"/>
      <c r="H718" s="185"/>
      <c r="I718" s="95"/>
      <c r="J718" s="95"/>
      <c r="K718" s="94"/>
      <c r="L718" s="191"/>
    </row>
    <row r="719" spans="1:12" ht="12.75" x14ac:dyDescent="0.2">
      <c r="A719" s="95"/>
      <c r="B719" s="95"/>
      <c r="C719" s="94"/>
      <c r="D719" s="185"/>
      <c r="E719" s="95"/>
      <c r="F719" s="95"/>
      <c r="G719" s="94"/>
      <c r="H719" s="185"/>
      <c r="I719" s="95"/>
      <c r="J719" s="95"/>
      <c r="K719" s="94"/>
      <c r="L719" s="191"/>
    </row>
    <row r="720" spans="1:12" ht="12.75" x14ac:dyDescent="0.2">
      <c r="A720" s="95"/>
      <c r="B720" s="95"/>
      <c r="C720" s="94"/>
      <c r="D720" s="185"/>
      <c r="E720" s="95"/>
      <c r="F720" s="95"/>
      <c r="G720" s="94"/>
      <c r="H720" s="185"/>
      <c r="I720" s="95"/>
      <c r="J720" s="95"/>
      <c r="K720" s="94"/>
      <c r="L720" s="191"/>
    </row>
    <row r="721" spans="1:12" ht="12.75" x14ac:dyDescent="0.2">
      <c r="A721" s="95"/>
      <c r="B721" s="95"/>
      <c r="C721" s="94"/>
      <c r="D721" s="185"/>
      <c r="E721" s="95"/>
      <c r="F721" s="95"/>
      <c r="G721" s="94"/>
      <c r="H721" s="185"/>
      <c r="I721" s="95"/>
      <c r="J721" s="95"/>
      <c r="K721" s="94"/>
      <c r="L721" s="191"/>
    </row>
    <row r="722" spans="1:12" ht="12.75" x14ac:dyDescent="0.2">
      <c r="A722" s="95"/>
      <c r="B722" s="95"/>
      <c r="C722" s="94"/>
      <c r="D722" s="185"/>
      <c r="E722" s="95"/>
      <c r="F722" s="95"/>
      <c r="G722" s="94"/>
      <c r="H722" s="185"/>
      <c r="I722" s="95"/>
      <c r="J722" s="95"/>
      <c r="K722" s="94"/>
      <c r="L722" s="191"/>
    </row>
    <row r="723" spans="1:12" ht="12.75" x14ac:dyDescent="0.2">
      <c r="A723" s="95"/>
      <c r="B723" s="95"/>
      <c r="C723" s="94"/>
      <c r="D723" s="185"/>
      <c r="E723" s="95"/>
      <c r="F723" s="95"/>
      <c r="G723" s="94"/>
      <c r="H723" s="185"/>
      <c r="I723" s="95"/>
      <c r="J723" s="95"/>
      <c r="K723" s="94"/>
      <c r="L723" s="191"/>
    </row>
    <row r="724" spans="1:12" ht="12.75" x14ac:dyDescent="0.2">
      <c r="A724" s="95"/>
      <c r="B724" s="95"/>
      <c r="C724" s="94"/>
      <c r="D724" s="185"/>
      <c r="E724" s="95"/>
      <c r="F724" s="95"/>
      <c r="G724" s="94"/>
      <c r="H724" s="185"/>
      <c r="I724" s="95"/>
      <c r="J724" s="95"/>
      <c r="K724" s="94"/>
      <c r="L724" s="191"/>
    </row>
    <row r="725" spans="1:12" ht="12.75" x14ac:dyDescent="0.2">
      <c r="A725" s="95"/>
      <c r="B725" s="95"/>
      <c r="C725" s="94"/>
      <c r="D725" s="185"/>
      <c r="E725" s="95"/>
      <c r="F725" s="95"/>
      <c r="G725" s="94"/>
      <c r="H725" s="185"/>
      <c r="I725" s="95"/>
      <c r="J725" s="95"/>
      <c r="K725" s="94"/>
      <c r="L725" s="191"/>
    </row>
    <row r="726" spans="1:12" ht="12.75" x14ac:dyDescent="0.2">
      <c r="A726" s="95"/>
      <c r="B726" s="95"/>
      <c r="C726" s="94"/>
      <c r="D726" s="185"/>
      <c r="E726" s="95"/>
      <c r="F726" s="95"/>
      <c r="G726" s="94"/>
      <c r="H726" s="185"/>
      <c r="I726" s="95"/>
      <c r="J726" s="95"/>
      <c r="K726" s="94"/>
      <c r="L726" s="191"/>
    </row>
    <row r="727" spans="1:12" ht="12.75" x14ac:dyDescent="0.2">
      <c r="A727" s="95"/>
      <c r="B727" s="95"/>
      <c r="C727" s="94"/>
      <c r="D727" s="185"/>
      <c r="E727" s="95"/>
      <c r="F727" s="95"/>
      <c r="G727" s="94"/>
      <c r="H727" s="185"/>
      <c r="I727" s="95"/>
      <c r="J727" s="95"/>
      <c r="K727" s="94"/>
      <c r="L727" s="191"/>
    </row>
    <row r="728" spans="1:12" ht="12.75" x14ac:dyDescent="0.2">
      <c r="A728" s="95"/>
      <c r="B728" s="95"/>
      <c r="C728" s="94"/>
      <c r="D728" s="185"/>
      <c r="E728" s="95"/>
      <c r="F728" s="95"/>
      <c r="G728" s="94"/>
      <c r="H728" s="185"/>
      <c r="I728" s="95"/>
      <c r="J728" s="95"/>
      <c r="K728" s="94"/>
      <c r="L728" s="191"/>
    </row>
    <row r="729" spans="1:12" ht="12.75" x14ac:dyDescent="0.2">
      <c r="A729" s="95"/>
      <c r="B729" s="95"/>
      <c r="C729" s="94"/>
      <c r="D729" s="185"/>
      <c r="E729" s="95"/>
      <c r="F729" s="95"/>
      <c r="G729" s="94"/>
      <c r="H729" s="185"/>
      <c r="I729" s="95"/>
      <c r="J729" s="95"/>
      <c r="K729" s="94"/>
      <c r="L729" s="191"/>
    </row>
    <row r="730" spans="1:12" ht="12.75" x14ac:dyDescent="0.2">
      <c r="A730" s="95"/>
      <c r="B730" s="95"/>
      <c r="C730" s="94"/>
      <c r="D730" s="185"/>
      <c r="E730" s="95"/>
      <c r="F730" s="95"/>
      <c r="G730" s="94"/>
      <c r="H730" s="185"/>
      <c r="I730" s="95"/>
      <c r="J730" s="95"/>
      <c r="K730" s="94"/>
      <c r="L730" s="191"/>
    </row>
    <row r="731" spans="1:12" ht="12.75" x14ac:dyDescent="0.2">
      <c r="A731" s="95"/>
      <c r="B731" s="95"/>
      <c r="C731" s="94"/>
      <c r="D731" s="185"/>
      <c r="E731" s="95"/>
      <c r="F731" s="95"/>
      <c r="G731" s="94"/>
      <c r="H731" s="185"/>
      <c r="I731" s="95"/>
      <c r="J731" s="95"/>
      <c r="K731" s="94"/>
      <c r="L731" s="191"/>
    </row>
    <row r="732" spans="1:12" ht="12.75" x14ac:dyDescent="0.2">
      <c r="A732" s="95"/>
      <c r="B732" s="95"/>
      <c r="C732" s="94"/>
      <c r="D732" s="185"/>
      <c r="E732" s="95"/>
      <c r="F732" s="95"/>
      <c r="G732" s="94"/>
      <c r="H732" s="185"/>
      <c r="I732" s="95"/>
      <c r="J732" s="95"/>
      <c r="K732" s="94"/>
      <c r="L732" s="191"/>
    </row>
    <row r="733" spans="1:12" ht="12.75" x14ac:dyDescent="0.2">
      <c r="A733" s="95"/>
      <c r="B733" s="95"/>
      <c r="C733" s="94"/>
      <c r="D733" s="185"/>
      <c r="E733" s="95"/>
      <c r="F733" s="95"/>
      <c r="G733" s="94"/>
      <c r="H733" s="185"/>
      <c r="I733" s="95"/>
      <c r="J733" s="95"/>
      <c r="K733" s="94"/>
      <c r="L733" s="191"/>
    </row>
    <row r="734" spans="1:12" ht="12.75" x14ac:dyDescent="0.2">
      <c r="A734" s="95"/>
      <c r="B734" s="95"/>
      <c r="C734" s="94"/>
      <c r="D734" s="185"/>
      <c r="E734" s="95"/>
      <c r="F734" s="95"/>
      <c r="G734" s="94"/>
      <c r="H734" s="185"/>
      <c r="I734" s="95"/>
      <c r="J734" s="95"/>
      <c r="K734" s="94"/>
      <c r="L734" s="191"/>
    </row>
    <row r="735" spans="1:12" ht="12.75" x14ac:dyDescent="0.2">
      <c r="A735" s="95"/>
      <c r="B735" s="95"/>
      <c r="C735" s="94"/>
      <c r="D735" s="185"/>
      <c r="E735" s="95"/>
      <c r="F735" s="95"/>
      <c r="G735" s="94"/>
      <c r="H735" s="185"/>
      <c r="I735" s="95"/>
      <c r="J735" s="95"/>
      <c r="K735" s="94"/>
      <c r="L735" s="191"/>
    </row>
    <row r="736" spans="1:12" ht="12.75" x14ac:dyDescent="0.2">
      <c r="A736" s="95"/>
      <c r="B736" s="95"/>
      <c r="C736" s="94"/>
      <c r="D736" s="185"/>
      <c r="E736" s="95"/>
      <c r="F736" s="95"/>
      <c r="G736" s="94"/>
      <c r="H736" s="185"/>
      <c r="I736" s="95"/>
      <c r="J736" s="95"/>
      <c r="K736" s="94"/>
      <c r="L736" s="191"/>
    </row>
    <row r="737" spans="1:12" ht="12.75" x14ac:dyDescent="0.2">
      <c r="A737" s="95"/>
      <c r="B737" s="95"/>
      <c r="C737" s="94"/>
      <c r="D737" s="185"/>
      <c r="E737" s="95"/>
      <c r="F737" s="95"/>
      <c r="G737" s="94"/>
      <c r="H737" s="185"/>
      <c r="I737" s="95"/>
      <c r="J737" s="95"/>
      <c r="K737" s="94"/>
      <c r="L737" s="191"/>
    </row>
    <row r="738" spans="1:12" ht="12.75" x14ac:dyDescent="0.2">
      <c r="A738" s="95"/>
      <c r="B738" s="95"/>
      <c r="C738" s="94"/>
      <c r="D738" s="185"/>
      <c r="E738" s="95"/>
      <c r="F738" s="95"/>
      <c r="G738" s="94"/>
      <c r="H738" s="185"/>
      <c r="I738" s="95"/>
      <c r="J738" s="95"/>
      <c r="K738" s="94"/>
      <c r="L738" s="191"/>
    </row>
    <row r="739" spans="1:12" ht="12.75" x14ac:dyDescent="0.2">
      <c r="A739" s="95"/>
      <c r="B739" s="95"/>
      <c r="C739" s="94"/>
      <c r="D739" s="185"/>
      <c r="E739" s="95"/>
      <c r="F739" s="95"/>
      <c r="G739" s="94"/>
      <c r="H739" s="185"/>
      <c r="I739" s="95"/>
      <c r="J739" s="95"/>
      <c r="K739" s="94"/>
      <c r="L739" s="191"/>
    </row>
    <row r="740" spans="1:12" ht="12.75" x14ac:dyDescent="0.2">
      <c r="A740" s="95"/>
      <c r="B740" s="95"/>
      <c r="C740" s="94"/>
      <c r="D740" s="185"/>
      <c r="E740" s="95"/>
      <c r="F740" s="95"/>
      <c r="G740" s="94"/>
      <c r="H740" s="185"/>
      <c r="I740" s="95"/>
      <c r="J740" s="95"/>
      <c r="K740" s="94"/>
      <c r="L740" s="191"/>
    </row>
    <row r="741" spans="1:12" ht="12.75" x14ac:dyDescent="0.2">
      <c r="A741" s="95"/>
      <c r="B741" s="95"/>
      <c r="C741" s="94"/>
      <c r="D741" s="185"/>
      <c r="E741" s="95"/>
      <c r="F741" s="95"/>
      <c r="G741" s="94"/>
      <c r="H741" s="185"/>
      <c r="I741" s="95"/>
      <c r="J741" s="95"/>
      <c r="K741" s="94"/>
      <c r="L741" s="191"/>
    </row>
    <row r="742" spans="1:12" ht="12.75" x14ac:dyDescent="0.2">
      <c r="A742" s="95"/>
      <c r="B742" s="95"/>
      <c r="C742" s="94"/>
      <c r="D742" s="185"/>
      <c r="E742" s="95"/>
      <c r="F742" s="95"/>
      <c r="G742" s="94"/>
      <c r="H742" s="185"/>
      <c r="I742" s="95"/>
      <c r="J742" s="95"/>
      <c r="K742" s="94"/>
      <c r="L742" s="191"/>
    </row>
    <row r="743" spans="1:12" ht="12.75" x14ac:dyDescent="0.2">
      <c r="A743" s="95"/>
      <c r="B743" s="95"/>
      <c r="C743" s="94"/>
      <c r="D743" s="185"/>
      <c r="E743" s="95"/>
      <c r="F743" s="95"/>
      <c r="G743" s="94"/>
      <c r="H743" s="185"/>
      <c r="I743" s="95"/>
      <c r="J743" s="95"/>
      <c r="K743" s="94"/>
      <c r="L743" s="191"/>
    </row>
    <row r="744" spans="1:12" ht="12.75" x14ac:dyDescent="0.2">
      <c r="A744" s="95"/>
      <c r="B744" s="95"/>
      <c r="C744" s="94"/>
      <c r="D744" s="185"/>
      <c r="E744" s="95"/>
      <c r="F744" s="95"/>
      <c r="G744" s="94"/>
      <c r="H744" s="185"/>
      <c r="I744" s="95"/>
      <c r="J744" s="95"/>
      <c r="K744" s="94"/>
      <c r="L744" s="191"/>
    </row>
    <row r="745" spans="1:12" ht="12.75" x14ac:dyDescent="0.2">
      <c r="A745" s="95"/>
      <c r="B745" s="95"/>
      <c r="C745" s="94"/>
      <c r="D745" s="185"/>
      <c r="E745" s="95"/>
      <c r="F745" s="95"/>
      <c r="G745" s="94"/>
      <c r="H745" s="185"/>
      <c r="I745" s="95"/>
      <c r="J745" s="95"/>
      <c r="K745" s="94"/>
      <c r="L745" s="191"/>
    </row>
    <row r="746" spans="1:12" ht="12.75" x14ac:dyDescent="0.2">
      <c r="A746" s="95"/>
      <c r="B746" s="95"/>
      <c r="C746" s="94"/>
      <c r="D746" s="185"/>
      <c r="E746" s="95"/>
      <c r="F746" s="95"/>
      <c r="G746" s="94"/>
      <c r="H746" s="185"/>
      <c r="I746" s="95"/>
      <c r="J746" s="95"/>
      <c r="K746" s="94"/>
      <c r="L746" s="191"/>
    </row>
    <row r="747" spans="1:12" ht="12.75" x14ac:dyDescent="0.2">
      <c r="A747" s="95"/>
      <c r="B747" s="95"/>
      <c r="C747" s="94"/>
      <c r="D747" s="185"/>
      <c r="E747" s="95"/>
      <c r="F747" s="95"/>
      <c r="G747" s="94"/>
      <c r="H747" s="185"/>
      <c r="I747" s="95"/>
      <c r="J747" s="95"/>
      <c r="K747" s="94"/>
      <c r="L747" s="191"/>
    </row>
    <row r="748" spans="1:12" ht="12.75" x14ac:dyDescent="0.2">
      <c r="A748" s="95"/>
      <c r="B748" s="95"/>
      <c r="C748" s="94"/>
      <c r="D748" s="185"/>
      <c r="E748" s="95"/>
      <c r="F748" s="95"/>
      <c r="G748" s="94"/>
      <c r="H748" s="185"/>
      <c r="I748" s="95"/>
      <c r="J748" s="95"/>
      <c r="K748" s="94"/>
      <c r="L748" s="191"/>
    </row>
    <row r="749" spans="1:12" ht="12.75" x14ac:dyDescent="0.2">
      <c r="A749" s="95"/>
      <c r="B749" s="95"/>
      <c r="C749" s="94"/>
      <c r="D749" s="185"/>
      <c r="E749" s="95"/>
      <c r="F749" s="95"/>
      <c r="G749" s="94"/>
      <c r="H749" s="185"/>
      <c r="I749" s="95"/>
      <c r="J749" s="95"/>
      <c r="K749" s="94"/>
      <c r="L749" s="191"/>
    </row>
    <row r="750" spans="1:12" ht="12.75" x14ac:dyDescent="0.2">
      <c r="A750" s="95"/>
      <c r="B750" s="95"/>
      <c r="C750" s="94"/>
      <c r="D750" s="185"/>
      <c r="E750" s="95"/>
      <c r="F750" s="95"/>
      <c r="G750" s="94"/>
      <c r="H750" s="185"/>
      <c r="I750" s="95"/>
      <c r="J750" s="95"/>
      <c r="K750" s="94"/>
      <c r="L750" s="191"/>
    </row>
    <row r="751" spans="1:12" ht="12.75" x14ac:dyDescent="0.2">
      <c r="A751" s="95"/>
      <c r="B751" s="95"/>
      <c r="C751" s="94"/>
      <c r="D751" s="185"/>
      <c r="E751" s="95"/>
      <c r="F751" s="95"/>
      <c r="G751" s="94"/>
      <c r="H751" s="185"/>
      <c r="I751" s="95"/>
      <c r="J751" s="95"/>
      <c r="K751" s="94"/>
      <c r="L751" s="191"/>
    </row>
    <row r="752" spans="1:12" ht="12.75" x14ac:dyDescent="0.2">
      <c r="A752" s="95"/>
      <c r="B752" s="95"/>
      <c r="C752" s="94"/>
      <c r="D752" s="185"/>
      <c r="E752" s="95"/>
      <c r="F752" s="95"/>
      <c r="G752" s="94"/>
      <c r="H752" s="185"/>
      <c r="I752" s="95"/>
      <c r="J752" s="95"/>
      <c r="K752" s="94"/>
      <c r="L752" s="191"/>
    </row>
    <row r="753" spans="1:12" ht="12.75" x14ac:dyDescent="0.2">
      <c r="A753" s="95"/>
      <c r="B753" s="95"/>
      <c r="C753" s="94"/>
      <c r="D753" s="185"/>
      <c r="E753" s="95"/>
      <c r="F753" s="95"/>
      <c r="G753" s="94"/>
      <c r="H753" s="185"/>
      <c r="I753" s="95"/>
      <c r="J753" s="95"/>
      <c r="K753" s="94"/>
      <c r="L753" s="191"/>
    </row>
    <row r="754" spans="1:12" ht="12.75" x14ac:dyDescent="0.2">
      <c r="A754" s="95"/>
      <c r="B754" s="95"/>
      <c r="C754" s="94"/>
      <c r="D754" s="185"/>
      <c r="E754" s="95"/>
      <c r="F754" s="95"/>
      <c r="G754" s="94"/>
      <c r="H754" s="185"/>
      <c r="I754" s="95"/>
      <c r="J754" s="95"/>
      <c r="K754" s="94"/>
      <c r="L754" s="191"/>
    </row>
    <row r="755" spans="1:12" ht="12.75" x14ac:dyDescent="0.2">
      <c r="A755" s="95"/>
      <c r="B755" s="95"/>
      <c r="C755" s="94"/>
      <c r="D755" s="185"/>
      <c r="E755" s="95"/>
      <c r="F755" s="95"/>
      <c r="G755" s="94"/>
      <c r="H755" s="185"/>
      <c r="I755" s="95"/>
      <c r="J755" s="95"/>
      <c r="K755" s="94"/>
      <c r="L755" s="191"/>
    </row>
    <row r="756" spans="1:12" ht="12.75" x14ac:dyDescent="0.2">
      <c r="A756" s="95"/>
      <c r="B756" s="95"/>
      <c r="C756" s="94"/>
      <c r="D756" s="185"/>
      <c r="E756" s="95"/>
      <c r="F756" s="95"/>
      <c r="G756" s="94"/>
      <c r="H756" s="185"/>
      <c r="I756" s="95"/>
      <c r="J756" s="95"/>
      <c r="K756" s="94"/>
      <c r="L756" s="191"/>
    </row>
    <row r="757" spans="1:12" ht="12.75" x14ac:dyDescent="0.2">
      <c r="A757" s="95"/>
      <c r="B757" s="95"/>
      <c r="C757" s="94"/>
      <c r="D757" s="185"/>
      <c r="E757" s="95"/>
      <c r="F757" s="95"/>
      <c r="G757" s="94"/>
      <c r="H757" s="185"/>
      <c r="I757" s="95"/>
      <c r="J757" s="95"/>
      <c r="K757" s="94"/>
      <c r="L757" s="191"/>
    </row>
    <row r="758" spans="1:12" ht="12.75" x14ac:dyDescent="0.2">
      <c r="A758" s="95"/>
      <c r="B758" s="95"/>
      <c r="C758" s="94"/>
      <c r="D758" s="185"/>
      <c r="E758" s="95"/>
      <c r="F758" s="95"/>
      <c r="G758" s="94"/>
      <c r="H758" s="185"/>
      <c r="I758" s="95"/>
      <c r="J758" s="95"/>
      <c r="K758" s="94"/>
      <c r="L758" s="191"/>
    </row>
    <row r="759" spans="1:12" ht="12.75" x14ac:dyDescent="0.2">
      <c r="A759" s="95"/>
      <c r="B759" s="95"/>
      <c r="C759" s="94"/>
      <c r="D759" s="185"/>
      <c r="E759" s="95"/>
      <c r="F759" s="95"/>
      <c r="G759" s="94"/>
      <c r="H759" s="185"/>
      <c r="I759" s="95"/>
      <c r="J759" s="95"/>
      <c r="K759" s="94"/>
      <c r="L759" s="191"/>
    </row>
    <row r="760" spans="1:12" ht="12.75" x14ac:dyDescent="0.2">
      <c r="A760" s="95"/>
      <c r="B760" s="95"/>
      <c r="C760" s="94"/>
      <c r="D760" s="185"/>
      <c r="E760" s="95"/>
      <c r="F760" s="95"/>
      <c r="G760" s="94"/>
      <c r="H760" s="185"/>
      <c r="I760" s="95"/>
      <c r="J760" s="95"/>
      <c r="K760" s="94"/>
      <c r="L760" s="191"/>
    </row>
    <row r="761" spans="1:12" ht="12.75" x14ac:dyDescent="0.2">
      <c r="A761" s="95"/>
      <c r="B761" s="95"/>
      <c r="C761" s="94"/>
      <c r="D761" s="185"/>
      <c r="E761" s="95"/>
      <c r="F761" s="95"/>
      <c r="G761" s="94"/>
      <c r="H761" s="185"/>
      <c r="I761" s="95"/>
      <c r="J761" s="95"/>
      <c r="K761" s="94"/>
      <c r="L761" s="191"/>
    </row>
    <row r="762" spans="1:12" ht="12.75" x14ac:dyDescent="0.2">
      <c r="A762" s="95"/>
      <c r="B762" s="95"/>
      <c r="C762" s="94"/>
      <c r="D762" s="185"/>
      <c r="E762" s="95"/>
      <c r="F762" s="95"/>
      <c r="G762" s="94"/>
      <c r="H762" s="185"/>
      <c r="I762" s="95"/>
      <c r="J762" s="95"/>
      <c r="K762" s="94"/>
      <c r="L762" s="191"/>
    </row>
    <row r="763" spans="1:12" ht="12.75" x14ac:dyDescent="0.2">
      <c r="A763" s="95"/>
      <c r="B763" s="95"/>
      <c r="C763" s="94"/>
      <c r="D763" s="185"/>
      <c r="E763" s="95"/>
      <c r="F763" s="95"/>
      <c r="G763" s="94"/>
      <c r="H763" s="185"/>
      <c r="I763" s="95"/>
      <c r="J763" s="95"/>
      <c r="K763" s="94"/>
      <c r="L763" s="191"/>
    </row>
    <row r="764" spans="1:12" ht="12.75" x14ac:dyDescent="0.2">
      <c r="A764" s="95"/>
      <c r="B764" s="95"/>
      <c r="C764" s="94"/>
      <c r="D764" s="185"/>
      <c r="E764" s="95"/>
      <c r="F764" s="95"/>
      <c r="G764" s="94"/>
      <c r="H764" s="185"/>
      <c r="I764" s="95"/>
      <c r="J764" s="95"/>
      <c r="K764" s="94"/>
      <c r="L764" s="191"/>
    </row>
    <row r="765" spans="1:12" ht="12.75" x14ac:dyDescent="0.2">
      <c r="A765" s="95"/>
      <c r="B765" s="95"/>
      <c r="C765" s="94"/>
      <c r="D765" s="185"/>
      <c r="E765" s="95"/>
      <c r="F765" s="95"/>
      <c r="G765" s="94"/>
      <c r="H765" s="185"/>
      <c r="I765" s="95"/>
      <c r="J765" s="95"/>
      <c r="K765" s="94"/>
      <c r="L765" s="191"/>
    </row>
    <row r="766" spans="1:12" ht="12.75" x14ac:dyDescent="0.2">
      <c r="A766" s="95"/>
      <c r="B766" s="95"/>
      <c r="C766" s="94"/>
      <c r="D766" s="185"/>
      <c r="E766" s="95"/>
      <c r="F766" s="95"/>
      <c r="G766" s="94"/>
      <c r="H766" s="185"/>
      <c r="I766" s="95"/>
      <c r="J766" s="95"/>
      <c r="K766" s="94"/>
      <c r="L766" s="191"/>
    </row>
    <row r="767" spans="1:12" ht="12.75" x14ac:dyDescent="0.2">
      <c r="A767" s="95"/>
      <c r="B767" s="95"/>
      <c r="C767" s="94"/>
      <c r="D767" s="185"/>
      <c r="E767" s="95"/>
      <c r="F767" s="95"/>
      <c r="G767" s="94"/>
      <c r="H767" s="185"/>
      <c r="I767" s="95"/>
      <c r="J767" s="95"/>
      <c r="K767" s="94"/>
      <c r="L767" s="191"/>
    </row>
    <row r="768" spans="1:12" ht="12.75" x14ac:dyDescent="0.2">
      <c r="A768" s="95"/>
      <c r="B768" s="95"/>
      <c r="C768" s="94"/>
      <c r="D768" s="185"/>
      <c r="E768" s="95"/>
      <c r="F768" s="95"/>
      <c r="G768" s="94"/>
      <c r="H768" s="185"/>
      <c r="I768" s="95"/>
      <c r="J768" s="95"/>
      <c r="K768" s="94"/>
      <c r="L768" s="191"/>
    </row>
    <row r="769" spans="1:12" ht="12.75" x14ac:dyDescent="0.2">
      <c r="A769" s="95"/>
      <c r="B769" s="95"/>
      <c r="C769" s="94"/>
      <c r="D769" s="185"/>
      <c r="E769" s="95"/>
      <c r="F769" s="95"/>
      <c r="G769" s="94"/>
      <c r="H769" s="185"/>
      <c r="I769" s="95"/>
      <c r="J769" s="95"/>
      <c r="K769" s="94"/>
      <c r="L769" s="191"/>
    </row>
    <row r="770" spans="1:12" ht="12.75" x14ac:dyDescent="0.2">
      <c r="A770" s="95"/>
      <c r="B770" s="95"/>
      <c r="C770" s="94"/>
      <c r="D770" s="185"/>
      <c r="E770" s="95"/>
      <c r="F770" s="95"/>
      <c r="G770" s="94"/>
      <c r="H770" s="185"/>
      <c r="I770" s="95"/>
      <c r="J770" s="95"/>
      <c r="K770" s="94"/>
      <c r="L770" s="191"/>
    </row>
    <row r="771" spans="1:12" ht="12.75" x14ac:dyDescent="0.2">
      <c r="A771" s="95"/>
      <c r="B771" s="95"/>
      <c r="C771" s="94"/>
      <c r="D771" s="185"/>
      <c r="E771" s="95"/>
      <c r="F771" s="95"/>
      <c r="G771" s="94"/>
      <c r="H771" s="185"/>
      <c r="I771" s="95"/>
      <c r="J771" s="95"/>
      <c r="K771" s="94"/>
      <c r="L771" s="191"/>
    </row>
    <row r="772" spans="1:12" ht="12.75" x14ac:dyDescent="0.2">
      <c r="A772" s="95"/>
      <c r="B772" s="95"/>
      <c r="C772" s="94"/>
      <c r="D772" s="185"/>
      <c r="E772" s="95"/>
      <c r="F772" s="95"/>
      <c r="G772" s="94"/>
      <c r="H772" s="185"/>
      <c r="I772" s="95"/>
      <c r="J772" s="95"/>
      <c r="K772" s="94"/>
      <c r="L772" s="191"/>
    </row>
    <row r="773" spans="1:12" ht="12.75" x14ac:dyDescent="0.2">
      <c r="A773" s="95"/>
      <c r="B773" s="95"/>
      <c r="C773" s="94"/>
      <c r="D773" s="185"/>
      <c r="E773" s="95"/>
      <c r="F773" s="95"/>
      <c r="G773" s="94"/>
      <c r="H773" s="185"/>
      <c r="I773" s="95"/>
      <c r="J773" s="95"/>
      <c r="K773" s="94"/>
      <c r="L773" s="191"/>
    </row>
    <row r="774" spans="1:12" ht="12.75" x14ac:dyDescent="0.2">
      <c r="A774" s="95"/>
      <c r="B774" s="95"/>
      <c r="C774" s="94"/>
      <c r="D774" s="185"/>
      <c r="E774" s="95"/>
      <c r="F774" s="95"/>
      <c r="G774" s="94"/>
      <c r="H774" s="185"/>
      <c r="I774" s="95"/>
      <c r="J774" s="95"/>
      <c r="K774" s="94"/>
      <c r="L774" s="191"/>
    </row>
    <row r="775" spans="1:12" ht="12.75" x14ac:dyDescent="0.2">
      <c r="A775" s="95"/>
      <c r="B775" s="95"/>
      <c r="C775" s="94"/>
      <c r="D775" s="185"/>
      <c r="E775" s="95"/>
      <c r="F775" s="95"/>
      <c r="G775" s="94"/>
      <c r="H775" s="185"/>
      <c r="I775" s="95"/>
      <c r="J775" s="95"/>
      <c r="K775" s="94"/>
      <c r="L775" s="191"/>
    </row>
    <row r="776" spans="1:12" ht="12.75" x14ac:dyDescent="0.2">
      <c r="A776" s="95"/>
      <c r="B776" s="95"/>
      <c r="C776" s="94"/>
      <c r="D776" s="185"/>
      <c r="E776" s="95"/>
      <c r="F776" s="95"/>
      <c r="G776" s="94"/>
      <c r="H776" s="185"/>
      <c r="I776" s="95"/>
      <c r="J776" s="95"/>
      <c r="K776" s="94"/>
      <c r="L776" s="191"/>
    </row>
    <row r="777" spans="1:12" ht="12.75" x14ac:dyDescent="0.2">
      <c r="A777" s="95"/>
      <c r="B777" s="95"/>
      <c r="C777" s="94"/>
      <c r="D777" s="185"/>
      <c r="E777" s="95"/>
      <c r="F777" s="95"/>
      <c r="G777" s="94"/>
      <c r="H777" s="185"/>
      <c r="I777" s="95"/>
      <c r="J777" s="95"/>
      <c r="K777" s="94"/>
      <c r="L777" s="191"/>
    </row>
    <row r="778" spans="1:12" ht="12.75" x14ac:dyDescent="0.2">
      <c r="A778" s="95"/>
      <c r="B778" s="95"/>
      <c r="C778" s="94"/>
      <c r="D778" s="185"/>
      <c r="E778" s="95"/>
      <c r="F778" s="95"/>
      <c r="G778" s="94"/>
      <c r="H778" s="185"/>
      <c r="I778" s="95"/>
      <c r="J778" s="95"/>
      <c r="K778" s="94"/>
      <c r="L778" s="191"/>
    </row>
    <row r="779" spans="1:12" ht="12.75" x14ac:dyDescent="0.2">
      <c r="A779" s="95"/>
      <c r="B779" s="95"/>
      <c r="C779" s="94"/>
      <c r="D779" s="185"/>
      <c r="E779" s="95"/>
      <c r="F779" s="95"/>
      <c r="G779" s="94"/>
      <c r="H779" s="185"/>
      <c r="I779" s="95"/>
      <c r="J779" s="95"/>
      <c r="K779" s="94"/>
      <c r="L779" s="191"/>
    </row>
    <row r="780" spans="1:12" ht="12.75" x14ac:dyDescent="0.2">
      <c r="A780" s="95"/>
      <c r="B780" s="95"/>
      <c r="C780" s="94"/>
      <c r="D780" s="185"/>
      <c r="E780" s="95"/>
      <c r="F780" s="95"/>
      <c r="G780" s="94"/>
      <c r="H780" s="185"/>
      <c r="I780" s="95"/>
      <c r="J780" s="95"/>
      <c r="K780" s="94"/>
      <c r="L780" s="191"/>
    </row>
    <row r="781" spans="1:12" ht="12.75" x14ac:dyDescent="0.2">
      <c r="A781" s="95"/>
      <c r="B781" s="95"/>
      <c r="C781" s="94"/>
      <c r="D781" s="185"/>
      <c r="E781" s="95"/>
      <c r="F781" s="95"/>
      <c r="G781" s="94"/>
      <c r="H781" s="185"/>
      <c r="I781" s="95"/>
      <c r="J781" s="95"/>
      <c r="K781" s="94"/>
      <c r="L781" s="191"/>
    </row>
    <row r="782" spans="1:12" ht="12.75" x14ac:dyDescent="0.2">
      <c r="A782" s="95"/>
      <c r="B782" s="95"/>
      <c r="C782" s="94"/>
      <c r="D782" s="185"/>
      <c r="E782" s="95"/>
      <c r="F782" s="95"/>
      <c r="G782" s="94"/>
      <c r="H782" s="185"/>
      <c r="I782" s="95"/>
      <c r="J782" s="95"/>
      <c r="K782" s="94"/>
      <c r="L782" s="191"/>
    </row>
    <row r="783" spans="1:12" ht="12.75" x14ac:dyDescent="0.2">
      <c r="A783" s="95"/>
      <c r="B783" s="95"/>
      <c r="C783" s="94"/>
      <c r="D783" s="185"/>
      <c r="E783" s="95"/>
      <c r="F783" s="95"/>
      <c r="G783" s="94"/>
      <c r="H783" s="185"/>
      <c r="I783" s="95"/>
      <c r="J783" s="95"/>
      <c r="K783" s="94"/>
      <c r="L783" s="191"/>
    </row>
    <row r="784" spans="1:12" ht="12.75" x14ac:dyDescent="0.2">
      <c r="A784" s="95"/>
      <c r="B784" s="95"/>
      <c r="C784" s="94"/>
      <c r="D784" s="185"/>
      <c r="E784" s="95"/>
      <c r="F784" s="95"/>
      <c r="G784" s="94"/>
      <c r="H784" s="185"/>
      <c r="I784" s="95"/>
      <c r="J784" s="95"/>
      <c r="K784" s="94"/>
      <c r="L784" s="191"/>
    </row>
    <row r="785" spans="1:12" ht="12.75" x14ac:dyDescent="0.2">
      <c r="A785" s="95"/>
      <c r="B785" s="95"/>
      <c r="C785" s="94"/>
      <c r="D785" s="185"/>
      <c r="E785" s="95"/>
      <c r="F785" s="95"/>
      <c r="G785" s="94"/>
      <c r="H785" s="185"/>
      <c r="I785" s="95"/>
      <c r="J785" s="95"/>
      <c r="K785" s="94"/>
      <c r="L785" s="191"/>
    </row>
    <row r="786" spans="1:12" ht="12.75" x14ac:dyDescent="0.2">
      <c r="A786" s="95"/>
      <c r="B786" s="95"/>
      <c r="C786" s="94"/>
      <c r="D786" s="185"/>
      <c r="E786" s="95"/>
      <c r="F786" s="95"/>
      <c r="G786" s="94"/>
      <c r="H786" s="185"/>
      <c r="I786" s="95"/>
      <c r="J786" s="95"/>
      <c r="K786" s="94"/>
      <c r="L786" s="191"/>
    </row>
    <row r="787" spans="1:12" ht="12.75" x14ac:dyDescent="0.2">
      <c r="A787" s="95"/>
      <c r="B787" s="95"/>
      <c r="C787" s="94"/>
      <c r="D787" s="185"/>
      <c r="E787" s="95"/>
      <c r="F787" s="95"/>
      <c r="G787" s="94"/>
      <c r="H787" s="185"/>
      <c r="I787" s="95"/>
      <c r="J787" s="95"/>
      <c r="K787" s="94"/>
      <c r="L787" s="191"/>
    </row>
    <row r="788" spans="1:12" ht="12.75" x14ac:dyDescent="0.2">
      <c r="A788" s="95"/>
      <c r="B788" s="95"/>
      <c r="C788" s="94"/>
      <c r="D788" s="185"/>
      <c r="E788" s="95"/>
      <c r="F788" s="95"/>
      <c r="G788" s="94"/>
      <c r="H788" s="185"/>
      <c r="I788" s="95"/>
      <c r="J788" s="95"/>
      <c r="K788" s="94"/>
      <c r="L788" s="191"/>
    </row>
    <row r="789" spans="1:12" ht="12.75" x14ac:dyDescent="0.2">
      <c r="A789" s="95"/>
      <c r="B789" s="95"/>
      <c r="C789" s="94"/>
      <c r="D789" s="185"/>
      <c r="E789" s="95"/>
      <c r="F789" s="95"/>
      <c r="G789" s="94"/>
      <c r="H789" s="185"/>
      <c r="I789" s="95"/>
      <c r="J789" s="95"/>
      <c r="K789" s="94"/>
      <c r="L789" s="191"/>
    </row>
    <row r="790" spans="1:12" ht="12.75" x14ac:dyDescent="0.2">
      <c r="A790" s="95"/>
      <c r="B790" s="95"/>
      <c r="C790" s="94"/>
      <c r="D790" s="185"/>
      <c r="E790" s="95"/>
      <c r="F790" s="95"/>
      <c r="G790" s="94"/>
      <c r="H790" s="185"/>
      <c r="I790" s="95"/>
      <c r="J790" s="95"/>
      <c r="K790" s="94"/>
      <c r="L790" s="191"/>
    </row>
    <row r="791" spans="1:12" ht="12.75" x14ac:dyDescent="0.2">
      <c r="A791" s="95"/>
      <c r="B791" s="95"/>
      <c r="C791" s="94"/>
      <c r="D791" s="185"/>
      <c r="E791" s="95"/>
      <c r="F791" s="95"/>
      <c r="G791" s="94"/>
      <c r="H791" s="185"/>
      <c r="I791" s="95"/>
      <c r="J791" s="95"/>
      <c r="K791" s="94"/>
      <c r="L791" s="191"/>
    </row>
    <row r="792" spans="1:12" ht="12.75" x14ac:dyDescent="0.2">
      <c r="A792" s="95"/>
      <c r="B792" s="95"/>
      <c r="C792" s="94"/>
      <c r="D792" s="185"/>
      <c r="E792" s="95"/>
      <c r="F792" s="95"/>
      <c r="G792" s="94"/>
      <c r="H792" s="185"/>
      <c r="I792" s="95"/>
      <c r="J792" s="95"/>
      <c r="K792" s="94"/>
      <c r="L792" s="191"/>
    </row>
    <row r="793" spans="1:12" ht="12.75" x14ac:dyDescent="0.2">
      <c r="A793" s="95"/>
      <c r="B793" s="95"/>
      <c r="C793" s="94"/>
      <c r="D793" s="185"/>
      <c r="E793" s="95"/>
      <c r="F793" s="95"/>
      <c r="G793" s="94"/>
      <c r="H793" s="185"/>
      <c r="I793" s="95"/>
      <c r="J793" s="95"/>
      <c r="K793" s="94"/>
      <c r="L793" s="191"/>
    </row>
    <row r="794" spans="1:12" ht="12.75" x14ac:dyDescent="0.2">
      <c r="A794" s="95"/>
      <c r="B794" s="95"/>
      <c r="C794" s="94"/>
      <c r="D794" s="185"/>
      <c r="E794" s="95"/>
      <c r="F794" s="95"/>
      <c r="G794" s="94"/>
      <c r="H794" s="185"/>
      <c r="I794" s="95"/>
      <c r="J794" s="95"/>
      <c r="K794" s="94"/>
      <c r="L794" s="191"/>
    </row>
    <row r="795" spans="1:12" ht="12.75" x14ac:dyDescent="0.2">
      <c r="A795" s="95"/>
      <c r="B795" s="95"/>
      <c r="C795" s="94"/>
      <c r="D795" s="185"/>
      <c r="E795" s="95"/>
      <c r="F795" s="95"/>
      <c r="G795" s="94"/>
      <c r="H795" s="185"/>
      <c r="I795" s="95"/>
      <c r="J795" s="95"/>
      <c r="K795" s="94"/>
      <c r="L795" s="191"/>
    </row>
    <row r="796" spans="1:12" ht="12.75" x14ac:dyDescent="0.2">
      <c r="A796" s="95"/>
      <c r="B796" s="95"/>
      <c r="C796" s="94"/>
      <c r="D796" s="185"/>
      <c r="E796" s="95"/>
      <c r="F796" s="95"/>
      <c r="G796" s="94"/>
      <c r="H796" s="185"/>
      <c r="I796" s="95"/>
      <c r="J796" s="95"/>
      <c r="K796" s="94"/>
      <c r="L796" s="191"/>
    </row>
    <row r="797" spans="1:12" ht="12.75" x14ac:dyDescent="0.2">
      <c r="A797" s="95"/>
      <c r="B797" s="95"/>
      <c r="C797" s="94"/>
      <c r="D797" s="185"/>
      <c r="E797" s="95"/>
      <c r="F797" s="95"/>
      <c r="G797" s="94"/>
      <c r="H797" s="185"/>
      <c r="I797" s="95"/>
      <c r="J797" s="95"/>
      <c r="K797" s="94"/>
      <c r="L797" s="191"/>
    </row>
    <row r="798" spans="1:12" ht="12.75" x14ac:dyDescent="0.2">
      <c r="A798" s="95"/>
      <c r="B798" s="95"/>
      <c r="C798" s="94"/>
      <c r="D798" s="185"/>
      <c r="E798" s="95"/>
      <c r="F798" s="95"/>
      <c r="G798" s="94"/>
      <c r="H798" s="185"/>
      <c r="I798" s="95"/>
      <c r="J798" s="95"/>
      <c r="K798" s="94"/>
      <c r="L798" s="191"/>
    </row>
    <row r="799" spans="1:12" ht="12.75" x14ac:dyDescent="0.2">
      <c r="A799" s="95"/>
      <c r="B799" s="95"/>
      <c r="C799" s="94"/>
      <c r="D799" s="185"/>
      <c r="E799" s="95"/>
      <c r="F799" s="95"/>
      <c r="G799" s="94"/>
      <c r="H799" s="185"/>
      <c r="I799" s="95"/>
      <c r="J799" s="95"/>
      <c r="K799" s="94"/>
      <c r="L799" s="191"/>
    </row>
    <row r="800" spans="1:12" ht="12.75" x14ac:dyDescent="0.2">
      <c r="A800" s="95"/>
      <c r="B800" s="95"/>
      <c r="C800" s="94"/>
      <c r="D800" s="185"/>
      <c r="E800" s="95"/>
      <c r="F800" s="95"/>
      <c r="G800" s="94"/>
      <c r="H800" s="185"/>
      <c r="I800" s="95"/>
      <c r="J800" s="95"/>
      <c r="K800" s="94"/>
      <c r="L800" s="191"/>
    </row>
    <row r="801" spans="1:12" ht="12.75" x14ac:dyDescent="0.2">
      <c r="A801" s="95"/>
      <c r="B801" s="95"/>
      <c r="C801" s="94"/>
      <c r="D801" s="185"/>
      <c r="E801" s="95"/>
      <c r="F801" s="95"/>
      <c r="G801" s="94"/>
      <c r="H801" s="185"/>
      <c r="I801" s="95"/>
      <c r="J801" s="95"/>
      <c r="K801" s="94"/>
      <c r="L801" s="191"/>
    </row>
    <row r="802" spans="1:12" ht="12.75" x14ac:dyDescent="0.2">
      <c r="A802" s="95"/>
      <c r="B802" s="95"/>
      <c r="C802" s="94"/>
      <c r="D802" s="185"/>
      <c r="E802" s="95"/>
      <c r="F802" s="95"/>
      <c r="G802" s="94"/>
      <c r="H802" s="185"/>
      <c r="I802" s="95"/>
      <c r="J802" s="95"/>
      <c r="K802" s="94"/>
      <c r="L802" s="191"/>
    </row>
    <row r="803" spans="1:12" ht="12.75" x14ac:dyDescent="0.2">
      <c r="A803" s="95"/>
      <c r="B803" s="95"/>
      <c r="C803" s="94"/>
      <c r="D803" s="185"/>
      <c r="E803" s="95"/>
      <c r="F803" s="95"/>
      <c r="G803" s="94"/>
      <c r="H803" s="185"/>
      <c r="I803" s="95"/>
      <c r="J803" s="95"/>
      <c r="K803" s="94"/>
      <c r="L803" s="191"/>
    </row>
    <row r="804" spans="1:12" ht="12.75" x14ac:dyDescent="0.2">
      <c r="A804" s="95"/>
      <c r="B804" s="95"/>
      <c r="C804" s="94"/>
      <c r="D804" s="185"/>
      <c r="E804" s="95"/>
      <c r="F804" s="95"/>
      <c r="G804" s="94"/>
      <c r="H804" s="185"/>
      <c r="I804" s="95"/>
      <c r="J804" s="95"/>
      <c r="K804" s="94"/>
      <c r="L804" s="191"/>
    </row>
    <row r="805" spans="1:12" ht="12.75" x14ac:dyDescent="0.2">
      <c r="A805" s="95"/>
      <c r="B805" s="95"/>
      <c r="C805" s="94"/>
      <c r="D805" s="185"/>
      <c r="E805" s="95"/>
      <c r="F805" s="95"/>
      <c r="G805" s="94"/>
      <c r="H805" s="185"/>
      <c r="I805" s="95"/>
      <c r="J805" s="95"/>
      <c r="K805" s="94"/>
      <c r="L805" s="191"/>
    </row>
    <row r="806" spans="1:12" ht="12.75" x14ac:dyDescent="0.2">
      <c r="A806" s="95"/>
      <c r="B806" s="95"/>
      <c r="C806" s="94"/>
      <c r="D806" s="185"/>
      <c r="E806" s="95"/>
      <c r="F806" s="95"/>
      <c r="G806" s="94"/>
      <c r="H806" s="185"/>
      <c r="I806" s="95"/>
      <c r="J806" s="95"/>
      <c r="K806" s="94"/>
      <c r="L806" s="191"/>
    </row>
    <row r="807" spans="1:12" ht="12.75" x14ac:dyDescent="0.2">
      <c r="A807" s="95"/>
      <c r="B807" s="95"/>
      <c r="C807" s="94"/>
      <c r="D807" s="185"/>
      <c r="E807" s="95"/>
      <c r="F807" s="95"/>
      <c r="G807" s="94"/>
      <c r="H807" s="185"/>
      <c r="I807" s="95"/>
      <c r="J807" s="95"/>
      <c r="K807" s="94"/>
      <c r="L807" s="191"/>
    </row>
    <row r="808" spans="1:12" ht="12.75" x14ac:dyDescent="0.2">
      <c r="A808" s="95"/>
      <c r="B808" s="95"/>
      <c r="C808" s="94"/>
      <c r="D808" s="185"/>
      <c r="E808" s="95"/>
      <c r="F808" s="95"/>
      <c r="G808" s="94"/>
      <c r="H808" s="185"/>
      <c r="I808" s="95"/>
      <c r="J808" s="95"/>
      <c r="K808" s="94"/>
      <c r="L808" s="191"/>
    </row>
    <row r="809" spans="1:12" ht="12.75" x14ac:dyDescent="0.2">
      <c r="A809" s="95"/>
      <c r="B809" s="95"/>
      <c r="C809" s="94"/>
      <c r="D809" s="185"/>
      <c r="E809" s="95"/>
      <c r="F809" s="95"/>
      <c r="G809" s="94"/>
      <c r="H809" s="185"/>
      <c r="I809" s="95"/>
      <c r="J809" s="95"/>
      <c r="K809" s="94"/>
      <c r="L809" s="191"/>
    </row>
    <row r="810" spans="1:12" ht="12.75" x14ac:dyDescent="0.2">
      <c r="A810" s="95"/>
      <c r="B810" s="95"/>
      <c r="C810" s="94"/>
      <c r="D810" s="185"/>
      <c r="E810" s="95"/>
      <c r="F810" s="95"/>
      <c r="G810" s="94"/>
      <c r="H810" s="185"/>
      <c r="I810" s="95"/>
      <c r="J810" s="95"/>
      <c r="K810" s="94"/>
      <c r="L810" s="191"/>
    </row>
    <row r="811" spans="1:12" ht="12.75" x14ac:dyDescent="0.2">
      <c r="A811" s="95"/>
      <c r="B811" s="95"/>
      <c r="C811" s="94"/>
      <c r="D811" s="185"/>
      <c r="E811" s="95"/>
      <c r="F811" s="95"/>
      <c r="G811" s="94"/>
      <c r="H811" s="185"/>
      <c r="I811" s="95"/>
      <c r="J811" s="95"/>
      <c r="K811" s="94"/>
      <c r="L811" s="191"/>
    </row>
    <row r="812" spans="1:12" ht="12.75" x14ac:dyDescent="0.2">
      <c r="A812" s="95"/>
      <c r="B812" s="95"/>
      <c r="C812" s="94"/>
      <c r="D812" s="185"/>
      <c r="E812" s="95"/>
      <c r="F812" s="95"/>
      <c r="G812" s="94"/>
      <c r="H812" s="185"/>
      <c r="I812" s="95"/>
      <c r="J812" s="95"/>
      <c r="K812" s="94"/>
      <c r="L812" s="191"/>
    </row>
    <row r="813" spans="1:12" ht="12.75" x14ac:dyDescent="0.2">
      <c r="A813" s="95"/>
      <c r="B813" s="95"/>
      <c r="C813" s="94"/>
      <c r="D813" s="185"/>
      <c r="E813" s="95"/>
      <c r="F813" s="95"/>
      <c r="G813" s="94"/>
      <c r="H813" s="185"/>
      <c r="I813" s="95"/>
      <c r="J813" s="95"/>
      <c r="K813" s="94"/>
      <c r="L813" s="191"/>
    </row>
    <row r="814" spans="1:12" ht="12.75" x14ac:dyDescent="0.2">
      <c r="A814" s="95"/>
      <c r="B814" s="95"/>
      <c r="C814" s="94"/>
      <c r="D814" s="185"/>
      <c r="E814" s="95"/>
      <c r="F814" s="95"/>
      <c r="G814" s="94"/>
      <c r="H814" s="185"/>
      <c r="I814" s="95"/>
      <c r="J814" s="95"/>
      <c r="K814" s="94"/>
      <c r="L814" s="191"/>
    </row>
    <row r="815" spans="1:12" ht="12.75" x14ac:dyDescent="0.2">
      <c r="A815" s="95"/>
      <c r="B815" s="95"/>
      <c r="C815" s="94"/>
      <c r="D815" s="185"/>
      <c r="E815" s="95"/>
      <c r="F815" s="95"/>
      <c r="G815" s="94"/>
      <c r="H815" s="185"/>
      <c r="I815" s="95"/>
      <c r="J815" s="95"/>
      <c r="K815" s="94"/>
      <c r="L815" s="191"/>
    </row>
    <row r="816" spans="1:12" ht="12.75" x14ac:dyDescent="0.2">
      <c r="A816" s="95"/>
      <c r="B816" s="95"/>
      <c r="C816" s="94"/>
      <c r="D816" s="185"/>
      <c r="E816" s="95"/>
      <c r="F816" s="95"/>
      <c r="G816" s="94"/>
      <c r="H816" s="185"/>
      <c r="I816" s="95"/>
      <c r="J816" s="95"/>
      <c r="K816" s="94"/>
      <c r="L816" s="191"/>
    </row>
    <row r="817" spans="1:12" ht="12.75" x14ac:dyDescent="0.2">
      <c r="A817" s="95"/>
      <c r="B817" s="95"/>
      <c r="C817" s="94"/>
      <c r="D817" s="185"/>
      <c r="E817" s="95"/>
      <c r="F817" s="95"/>
      <c r="G817" s="94"/>
      <c r="H817" s="185"/>
      <c r="I817" s="95"/>
      <c r="J817" s="95"/>
      <c r="K817" s="94"/>
      <c r="L817" s="191"/>
    </row>
    <row r="818" spans="1:12" ht="12.75" x14ac:dyDescent="0.2">
      <c r="A818" s="95"/>
      <c r="B818" s="95"/>
      <c r="C818" s="94"/>
      <c r="D818" s="185"/>
      <c r="E818" s="95"/>
      <c r="F818" s="95"/>
      <c r="G818" s="94"/>
      <c r="H818" s="185"/>
      <c r="I818" s="95"/>
      <c r="J818" s="95"/>
      <c r="K818" s="94"/>
      <c r="L818" s="191"/>
    </row>
    <row r="819" spans="1:12" ht="12.75" x14ac:dyDescent="0.2">
      <c r="A819" s="95"/>
      <c r="B819" s="95"/>
      <c r="C819" s="94"/>
      <c r="D819" s="185"/>
      <c r="E819" s="95"/>
      <c r="F819" s="95"/>
      <c r="G819" s="94"/>
      <c r="H819" s="185"/>
      <c r="I819" s="95"/>
      <c r="J819" s="95"/>
      <c r="K819" s="94"/>
      <c r="L819" s="191"/>
    </row>
    <row r="820" spans="1:12" ht="12.75" x14ac:dyDescent="0.2">
      <c r="A820" s="95"/>
      <c r="B820" s="95"/>
      <c r="C820" s="94"/>
      <c r="D820" s="185"/>
      <c r="E820" s="95"/>
      <c r="F820" s="95"/>
      <c r="G820" s="94"/>
      <c r="H820" s="185"/>
      <c r="I820" s="95"/>
      <c r="J820" s="95"/>
      <c r="K820" s="94"/>
      <c r="L820" s="191"/>
    </row>
    <row r="821" spans="1:12" ht="12.75" x14ac:dyDescent="0.2">
      <c r="A821" s="95"/>
      <c r="B821" s="95"/>
      <c r="C821" s="94"/>
      <c r="D821" s="185"/>
      <c r="E821" s="95"/>
      <c r="F821" s="95"/>
      <c r="G821" s="94"/>
      <c r="H821" s="185"/>
      <c r="I821" s="95"/>
      <c r="J821" s="95"/>
      <c r="K821" s="94"/>
      <c r="L821" s="191"/>
    </row>
    <row r="822" spans="1:12" ht="12.75" x14ac:dyDescent="0.2">
      <c r="A822" s="95"/>
      <c r="B822" s="95"/>
      <c r="C822" s="94"/>
      <c r="D822" s="185"/>
      <c r="E822" s="95"/>
      <c r="F822" s="95"/>
      <c r="G822" s="94"/>
      <c r="H822" s="185"/>
      <c r="I822" s="95"/>
      <c r="J822" s="95"/>
      <c r="K822" s="94"/>
      <c r="L822" s="191"/>
    </row>
    <row r="823" spans="1:12" ht="12.75" x14ac:dyDescent="0.2">
      <c r="A823" s="95"/>
      <c r="B823" s="95"/>
      <c r="C823" s="94"/>
      <c r="D823" s="185"/>
      <c r="E823" s="95"/>
      <c r="F823" s="95"/>
      <c r="G823" s="94"/>
      <c r="H823" s="185"/>
      <c r="I823" s="95"/>
      <c r="J823" s="95"/>
      <c r="K823" s="94"/>
      <c r="L823" s="191"/>
    </row>
    <row r="824" spans="1:12" ht="12.75" x14ac:dyDescent="0.2">
      <c r="A824" s="95"/>
      <c r="B824" s="95"/>
      <c r="C824" s="94"/>
      <c r="D824" s="185"/>
      <c r="E824" s="95"/>
      <c r="F824" s="95"/>
      <c r="G824" s="94"/>
      <c r="H824" s="185"/>
      <c r="I824" s="95"/>
      <c r="J824" s="95"/>
      <c r="K824" s="94"/>
      <c r="L824" s="191"/>
    </row>
    <row r="825" spans="1:12" ht="12.75" x14ac:dyDescent="0.2">
      <c r="A825" s="95"/>
      <c r="B825" s="95"/>
      <c r="C825" s="94"/>
      <c r="D825" s="185"/>
      <c r="E825" s="95"/>
      <c r="F825" s="95"/>
      <c r="G825" s="94"/>
      <c r="H825" s="185"/>
      <c r="I825" s="95"/>
      <c r="J825" s="95"/>
      <c r="K825" s="94"/>
      <c r="L825" s="191"/>
    </row>
    <row r="826" spans="1:12" ht="12.75" x14ac:dyDescent="0.2">
      <c r="A826" s="95"/>
      <c r="B826" s="95"/>
      <c r="C826" s="94"/>
      <c r="D826" s="185"/>
      <c r="E826" s="95"/>
      <c r="F826" s="95"/>
      <c r="G826" s="94"/>
      <c r="H826" s="185"/>
      <c r="I826" s="95"/>
      <c r="J826" s="95"/>
      <c r="K826" s="94"/>
      <c r="L826" s="191"/>
    </row>
    <row r="827" spans="1:12" ht="12.75" x14ac:dyDescent="0.2">
      <c r="A827" s="95"/>
      <c r="B827" s="95"/>
      <c r="C827" s="94"/>
      <c r="D827" s="185"/>
      <c r="E827" s="95"/>
      <c r="F827" s="95"/>
      <c r="G827" s="94"/>
      <c r="H827" s="185"/>
      <c r="I827" s="95"/>
      <c r="J827" s="95"/>
      <c r="K827" s="94"/>
      <c r="L827" s="191"/>
    </row>
    <row r="828" spans="1:12" ht="12.75" x14ac:dyDescent="0.2">
      <c r="A828" s="95"/>
      <c r="B828" s="95"/>
      <c r="C828" s="94"/>
      <c r="D828" s="185"/>
      <c r="E828" s="95"/>
      <c r="F828" s="95"/>
      <c r="G828" s="94"/>
      <c r="H828" s="185"/>
      <c r="I828" s="95"/>
      <c r="J828" s="95"/>
      <c r="K828" s="94"/>
      <c r="L828" s="191"/>
    </row>
    <row r="829" spans="1:12" ht="12.75" x14ac:dyDescent="0.2">
      <c r="A829" s="95"/>
      <c r="B829" s="95"/>
      <c r="C829" s="94"/>
      <c r="D829" s="185"/>
      <c r="E829" s="95"/>
      <c r="F829" s="95"/>
      <c r="G829" s="94"/>
      <c r="H829" s="185"/>
      <c r="I829" s="95"/>
      <c r="J829" s="95"/>
      <c r="K829" s="94"/>
      <c r="L829" s="191"/>
    </row>
    <row r="830" spans="1:12" ht="12.75" x14ac:dyDescent="0.2">
      <c r="A830" s="95"/>
      <c r="B830" s="95"/>
      <c r="C830" s="94"/>
      <c r="D830" s="185"/>
      <c r="E830" s="95"/>
      <c r="F830" s="95"/>
      <c r="G830" s="94"/>
      <c r="H830" s="185"/>
      <c r="I830" s="95"/>
      <c r="J830" s="95"/>
      <c r="K830" s="94"/>
      <c r="L830" s="191"/>
    </row>
    <row r="831" spans="1:12" ht="12.75" x14ac:dyDescent="0.2">
      <c r="A831" s="95"/>
      <c r="B831" s="95"/>
      <c r="C831" s="94"/>
      <c r="D831" s="185"/>
      <c r="E831" s="95"/>
      <c r="F831" s="95"/>
      <c r="G831" s="94"/>
      <c r="H831" s="185"/>
      <c r="I831" s="95"/>
      <c r="J831" s="95"/>
      <c r="K831" s="94"/>
      <c r="L831" s="191"/>
    </row>
    <row r="832" spans="1:12" ht="12.75" x14ac:dyDescent="0.2">
      <c r="A832" s="95"/>
      <c r="B832" s="95"/>
      <c r="C832" s="94"/>
      <c r="D832" s="185"/>
      <c r="E832" s="95"/>
      <c r="F832" s="95"/>
      <c r="G832" s="94"/>
      <c r="H832" s="185"/>
      <c r="I832" s="95"/>
      <c r="J832" s="95"/>
      <c r="K832" s="94"/>
      <c r="L832" s="191"/>
    </row>
    <row r="833" spans="1:12" ht="12.75" x14ac:dyDescent="0.2">
      <c r="A833" s="95"/>
      <c r="B833" s="95"/>
      <c r="C833" s="94"/>
      <c r="D833" s="185"/>
      <c r="E833" s="95"/>
      <c r="F833" s="95"/>
      <c r="G833" s="94"/>
      <c r="H833" s="185"/>
      <c r="I833" s="95"/>
      <c r="J833" s="95"/>
      <c r="K833" s="94"/>
      <c r="L833" s="191"/>
    </row>
    <row r="834" spans="1:12" ht="12.75" x14ac:dyDescent="0.2">
      <c r="A834" s="95"/>
      <c r="B834" s="95"/>
      <c r="C834" s="94"/>
      <c r="D834" s="185"/>
      <c r="E834" s="95"/>
      <c r="F834" s="95"/>
      <c r="G834" s="94"/>
      <c r="H834" s="185"/>
      <c r="I834" s="95"/>
      <c r="J834" s="95"/>
      <c r="K834" s="94"/>
      <c r="L834" s="191"/>
    </row>
    <row r="835" spans="1:12" ht="12.75" x14ac:dyDescent="0.2">
      <c r="A835" s="95"/>
      <c r="B835" s="95"/>
      <c r="C835" s="94"/>
      <c r="D835" s="185"/>
      <c r="E835" s="95"/>
      <c r="F835" s="95"/>
      <c r="G835" s="94"/>
      <c r="H835" s="185"/>
      <c r="I835" s="95"/>
      <c r="J835" s="95"/>
      <c r="K835" s="94"/>
      <c r="L835" s="191"/>
    </row>
    <row r="836" spans="1:12" ht="12.75" x14ac:dyDescent="0.2">
      <c r="A836" s="95"/>
      <c r="B836" s="95"/>
      <c r="C836" s="94"/>
      <c r="D836" s="185"/>
      <c r="E836" s="95"/>
      <c r="F836" s="95"/>
      <c r="G836" s="94"/>
      <c r="H836" s="185"/>
      <c r="I836" s="95"/>
      <c r="J836" s="95"/>
      <c r="K836" s="94"/>
      <c r="L836" s="191"/>
    </row>
    <row r="837" spans="1:12" ht="12.75" x14ac:dyDescent="0.2">
      <c r="A837" s="95"/>
      <c r="B837" s="95"/>
      <c r="C837" s="94"/>
      <c r="D837" s="185"/>
      <c r="E837" s="95"/>
      <c r="F837" s="95"/>
      <c r="G837" s="94"/>
      <c r="H837" s="185"/>
      <c r="I837" s="95"/>
      <c r="J837" s="95"/>
      <c r="K837" s="94"/>
      <c r="L837" s="191"/>
    </row>
    <row r="838" spans="1:12" ht="12.75" x14ac:dyDescent="0.2">
      <c r="A838" s="95"/>
      <c r="B838" s="95"/>
      <c r="C838" s="94"/>
      <c r="D838" s="185"/>
      <c r="E838" s="95"/>
      <c r="F838" s="95"/>
      <c r="G838" s="94"/>
      <c r="H838" s="185"/>
      <c r="I838" s="95"/>
      <c r="J838" s="95"/>
      <c r="K838" s="94"/>
      <c r="L838" s="191"/>
    </row>
    <row r="839" spans="1:12" ht="12.75" x14ac:dyDescent="0.2">
      <c r="A839" s="95"/>
      <c r="B839" s="95"/>
      <c r="C839" s="94"/>
      <c r="D839" s="185"/>
      <c r="E839" s="95"/>
      <c r="F839" s="95"/>
      <c r="G839" s="94"/>
      <c r="H839" s="185"/>
      <c r="I839" s="95"/>
      <c r="J839" s="95"/>
      <c r="K839" s="94"/>
      <c r="L839" s="191"/>
    </row>
    <row r="840" spans="1:12" ht="12.75" x14ac:dyDescent="0.2">
      <c r="A840" s="95"/>
      <c r="B840" s="95"/>
      <c r="C840" s="94"/>
      <c r="D840" s="185"/>
      <c r="E840" s="95"/>
      <c r="F840" s="95"/>
      <c r="G840" s="94"/>
      <c r="H840" s="185"/>
      <c r="I840" s="95"/>
      <c r="J840" s="95"/>
      <c r="K840" s="94"/>
      <c r="L840" s="191"/>
    </row>
    <row r="841" spans="1:12" ht="12.75" x14ac:dyDescent="0.2">
      <c r="A841" s="95"/>
      <c r="B841" s="95"/>
      <c r="C841" s="94"/>
      <c r="D841" s="185"/>
      <c r="E841" s="95"/>
      <c r="F841" s="95"/>
      <c r="G841" s="94"/>
      <c r="H841" s="185"/>
      <c r="I841" s="95"/>
      <c r="J841" s="95"/>
      <c r="K841" s="94"/>
      <c r="L841" s="191"/>
    </row>
    <row r="842" spans="1:12" ht="12.75" x14ac:dyDescent="0.2">
      <c r="A842" s="95"/>
      <c r="B842" s="95"/>
      <c r="C842" s="94"/>
      <c r="D842" s="185"/>
      <c r="E842" s="95"/>
      <c r="F842" s="95"/>
      <c r="G842" s="94"/>
      <c r="H842" s="185"/>
      <c r="I842" s="95"/>
      <c r="J842" s="95"/>
      <c r="K842" s="94"/>
      <c r="L842" s="191"/>
    </row>
    <row r="843" spans="1:12" ht="12.75" x14ac:dyDescent="0.2">
      <c r="A843" s="95"/>
      <c r="B843" s="95"/>
      <c r="C843" s="94"/>
      <c r="D843" s="185"/>
      <c r="E843" s="95"/>
      <c r="F843" s="95"/>
      <c r="G843" s="94"/>
      <c r="H843" s="185"/>
      <c r="I843" s="95"/>
      <c r="J843" s="95"/>
      <c r="K843" s="94"/>
      <c r="L843" s="191"/>
    </row>
    <row r="844" spans="1:12" ht="12.75" x14ac:dyDescent="0.2">
      <c r="A844" s="95"/>
      <c r="B844" s="95"/>
      <c r="C844" s="94"/>
      <c r="D844" s="185"/>
      <c r="E844" s="95"/>
      <c r="F844" s="95"/>
      <c r="G844" s="94"/>
      <c r="H844" s="185"/>
      <c r="I844" s="95"/>
      <c r="J844" s="95"/>
      <c r="K844" s="94"/>
      <c r="L844" s="191"/>
    </row>
    <row r="845" spans="1:12" ht="12.75" x14ac:dyDescent="0.2">
      <c r="A845" s="95"/>
      <c r="B845" s="95"/>
      <c r="C845" s="94"/>
      <c r="D845" s="185"/>
      <c r="E845" s="95"/>
      <c r="F845" s="95"/>
      <c r="G845" s="94"/>
      <c r="H845" s="185"/>
      <c r="I845" s="95"/>
      <c r="J845" s="95"/>
      <c r="K845" s="94"/>
      <c r="L845" s="191"/>
    </row>
    <row r="846" spans="1:12" ht="12.75" x14ac:dyDescent="0.2">
      <c r="A846" s="95"/>
      <c r="B846" s="95"/>
      <c r="C846" s="94"/>
      <c r="D846" s="185"/>
      <c r="E846" s="95"/>
      <c r="F846" s="95"/>
      <c r="G846" s="94"/>
      <c r="H846" s="185"/>
      <c r="I846" s="95"/>
      <c r="J846" s="95"/>
      <c r="K846" s="94"/>
      <c r="L846" s="191"/>
    </row>
    <row r="847" spans="1:12" ht="12.75" x14ac:dyDescent="0.2">
      <c r="A847" s="95"/>
      <c r="B847" s="95"/>
      <c r="C847" s="94"/>
      <c r="D847" s="185"/>
      <c r="E847" s="95"/>
      <c r="F847" s="95"/>
      <c r="G847" s="94"/>
      <c r="H847" s="185"/>
      <c r="I847" s="95"/>
      <c r="J847" s="95"/>
      <c r="K847" s="94"/>
      <c r="L847" s="191"/>
    </row>
    <row r="848" spans="1:12" ht="12.75" x14ac:dyDescent="0.2">
      <c r="A848" s="95"/>
      <c r="B848" s="95"/>
      <c r="C848" s="94"/>
      <c r="D848" s="185"/>
      <c r="E848" s="95"/>
      <c r="F848" s="95"/>
      <c r="G848" s="94"/>
      <c r="H848" s="185"/>
      <c r="I848" s="95"/>
      <c r="J848" s="95"/>
      <c r="K848" s="94"/>
      <c r="L848" s="191"/>
    </row>
    <row r="849" spans="1:12" ht="12.75" x14ac:dyDescent="0.2">
      <c r="A849" s="95"/>
      <c r="B849" s="95"/>
      <c r="C849" s="94"/>
      <c r="D849" s="185"/>
      <c r="E849" s="95"/>
      <c r="F849" s="95"/>
      <c r="G849" s="94"/>
      <c r="H849" s="185"/>
      <c r="I849" s="95"/>
      <c r="J849" s="95"/>
      <c r="K849" s="94"/>
      <c r="L849" s="191"/>
    </row>
    <row r="850" spans="1:12" ht="12.75" x14ac:dyDescent="0.2">
      <c r="A850" s="95"/>
      <c r="B850" s="95"/>
      <c r="C850" s="94"/>
      <c r="D850" s="185"/>
      <c r="E850" s="95"/>
      <c r="F850" s="95"/>
      <c r="G850" s="94"/>
      <c r="H850" s="185"/>
      <c r="I850" s="95"/>
      <c r="J850" s="95"/>
      <c r="K850" s="94"/>
      <c r="L850" s="191"/>
    </row>
    <row r="851" spans="1:12" ht="12.75" x14ac:dyDescent="0.2">
      <c r="A851" s="95"/>
      <c r="B851" s="95"/>
      <c r="C851" s="94"/>
      <c r="D851" s="185"/>
      <c r="E851" s="95"/>
      <c r="F851" s="95"/>
      <c r="G851" s="94"/>
      <c r="H851" s="185"/>
      <c r="I851" s="95"/>
      <c r="J851" s="95"/>
      <c r="K851" s="94"/>
      <c r="L851" s="191"/>
    </row>
    <row r="852" spans="1:12" ht="12.75" x14ac:dyDescent="0.2">
      <c r="A852" s="95"/>
      <c r="B852" s="95"/>
      <c r="C852" s="94"/>
      <c r="D852" s="185"/>
      <c r="E852" s="95"/>
      <c r="F852" s="95"/>
      <c r="G852" s="94"/>
      <c r="H852" s="185"/>
      <c r="I852" s="95"/>
      <c r="J852" s="95"/>
      <c r="K852" s="94"/>
      <c r="L852" s="191"/>
    </row>
    <row r="853" spans="1:12" ht="12.75" x14ac:dyDescent="0.2">
      <c r="A853" s="95"/>
      <c r="B853" s="95"/>
      <c r="C853" s="94"/>
      <c r="D853" s="185"/>
      <c r="E853" s="95"/>
      <c r="F853" s="95"/>
      <c r="G853" s="94"/>
      <c r="H853" s="185"/>
      <c r="I853" s="95"/>
      <c r="J853" s="95"/>
      <c r="K853" s="94"/>
      <c r="L853" s="191"/>
    </row>
    <row r="854" spans="1:12" ht="12.75" x14ac:dyDescent="0.2">
      <c r="A854" s="95"/>
      <c r="B854" s="95"/>
      <c r="C854" s="94"/>
      <c r="D854" s="185"/>
      <c r="E854" s="95"/>
      <c r="F854" s="95"/>
      <c r="G854" s="94"/>
      <c r="H854" s="185"/>
      <c r="I854" s="95"/>
      <c r="J854" s="95"/>
      <c r="K854" s="94"/>
      <c r="L854" s="191"/>
    </row>
    <row r="855" spans="1:12" ht="12.75" x14ac:dyDescent="0.2">
      <c r="A855" s="95"/>
      <c r="B855" s="95"/>
      <c r="C855" s="94"/>
      <c r="D855" s="185"/>
      <c r="E855" s="95"/>
      <c r="F855" s="95"/>
      <c r="G855" s="94"/>
      <c r="H855" s="185"/>
      <c r="I855" s="95"/>
      <c r="J855" s="95"/>
      <c r="K855" s="94"/>
      <c r="L855" s="191"/>
    </row>
    <row r="856" spans="1:12" ht="12.75" x14ac:dyDescent="0.2">
      <c r="A856" s="95"/>
      <c r="B856" s="95"/>
      <c r="C856" s="94"/>
      <c r="D856" s="185"/>
      <c r="E856" s="95"/>
      <c r="F856" s="95"/>
      <c r="G856" s="94"/>
      <c r="H856" s="185"/>
      <c r="I856" s="95"/>
      <c r="J856" s="95"/>
      <c r="K856" s="94"/>
      <c r="L856" s="191"/>
    </row>
    <row r="857" spans="1:12" ht="12.75" x14ac:dyDescent="0.2">
      <c r="A857" s="95"/>
      <c r="B857" s="95"/>
      <c r="C857" s="94"/>
      <c r="D857" s="185"/>
      <c r="E857" s="95"/>
      <c r="F857" s="95"/>
      <c r="G857" s="94"/>
      <c r="H857" s="185"/>
      <c r="I857" s="95"/>
      <c r="J857" s="95"/>
      <c r="K857" s="94"/>
      <c r="L857" s="191"/>
    </row>
    <row r="858" spans="1:12" ht="12.75" x14ac:dyDescent="0.2">
      <c r="A858" s="95"/>
      <c r="B858" s="95"/>
      <c r="C858" s="94"/>
      <c r="D858" s="185"/>
      <c r="E858" s="95"/>
      <c r="F858" s="95"/>
      <c r="G858" s="94"/>
      <c r="H858" s="185"/>
      <c r="I858" s="95"/>
      <c r="J858" s="95"/>
      <c r="K858" s="94"/>
      <c r="L858" s="191"/>
    </row>
    <row r="859" spans="1:12" ht="12.75" x14ac:dyDescent="0.2">
      <c r="A859" s="95"/>
      <c r="B859" s="95"/>
      <c r="C859" s="94"/>
      <c r="D859" s="185"/>
      <c r="E859" s="95"/>
      <c r="F859" s="95"/>
      <c r="G859" s="94"/>
      <c r="H859" s="185"/>
      <c r="I859" s="95"/>
      <c r="J859" s="95"/>
      <c r="K859" s="94"/>
      <c r="L859" s="191"/>
    </row>
    <row r="860" spans="1:12" ht="12.75" x14ac:dyDescent="0.2">
      <c r="A860" s="95"/>
      <c r="B860" s="95"/>
      <c r="C860" s="94"/>
      <c r="D860" s="185"/>
      <c r="E860" s="95"/>
      <c r="F860" s="95"/>
      <c r="G860" s="94"/>
      <c r="H860" s="185"/>
      <c r="I860" s="95"/>
      <c r="J860" s="95"/>
      <c r="K860" s="94"/>
      <c r="L860" s="191"/>
    </row>
    <row r="861" spans="1:12" ht="12.75" x14ac:dyDescent="0.2">
      <c r="A861" s="95"/>
      <c r="B861" s="95"/>
      <c r="C861" s="94"/>
      <c r="D861" s="185"/>
      <c r="E861" s="95"/>
      <c r="F861" s="95"/>
      <c r="G861" s="94"/>
      <c r="H861" s="185"/>
      <c r="I861" s="95"/>
      <c r="J861" s="95"/>
      <c r="K861" s="94"/>
      <c r="L861" s="191"/>
    </row>
    <row r="862" spans="1:12" ht="12.75" x14ac:dyDescent="0.2">
      <c r="A862" s="95"/>
      <c r="B862" s="95"/>
      <c r="C862" s="94"/>
      <c r="D862" s="185"/>
      <c r="E862" s="95"/>
      <c r="F862" s="95"/>
      <c r="G862" s="94"/>
      <c r="H862" s="185"/>
      <c r="I862" s="95"/>
      <c r="J862" s="95"/>
      <c r="K862" s="94"/>
      <c r="L862" s="191"/>
    </row>
    <row r="863" spans="1:12" ht="12.75" x14ac:dyDescent="0.2">
      <c r="A863" s="95"/>
      <c r="B863" s="95"/>
      <c r="C863" s="94"/>
      <c r="D863" s="185"/>
      <c r="E863" s="95"/>
      <c r="F863" s="95"/>
      <c r="G863" s="94"/>
      <c r="H863" s="185"/>
      <c r="I863" s="95"/>
      <c r="J863" s="95"/>
      <c r="K863" s="94"/>
      <c r="L863" s="191"/>
    </row>
    <row r="864" spans="1:12" ht="12.75" x14ac:dyDescent="0.2">
      <c r="A864" s="95"/>
      <c r="B864" s="95"/>
      <c r="C864" s="94"/>
      <c r="D864" s="185"/>
      <c r="E864" s="95"/>
      <c r="F864" s="95"/>
      <c r="G864" s="94"/>
      <c r="H864" s="185"/>
      <c r="I864" s="95"/>
      <c r="J864" s="95"/>
      <c r="K864" s="94"/>
      <c r="L864" s="191"/>
    </row>
    <row r="865" spans="1:12" ht="12.75" x14ac:dyDescent="0.2">
      <c r="A865" s="95"/>
      <c r="B865" s="95"/>
      <c r="C865" s="94"/>
      <c r="D865" s="185"/>
      <c r="E865" s="95"/>
      <c r="F865" s="95"/>
      <c r="G865" s="94"/>
      <c r="H865" s="185"/>
      <c r="I865" s="95"/>
      <c r="J865" s="95"/>
      <c r="K865" s="94"/>
      <c r="L865" s="191"/>
    </row>
    <row r="866" spans="1:12" ht="12.75" x14ac:dyDescent="0.2">
      <c r="A866" s="95"/>
      <c r="B866" s="95"/>
      <c r="C866" s="94"/>
      <c r="D866" s="185"/>
      <c r="E866" s="95"/>
      <c r="F866" s="95"/>
      <c r="G866" s="94"/>
      <c r="H866" s="185"/>
      <c r="I866" s="95"/>
      <c r="J866" s="95"/>
      <c r="K866" s="94"/>
      <c r="L866" s="191"/>
    </row>
    <row r="867" spans="1:12" ht="12.75" x14ac:dyDescent="0.2">
      <c r="A867" s="95"/>
      <c r="B867" s="95"/>
      <c r="C867" s="94"/>
      <c r="D867" s="185"/>
      <c r="E867" s="95"/>
      <c r="F867" s="95"/>
      <c r="G867" s="94"/>
      <c r="H867" s="185"/>
      <c r="I867" s="95"/>
      <c r="J867" s="95"/>
      <c r="K867" s="94"/>
      <c r="L867" s="191"/>
    </row>
    <row r="868" spans="1:12" ht="12.75" x14ac:dyDescent="0.2">
      <c r="A868" s="95"/>
      <c r="B868" s="95"/>
      <c r="C868" s="94"/>
      <c r="D868" s="185"/>
      <c r="E868" s="95"/>
      <c r="F868" s="95"/>
      <c r="G868" s="94"/>
      <c r="H868" s="185"/>
      <c r="I868" s="95"/>
      <c r="J868" s="95"/>
      <c r="K868" s="94"/>
      <c r="L868" s="191"/>
    </row>
    <row r="869" spans="1:12" ht="12.75" x14ac:dyDescent="0.2">
      <c r="A869" s="95"/>
      <c r="B869" s="95"/>
      <c r="C869" s="94"/>
      <c r="D869" s="185"/>
      <c r="E869" s="95"/>
      <c r="F869" s="95"/>
      <c r="G869" s="94"/>
      <c r="H869" s="185"/>
      <c r="I869" s="95"/>
      <c r="J869" s="95"/>
      <c r="K869" s="94"/>
      <c r="L869" s="191"/>
    </row>
    <row r="870" spans="1:12" ht="12.75" x14ac:dyDescent="0.2">
      <c r="A870" s="95"/>
      <c r="B870" s="95"/>
      <c r="C870" s="94"/>
      <c r="D870" s="185"/>
      <c r="E870" s="95"/>
      <c r="F870" s="95"/>
      <c r="G870" s="94"/>
      <c r="H870" s="185"/>
      <c r="I870" s="95"/>
      <c r="J870" s="95"/>
      <c r="K870" s="94"/>
      <c r="L870" s="191"/>
    </row>
    <row r="871" spans="1:12" ht="12.75" x14ac:dyDescent="0.2">
      <c r="A871" s="95"/>
      <c r="B871" s="95"/>
      <c r="C871" s="94"/>
      <c r="D871" s="185"/>
      <c r="E871" s="95"/>
      <c r="F871" s="95"/>
      <c r="G871" s="94"/>
      <c r="H871" s="185"/>
      <c r="I871" s="95"/>
      <c r="J871" s="95"/>
      <c r="K871" s="94"/>
      <c r="L871" s="191"/>
    </row>
    <row r="872" spans="1:12" ht="12.75" x14ac:dyDescent="0.2">
      <c r="A872" s="95"/>
      <c r="B872" s="95"/>
      <c r="C872" s="94"/>
      <c r="D872" s="185"/>
      <c r="E872" s="95"/>
      <c r="F872" s="95"/>
      <c r="G872" s="94"/>
      <c r="H872" s="185"/>
      <c r="I872" s="95"/>
      <c r="J872" s="95"/>
      <c r="K872" s="94"/>
      <c r="L872" s="191"/>
    </row>
    <row r="873" spans="1:12" ht="12.75" x14ac:dyDescent="0.2">
      <c r="A873" s="95"/>
      <c r="B873" s="95"/>
      <c r="C873" s="94"/>
      <c r="D873" s="185"/>
      <c r="E873" s="95"/>
      <c r="F873" s="95"/>
      <c r="G873" s="94"/>
      <c r="H873" s="185"/>
      <c r="I873" s="95"/>
      <c r="J873" s="95"/>
      <c r="K873" s="94"/>
      <c r="L873" s="191"/>
    </row>
    <row r="874" spans="1:12" ht="12.75" x14ac:dyDescent="0.2">
      <c r="A874" s="95"/>
      <c r="B874" s="95"/>
      <c r="C874" s="94"/>
      <c r="D874" s="185"/>
      <c r="E874" s="95"/>
      <c r="F874" s="95"/>
      <c r="G874" s="94"/>
      <c r="H874" s="185"/>
      <c r="I874" s="95"/>
      <c r="J874" s="95"/>
      <c r="K874" s="94"/>
      <c r="L874" s="191"/>
    </row>
    <row r="875" spans="1:12" ht="12.75" x14ac:dyDescent="0.2">
      <c r="A875" s="95"/>
      <c r="B875" s="95"/>
      <c r="C875" s="94"/>
      <c r="D875" s="185"/>
      <c r="E875" s="95"/>
      <c r="F875" s="95"/>
      <c r="G875" s="94"/>
      <c r="H875" s="185"/>
      <c r="I875" s="95"/>
      <c r="J875" s="95"/>
      <c r="K875" s="94"/>
      <c r="L875" s="191"/>
    </row>
    <row r="876" spans="1:12" ht="12.75" x14ac:dyDescent="0.2">
      <c r="A876" s="95"/>
      <c r="B876" s="95"/>
      <c r="C876" s="94"/>
      <c r="D876" s="185"/>
      <c r="E876" s="95"/>
      <c r="F876" s="95"/>
      <c r="G876" s="94"/>
      <c r="H876" s="185"/>
      <c r="I876" s="95"/>
      <c r="J876" s="95"/>
      <c r="K876" s="94"/>
      <c r="L876" s="191"/>
    </row>
    <row r="877" spans="1:12" ht="12.75" x14ac:dyDescent="0.2">
      <c r="A877" s="95"/>
      <c r="B877" s="95"/>
      <c r="C877" s="94"/>
      <c r="D877" s="185"/>
      <c r="E877" s="95"/>
      <c r="F877" s="95"/>
      <c r="G877" s="94"/>
      <c r="H877" s="185"/>
      <c r="I877" s="95"/>
      <c r="J877" s="95"/>
      <c r="K877" s="94"/>
      <c r="L877" s="191"/>
    </row>
    <row r="878" spans="1:12" ht="12.75" x14ac:dyDescent="0.2">
      <c r="A878" s="95"/>
      <c r="B878" s="95"/>
      <c r="C878" s="94"/>
      <c r="D878" s="185"/>
      <c r="E878" s="95"/>
      <c r="F878" s="95"/>
      <c r="G878" s="94"/>
      <c r="H878" s="185"/>
      <c r="I878" s="95"/>
      <c r="J878" s="95"/>
      <c r="K878" s="94"/>
      <c r="L878" s="191"/>
    </row>
    <row r="879" spans="1:12" ht="12.75" x14ac:dyDescent="0.2">
      <c r="A879" s="95"/>
      <c r="B879" s="95"/>
      <c r="C879" s="94"/>
      <c r="D879" s="185"/>
      <c r="E879" s="95"/>
      <c r="F879" s="95"/>
      <c r="G879" s="94"/>
      <c r="H879" s="185"/>
      <c r="I879" s="95"/>
      <c r="J879" s="95"/>
      <c r="K879" s="94"/>
      <c r="L879" s="191"/>
    </row>
    <row r="880" spans="1:12" ht="12.75" x14ac:dyDescent="0.2">
      <c r="A880" s="95"/>
      <c r="B880" s="95"/>
      <c r="C880" s="94"/>
      <c r="D880" s="185"/>
      <c r="E880" s="95"/>
      <c r="F880" s="95"/>
      <c r="G880" s="94"/>
      <c r="H880" s="185"/>
      <c r="I880" s="95"/>
      <c r="J880" s="95"/>
      <c r="K880" s="94"/>
      <c r="L880" s="191"/>
    </row>
    <row r="881" spans="1:12" ht="12.75" x14ac:dyDescent="0.2">
      <c r="A881" s="95"/>
      <c r="B881" s="95"/>
      <c r="C881" s="94"/>
      <c r="D881" s="185"/>
      <c r="E881" s="95"/>
      <c r="F881" s="95"/>
      <c r="G881" s="94"/>
      <c r="H881" s="185"/>
      <c r="I881" s="95"/>
      <c r="J881" s="95"/>
      <c r="K881" s="94"/>
      <c r="L881" s="191"/>
    </row>
    <row r="882" spans="1:12" ht="12.75" x14ac:dyDescent="0.2">
      <c r="A882" s="95"/>
      <c r="B882" s="95"/>
      <c r="C882" s="94"/>
      <c r="D882" s="185"/>
      <c r="E882" s="95"/>
      <c r="F882" s="95"/>
      <c r="G882" s="94"/>
      <c r="H882" s="185"/>
      <c r="I882" s="95"/>
      <c r="J882" s="95"/>
      <c r="K882" s="94"/>
      <c r="L882" s="191"/>
    </row>
    <row r="883" spans="1:12" ht="12.75" x14ac:dyDescent="0.2">
      <c r="A883" s="95"/>
      <c r="B883" s="95"/>
      <c r="C883" s="94"/>
      <c r="D883" s="185"/>
      <c r="E883" s="95"/>
      <c r="F883" s="95"/>
      <c r="G883" s="94"/>
      <c r="H883" s="185"/>
      <c r="I883" s="95"/>
      <c r="J883" s="95"/>
      <c r="K883" s="94"/>
      <c r="L883" s="191"/>
    </row>
    <row r="884" spans="1:12" ht="12.75" x14ac:dyDescent="0.2">
      <c r="A884" s="95"/>
      <c r="B884" s="95"/>
      <c r="C884" s="94"/>
      <c r="D884" s="185"/>
      <c r="E884" s="95"/>
      <c r="F884" s="95"/>
      <c r="G884" s="94"/>
      <c r="H884" s="185"/>
      <c r="I884" s="95"/>
      <c r="J884" s="95"/>
      <c r="K884" s="94"/>
      <c r="L884" s="191"/>
    </row>
    <row r="885" spans="1:12" ht="12.75" x14ac:dyDescent="0.2">
      <c r="A885" s="95"/>
      <c r="B885" s="95"/>
      <c r="C885" s="94"/>
      <c r="D885" s="185"/>
      <c r="E885" s="95"/>
      <c r="F885" s="95"/>
      <c r="G885" s="94"/>
      <c r="H885" s="185"/>
      <c r="I885" s="95"/>
      <c r="J885" s="95"/>
      <c r="K885" s="94"/>
      <c r="L885" s="191"/>
    </row>
    <row r="886" spans="1:12" ht="12.75" x14ac:dyDescent="0.2">
      <c r="A886" s="95"/>
      <c r="B886" s="95"/>
      <c r="C886" s="94"/>
      <c r="D886" s="185"/>
      <c r="E886" s="95"/>
      <c r="F886" s="95"/>
      <c r="G886" s="94"/>
      <c r="H886" s="185"/>
      <c r="I886" s="95"/>
      <c r="J886" s="95"/>
      <c r="K886" s="94"/>
      <c r="L886" s="191"/>
    </row>
    <row r="887" spans="1:12" ht="12.75" x14ac:dyDescent="0.2">
      <c r="A887" s="95"/>
      <c r="B887" s="95"/>
      <c r="C887" s="94"/>
      <c r="D887" s="185"/>
      <c r="E887" s="95"/>
      <c r="F887" s="95"/>
      <c r="G887" s="94"/>
      <c r="H887" s="185"/>
      <c r="I887" s="95"/>
      <c r="J887" s="95"/>
      <c r="K887" s="94"/>
      <c r="L887" s="191"/>
    </row>
    <row r="888" spans="1:12" ht="12.75" x14ac:dyDescent="0.2">
      <c r="A888" s="95"/>
      <c r="B888" s="95"/>
      <c r="C888" s="94"/>
      <c r="D888" s="185"/>
      <c r="E888" s="95"/>
      <c r="F888" s="95"/>
      <c r="G888" s="94"/>
      <c r="H888" s="185"/>
      <c r="I888" s="95"/>
      <c r="J888" s="95"/>
      <c r="K888" s="94"/>
      <c r="L888" s="191"/>
    </row>
    <row r="889" spans="1:12" ht="12.75" x14ac:dyDescent="0.2">
      <c r="A889" s="95"/>
      <c r="B889" s="95"/>
      <c r="C889" s="94"/>
      <c r="D889" s="185"/>
      <c r="E889" s="95"/>
      <c r="F889" s="95"/>
      <c r="G889" s="94"/>
      <c r="H889" s="185"/>
      <c r="I889" s="95"/>
      <c r="J889" s="95"/>
      <c r="K889" s="94"/>
      <c r="L889" s="191"/>
    </row>
    <row r="890" spans="1:12" ht="12.75" x14ac:dyDescent="0.2">
      <c r="A890" s="95"/>
      <c r="B890" s="95"/>
      <c r="C890" s="94"/>
      <c r="D890" s="185"/>
      <c r="E890" s="95"/>
      <c r="F890" s="95"/>
      <c r="G890" s="94"/>
      <c r="H890" s="185"/>
      <c r="I890" s="95"/>
      <c r="J890" s="95"/>
      <c r="K890" s="94"/>
      <c r="L890" s="191"/>
    </row>
    <row r="891" spans="1:12" ht="12.75" x14ac:dyDescent="0.2">
      <c r="A891" s="95"/>
      <c r="B891" s="95"/>
      <c r="C891" s="94"/>
      <c r="D891" s="185"/>
      <c r="E891" s="95"/>
      <c r="F891" s="95"/>
      <c r="G891" s="94"/>
      <c r="H891" s="185"/>
      <c r="I891" s="95"/>
      <c r="J891" s="95"/>
      <c r="K891" s="94"/>
      <c r="L891" s="191"/>
    </row>
    <row r="892" spans="1:12" ht="12.75" x14ac:dyDescent="0.2">
      <c r="A892" s="95"/>
      <c r="B892" s="95"/>
      <c r="C892" s="94"/>
      <c r="D892" s="185"/>
      <c r="E892" s="95"/>
      <c r="F892" s="95"/>
      <c r="G892" s="94"/>
      <c r="H892" s="185"/>
      <c r="I892" s="95"/>
      <c r="J892" s="95"/>
      <c r="K892" s="94"/>
      <c r="L892" s="191"/>
    </row>
    <row r="893" spans="1:12" ht="12.75" x14ac:dyDescent="0.2">
      <c r="A893" s="95"/>
      <c r="B893" s="95"/>
      <c r="C893" s="94"/>
      <c r="D893" s="185"/>
      <c r="E893" s="95"/>
      <c r="F893" s="95"/>
      <c r="G893" s="94"/>
      <c r="H893" s="185"/>
      <c r="I893" s="95"/>
      <c r="J893" s="95"/>
      <c r="K893" s="94"/>
      <c r="L893" s="191"/>
    </row>
    <row r="894" spans="1:12" ht="12.75" x14ac:dyDescent="0.2">
      <c r="A894" s="95"/>
      <c r="B894" s="95"/>
      <c r="C894" s="94"/>
      <c r="D894" s="185"/>
      <c r="E894" s="95"/>
      <c r="F894" s="95"/>
      <c r="G894" s="94"/>
      <c r="H894" s="185"/>
      <c r="I894" s="95"/>
      <c r="J894" s="95"/>
      <c r="K894" s="94"/>
      <c r="L894" s="191"/>
    </row>
    <row r="895" spans="1:12" ht="12.75" x14ac:dyDescent="0.2">
      <c r="A895" s="95"/>
      <c r="B895" s="95"/>
      <c r="C895" s="94"/>
      <c r="D895" s="185"/>
      <c r="E895" s="95"/>
      <c r="F895" s="95"/>
      <c r="G895" s="94"/>
      <c r="H895" s="185"/>
      <c r="I895" s="95"/>
      <c r="J895" s="95"/>
      <c r="K895" s="94"/>
      <c r="L895" s="191"/>
    </row>
    <row r="896" spans="1:12" ht="12.75" x14ac:dyDescent="0.2">
      <c r="A896" s="95"/>
      <c r="B896" s="95"/>
      <c r="C896" s="94"/>
      <c r="D896" s="185"/>
      <c r="E896" s="95"/>
      <c r="F896" s="95"/>
      <c r="G896" s="94"/>
      <c r="H896" s="185"/>
      <c r="I896" s="95"/>
      <c r="J896" s="95"/>
      <c r="K896" s="94"/>
      <c r="L896" s="191"/>
    </row>
    <row r="897" spans="1:12" ht="12.75" x14ac:dyDescent="0.2">
      <c r="A897" s="95"/>
      <c r="B897" s="95"/>
      <c r="C897" s="94"/>
      <c r="D897" s="185"/>
      <c r="E897" s="95"/>
      <c r="F897" s="95"/>
      <c r="G897" s="94"/>
      <c r="H897" s="185"/>
      <c r="I897" s="95"/>
      <c r="J897" s="95"/>
      <c r="K897" s="94"/>
      <c r="L897" s="191"/>
    </row>
    <row r="898" spans="1:12" ht="12.75" x14ac:dyDescent="0.2">
      <c r="A898" s="95"/>
      <c r="B898" s="95"/>
      <c r="C898" s="94"/>
      <c r="D898" s="185"/>
      <c r="E898" s="95"/>
      <c r="F898" s="95"/>
      <c r="G898" s="94"/>
      <c r="H898" s="185"/>
      <c r="I898" s="95"/>
      <c r="J898" s="95"/>
      <c r="K898" s="94"/>
      <c r="L898" s="191"/>
    </row>
    <row r="899" spans="1:12" ht="12.75" x14ac:dyDescent="0.2">
      <c r="A899" s="95"/>
      <c r="B899" s="95"/>
      <c r="C899" s="94"/>
      <c r="D899" s="185"/>
      <c r="E899" s="95"/>
      <c r="F899" s="95"/>
      <c r="G899" s="94"/>
      <c r="H899" s="185"/>
      <c r="I899" s="95"/>
      <c r="J899" s="95"/>
      <c r="K899" s="94"/>
      <c r="L899" s="191"/>
    </row>
    <row r="900" spans="1:12" ht="12.75" x14ac:dyDescent="0.2">
      <c r="A900" s="95"/>
      <c r="B900" s="95"/>
      <c r="C900" s="94"/>
      <c r="D900" s="185"/>
      <c r="E900" s="95"/>
      <c r="F900" s="95"/>
      <c r="G900" s="94"/>
      <c r="H900" s="185"/>
      <c r="I900" s="95"/>
      <c r="J900" s="95"/>
      <c r="K900" s="94"/>
      <c r="L900" s="191"/>
    </row>
    <row r="901" spans="1:12" ht="12.75" x14ac:dyDescent="0.2">
      <c r="A901" s="95"/>
      <c r="B901" s="95"/>
      <c r="C901" s="94"/>
      <c r="D901" s="185"/>
      <c r="E901" s="95"/>
      <c r="F901" s="95"/>
      <c r="G901" s="94"/>
      <c r="H901" s="185"/>
      <c r="I901" s="95"/>
      <c r="J901" s="95"/>
      <c r="K901" s="94"/>
      <c r="L901" s="191"/>
    </row>
    <row r="902" spans="1:12" ht="12.75" x14ac:dyDescent="0.2">
      <c r="A902" s="95"/>
      <c r="B902" s="95"/>
      <c r="C902" s="94"/>
      <c r="D902" s="185"/>
      <c r="E902" s="95"/>
      <c r="F902" s="95"/>
      <c r="G902" s="94"/>
      <c r="H902" s="185"/>
      <c r="I902" s="95"/>
      <c r="J902" s="95"/>
      <c r="K902" s="94"/>
      <c r="L902" s="191"/>
    </row>
    <row r="903" spans="1:12" ht="12.75" x14ac:dyDescent="0.2">
      <c r="A903" s="95"/>
      <c r="B903" s="95"/>
      <c r="C903" s="94"/>
      <c r="D903" s="185"/>
      <c r="E903" s="95"/>
      <c r="F903" s="95"/>
      <c r="G903" s="94"/>
      <c r="H903" s="185"/>
      <c r="I903" s="95"/>
      <c r="J903" s="95"/>
      <c r="K903" s="94"/>
      <c r="L903" s="191"/>
    </row>
    <row r="904" spans="1:12" ht="12.75" x14ac:dyDescent="0.2">
      <c r="A904" s="95"/>
      <c r="B904" s="95"/>
      <c r="C904" s="94"/>
      <c r="D904" s="185"/>
      <c r="E904" s="95"/>
      <c r="F904" s="95"/>
      <c r="G904" s="94"/>
      <c r="H904" s="185"/>
      <c r="I904" s="95"/>
      <c r="J904" s="95"/>
      <c r="K904" s="94"/>
      <c r="L904" s="191"/>
    </row>
    <row r="905" spans="1:12" ht="12.75" x14ac:dyDescent="0.2">
      <c r="A905" s="95"/>
      <c r="B905" s="95"/>
      <c r="C905" s="94"/>
      <c r="D905" s="185"/>
      <c r="E905" s="95"/>
      <c r="F905" s="95"/>
      <c r="G905" s="94"/>
      <c r="H905" s="185"/>
      <c r="I905" s="95"/>
      <c r="J905" s="95"/>
      <c r="K905" s="94"/>
      <c r="L905" s="191"/>
    </row>
    <row r="906" spans="1:12" ht="12.75" x14ac:dyDescent="0.2">
      <c r="A906" s="95"/>
      <c r="B906" s="95"/>
      <c r="C906" s="94"/>
      <c r="D906" s="185"/>
      <c r="E906" s="95"/>
      <c r="F906" s="95"/>
      <c r="G906" s="94"/>
      <c r="H906" s="185"/>
      <c r="I906" s="95"/>
      <c r="J906" s="95"/>
      <c r="K906" s="94"/>
      <c r="L906" s="191"/>
    </row>
    <row r="907" spans="1:12" ht="12.75" x14ac:dyDescent="0.2">
      <c r="A907" s="95"/>
      <c r="B907" s="95"/>
      <c r="C907" s="94"/>
      <c r="D907" s="185"/>
      <c r="E907" s="95"/>
      <c r="F907" s="95"/>
      <c r="G907" s="94"/>
      <c r="H907" s="185"/>
      <c r="I907" s="95"/>
      <c r="J907" s="95"/>
      <c r="K907" s="94"/>
      <c r="L907" s="191"/>
    </row>
    <row r="908" spans="1:12" ht="12.75" x14ac:dyDescent="0.2">
      <c r="A908" s="95"/>
      <c r="B908" s="95"/>
      <c r="C908" s="94"/>
      <c r="D908" s="185"/>
      <c r="E908" s="95"/>
      <c r="F908" s="95"/>
      <c r="G908" s="94"/>
      <c r="H908" s="185"/>
      <c r="I908" s="95"/>
      <c r="J908" s="95"/>
      <c r="K908" s="94"/>
      <c r="L908" s="191"/>
    </row>
    <row r="909" spans="1:12" ht="12.75" x14ac:dyDescent="0.2">
      <c r="A909" s="95"/>
      <c r="B909" s="95"/>
      <c r="C909" s="94"/>
      <c r="D909" s="185"/>
      <c r="E909" s="95"/>
      <c r="F909" s="95"/>
      <c r="G909" s="94"/>
      <c r="H909" s="185"/>
      <c r="I909" s="95"/>
      <c r="J909" s="95"/>
      <c r="K909" s="94"/>
      <c r="L909" s="191"/>
    </row>
    <row r="910" spans="1:12" ht="12.75" x14ac:dyDescent="0.2">
      <c r="A910" s="95"/>
      <c r="B910" s="95"/>
      <c r="C910" s="94"/>
      <c r="D910" s="185"/>
      <c r="E910" s="95"/>
      <c r="F910" s="95"/>
      <c r="G910" s="94"/>
      <c r="H910" s="185"/>
      <c r="I910" s="95"/>
      <c r="J910" s="95"/>
      <c r="K910" s="94"/>
      <c r="L910" s="191"/>
    </row>
    <row r="911" spans="1:12" ht="12.75" x14ac:dyDescent="0.2">
      <c r="A911" s="95"/>
      <c r="B911" s="95"/>
      <c r="C911" s="94"/>
      <c r="D911" s="185"/>
      <c r="E911" s="95"/>
      <c r="F911" s="95"/>
      <c r="G911" s="94"/>
      <c r="H911" s="185"/>
      <c r="I911" s="95"/>
      <c r="J911" s="95"/>
      <c r="K911" s="94"/>
      <c r="L911" s="191"/>
    </row>
    <row r="912" spans="1:12" ht="12.75" x14ac:dyDescent="0.2">
      <c r="A912" s="95"/>
      <c r="B912" s="95"/>
      <c r="C912" s="94"/>
      <c r="D912" s="185"/>
      <c r="E912" s="95"/>
      <c r="F912" s="95"/>
      <c r="G912" s="94"/>
      <c r="H912" s="185"/>
      <c r="I912" s="95"/>
      <c r="J912" s="95"/>
      <c r="K912" s="94"/>
      <c r="L912" s="191"/>
    </row>
    <row r="913" spans="1:12" ht="12.75" x14ac:dyDescent="0.2">
      <c r="A913" s="95"/>
      <c r="B913" s="95"/>
      <c r="C913" s="94"/>
      <c r="D913" s="185"/>
      <c r="E913" s="95"/>
      <c r="F913" s="95"/>
      <c r="G913" s="94"/>
      <c r="H913" s="185"/>
      <c r="I913" s="95"/>
      <c r="J913" s="95"/>
      <c r="K913" s="94"/>
      <c r="L913" s="191"/>
    </row>
    <row r="914" spans="1:12" ht="12.75" x14ac:dyDescent="0.2">
      <c r="A914" s="95"/>
      <c r="B914" s="95"/>
      <c r="C914" s="94"/>
      <c r="D914" s="185"/>
      <c r="E914" s="95"/>
      <c r="F914" s="95"/>
      <c r="G914" s="94"/>
      <c r="H914" s="185"/>
      <c r="I914" s="95"/>
      <c r="J914" s="95"/>
      <c r="K914" s="94"/>
      <c r="L914" s="191"/>
    </row>
    <row r="915" spans="1:12" ht="12.75" x14ac:dyDescent="0.2">
      <c r="A915" s="95"/>
      <c r="B915" s="95"/>
      <c r="C915" s="94"/>
      <c r="D915" s="185"/>
      <c r="E915" s="95"/>
      <c r="F915" s="95"/>
      <c r="G915" s="94"/>
      <c r="H915" s="185"/>
      <c r="I915" s="95"/>
      <c r="J915" s="95"/>
      <c r="K915" s="94"/>
      <c r="L915" s="191"/>
    </row>
    <row r="916" spans="1:12" ht="12.75" x14ac:dyDescent="0.2">
      <c r="A916" s="95"/>
      <c r="B916" s="95"/>
      <c r="C916" s="94"/>
      <c r="D916" s="185"/>
      <c r="E916" s="95"/>
      <c r="F916" s="95"/>
      <c r="G916" s="94"/>
      <c r="H916" s="185"/>
      <c r="I916" s="95"/>
      <c r="J916" s="95"/>
      <c r="K916" s="94"/>
      <c r="L916" s="191"/>
    </row>
    <row r="917" spans="1:12" ht="12.75" x14ac:dyDescent="0.2">
      <c r="A917" s="95"/>
      <c r="B917" s="95"/>
      <c r="C917" s="94"/>
      <c r="D917" s="185"/>
      <c r="E917" s="95"/>
      <c r="F917" s="95"/>
      <c r="G917" s="94"/>
      <c r="H917" s="185"/>
      <c r="I917" s="95"/>
      <c r="J917" s="95"/>
      <c r="K917" s="94"/>
      <c r="L917" s="191"/>
    </row>
    <row r="918" spans="1:12" ht="12.75" x14ac:dyDescent="0.2">
      <c r="A918" s="95"/>
      <c r="B918" s="95"/>
      <c r="C918" s="94"/>
      <c r="D918" s="185"/>
      <c r="E918" s="95"/>
      <c r="F918" s="95"/>
      <c r="G918" s="94"/>
      <c r="H918" s="185"/>
      <c r="I918" s="95"/>
      <c r="J918" s="95"/>
      <c r="K918" s="94"/>
      <c r="L918" s="191"/>
    </row>
    <row r="919" spans="1:12" ht="12.75" x14ac:dyDescent="0.2">
      <c r="A919" s="95"/>
      <c r="B919" s="95"/>
      <c r="C919" s="94"/>
      <c r="D919" s="185"/>
      <c r="E919" s="95"/>
      <c r="F919" s="95"/>
      <c r="G919" s="94"/>
      <c r="H919" s="185"/>
      <c r="I919" s="95"/>
      <c r="J919" s="95"/>
      <c r="K919" s="94"/>
      <c r="L919" s="191"/>
    </row>
    <row r="920" spans="1:12" ht="12.75" x14ac:dyDescent="0.2">
      <c r="A920" s="95"/>
      <c r="B920" s="95"/>
      <c r="C920" s="94"/>
      <c r="D920" s="185"/>
      <c r="E920" s="95"/>
      <c r="F920" s="95"/>
      <c r="G920" s="94"/>
      <c r="H920" s="185"/>
      <c r="I920" s="95"/>
      <c r="J920" s="95"/>
      <c r="K920" s="94"/>
      <c r="L920" s="191"/>
    </row>
    <row r="921" spans="1:12" ht="12.75" x14ac:dyDescent="0.2">
      <c r="A921" s="95"/>
      <c r="B921" s="95"/>
      <c r="C921" s="94"/>
      <c r="D921" s="185"/>
      <c r="E921" s="95"/>
      <c r="F921" s="95"/>
      <c r="G921" s="94"/>
      <c r="H921" s="185"/>
      <c r="I921" s="95"/>
      <c r="J921" s="95"/>
      <c r="K921" s="94"/>
      <c r="L921" s="191"/>
    </row>
    <row r="922" spans="1:12" ht="12.75" x14ac:dyDescent="0.2">
      <c r="A922" s="95"/>
      <c r="B922" s="95"/>
      <c r="C922" s="94"/>
      <c r="D922" s="185"/>
      <c r="E922" s="95"/>
      <c r="F922" s="95"/>
      <c r="G922" s="94"/>
      <c r="H922" s="185"/>
      <c r="I922" s="95"/>
      <c r="J922" s="95"/>
      <c r="K922" s="94"/>
      <c r="L922" s="191"/>
    </row>
    <row r="923" spans="1:12" ht="12.75" x14ac:dyDescent="0.2">
      <c r="A923" s="95"/>
      <c r="B923" s="95"/>
      <c r="C923" s="94"/>
      <c r="D923" s="185"/>
      <c r="E923" s="95"/>
      <c r="F923" s="95"/>
      <c r="G923" s="94"/>
      <c r="H923" s="185"/>
      <c r="I923" s="95"/>
      <c r="J923" s="95"/>
      <c r="K923" s="94"/>
      <c r="L923" s="191"/>
    </row>
    <row r="924" spans="1:12" ht="12.75" x14ac:dyDescent="0.2">
      <c r="A924" s="95"/>
      <c r="B924" s="95"/>
      <c r="C924" s="94"/>
      <c r="D924" s="185"/>
      <c r="E924" s="95"/>
      <c r="F924" s="95"/>
      <c r="G924" s="94"/>
      <c r="H924" s="185"/>
      <c r="I924" s="95"/>
      <c r="J924" s="95"/>
      <c r="K924" s="94"/>
      <c r="L924" s="191"/>
    </row>
    <row r="925" spans="1:12" ht="12.75" x14ac:dyDescent="0.2">
      <c r="A925" s="95"/>
      <c r="B925" s="95"/>
      <c r="C925" s="94"/>
      <c r="D925" s="185"/>
      <c r="E925" s="95"/>
      <c r="F925" s="95"/>
      <c r="G925" s="94"/>
      <c r="H925" s="185"/>
      <c r="I925" s="95"/>
      <c r="J925" s="95"/>
      <c r="K925" s="94"/>
      <c r="L925" s="191"/>
    </row>
    <row r="926" spans="1:12" ht="12.75" x14ac:dyDescent="0.2">
      <c r="A926" s="95"/>
      <c r="B926" s="95"/>
      <c r="C926" s="94"/>
      <c r="D926" s="185"/>
      <c r="E926" s="95"/>
      <c r="F926" s="95"/>
      <c r="G926" s="94"/>
      <c r="H926" s="185"/>
      <c r="I926" s="95"/>
      <c r="J926" s="95"/>
      <c r="K926" s="94"/>
      <c r="L926" s="191"/>
    </row>
    <row r="927" spans="1:12" ht="12.75" x14ac:dyDescent="0.2">
      <c r="A927" s="95"/>
      <c r="B927" s="95"/>
      <c r="C927" s="94"/>
      <c r="D927" s="185"/>
      <c r="E927" s="95"/>
      <c r="F927" s="95"/>
      <c r="G927" s="94"/>
      <c r="H927" s="185"/>
      <c r="I927" s="95"/>
      <c r="J927" s="95"/>
      <c r="K927" s="94"/>
      <c r="L927" s="191"/>
    </row>
    <row r="928" spans="1:12" ht="12.75" x14ac:dyDescent="0.2">
      <c r="A928" s="95"/>
      <c r="B928" s="95"/>
      <c r="C928" s="94"/>
      <c r="D928" s="185"/>
      <c r="E928" s="95"/>
      <c r="F928" s="95"/>
      <c r="G928" s="94"/>
      <c r="H928" s="185"/>
      <c r="I928" s="95"/>
      <c r="J928" s="95"/>
      <c r="K928" s="94"/>
      <c r="L928" s="191"/>
    </row>
    <row r="929" spans="1:12" ht="12.75" x14ac:dyDescent="0.2">
      <c r="A929" s="95"/>
      <c r="B929" s="95"/>
      <c r="C929" s="94"/>
      <c r="D929" s="185"/>
      <c r="E929" s="95"/>
      <c r="F929" s="95"/>
      <c r="G929" s="94"/>
      <c r="H929" s="185"/>
      <c r="I929" s="95"/>
      <c r="J929" s="95"/>
      <c r="K929" s="94"/>
      <c r="L929" s="191"/>
    </row>
    <row r="930" spans="1:12" ht="12.75" x14ac:dyDescent="0.2">
      <c r="A930" s="95"/>
      <c r="B930" s="95"/>
      <c r="C930" s="94"/>
      <c r="D930" s="185"/>
      <c r="E930" s="95"/>
      <c r="F930" s="95"/>
      <c r="G930" s="94"/>
      <c r="H930" s="185"/>
      <c r="I930" s="95"/>
      <c r="J930" s="95"/>
      <c r="K930" s="94"/>
      <c r="L930" s="191"/>
    </row>
    <row r="931" spans="1:12" ht="12.75" x14ac:dyDescent="0.2">
      <c r="A931" s="95"/>
      <c r="B931" s="95"/>
      <c r="C931" s="94"/>
      <c r="D931" s="185"/>
      <c r="E931" s="95"/>
      <c r="F931" s="95"/>
      <c r="G931" s="94"/>
      <c r="H931" s="185"/>
      <c r="I931" s="95"/>
      <c r="J931" s="95"/>
      <c r="K931" s="94"/>
      <c r="L931" s="191"/>
    </row>
    <row r="932" spans="1:12" ht="12.75" x14ac:dyDescent="0.2">
      <c r="A932" s="95"/>
      <c r="B932" s="95"/>
      <c r="C932" s="94"/>
      <c r="D932" s="185"/>
      <c r="E932" s="95"/>
      <c r="F932" s="95"/>
      <c r="G932" s="94"/>
      <c r="H932" s="185"/>
      <c r="I932" s="95"/>
      <c r="J932" s="95"/>
      <c r="K932" s="94"/>
      <c r="L932" s="191"/>
    </row>
    <row r="933" spans="1:12" ht="12.75" x14ac:dyDescent="0.2">
      <c r="A933" s="95"/>
      <c r="B933" s="95"/>
      <c r="C933" s="94"/>
      <c r="D933" s="185"/>
      <c r="E933" s="95"/>
      <c r="F933" s="95"/>
      <c r="G933" s="94"/>
      <c r="H933" s="185"/>
      <c r="I933" s="95"/>
      <c r="J933" s="95"/>
      <c r="K933" s="94"/>
      <c r="L933" s="191"/>
    </row>
    <row r="934" spans="1:12" ht="12.75" x14ac:dyDescent="0.2">
      <c r="A934" s="95"/>
      <c r="B934" s="95"/>
      <c r="C934" s="94"/>
      <c r="D934" s="185"/>
      <c r="E934" s="95"/>
      <c r="F934" s="95"/>
      <c r="G934" s="94"/>
      <c r="H934" s="185"/>
      <c r="I934" s="95"/>
      <c r="J934" s="95"/>
      <c r="K934" s="94"/>
      <c r="L934" s="191"/>
    </row>
    <row r="935" spans="1:12" ht="12.75" x14ac:dyDescent="0.2">
      <c r="A935" s="95"/>
      <c r="B935" s="95"/>
      <c r="C935" s="94"/>
      <c r="D935" s="185"/>
      <c r="E935" s="95"/>
      <c r="F935" s="95"/>
      <c r="G935" s="94"/>
      <c r="H935" s="185"/>
      <c r="I935" s="95"/>
      <c r="J935" s="95"/>
      <c r="K935" s="94"/>
      <c r="L935" s="191"/>
    </row>
    <row r="936" spans="1:12" ht="12.75" x14ac:dyDescent="0.2">
      <c r="A936" s="95"/>
      <c r="B936" s="95"/>
      <c r="C936" s="94"/>
      <c r="D936" s="185"/>
      <c r="E936" s="95"/>
      <c r="F936" s="95"/>
      <c r="G936" s="94"/>
      <c r="H936" s="185"/>
      <c r="I936" s="95"/>
      <c r="J936" s="95"/>
      <c r="K936" s="94"/>
      <c r="L936" s="191"/>
    </row>
    <row r="937" spans="1:12" ht="12.75" x14ac:dyDescent="0.2">
      <c r="A937" s="95"/>
      <c r="B937" s="95"/>
      <c r="C937" s="94"/>
      <c r="D937" s="185"/>
      <c r="E937" s="95"/>
      <c r="F937" s="95"/>
      <c r="G937" s="94"/>
      <c r="H937" s="185"/>
      <c r="I937" s="95"/>
      <c r="J937" s="95"/>
      <c r="K937" s="94"/>
      <c r="L937" s="191"/>
    </row>
    <row r="938" spans="1:12" ht="12.75" x14ac:dyDescent="0.2">
      <c r="A938" s="95"/>
      <c r="B938" s="95"/>
      <c r="C938" s="94"/>
      <c r="D938" s="185"/>
      <c r="E938" s="95"/>
      <c r="F938" s="95"/>
      <c r="G938" s="94"/>
      <c r="H938" s="185"/>
      <c r="I938" s="95"/>
      <c r="J938" s="95"/>
      <c r="K938" s="94"/>
      <c r="L938" s="191"/>
    </row>
    <row r="939" spans="1:12" ht="12.75" x14ac:dyDescent="0.2">
      <c r="A939" s="95"/>
      <c r="B939" s="95"/>
      <c r="C939" s="94"/>
      <c r="D939" s="185"/>
      <c r="E939" s="95"/>
      <c r="F939" s="95"/>
      <c r="G939" s="94"/>
      <c r="H939" s="185"/>
      <c r="I939" s="95"/>
      <c r="J939" s="95"/>
      <c r="K939" s="94"/>
      <c r="L939" s="191"/>
    </row>
    <row r="940" spans="1:12" ht="12.75" x14ac:dyDescent="0.2">
      <c r="A940" s="95"/>
      <c r="B940" s="95"/>
      <c r="C940" s="94"/>
      <c r="D940" s="185"/>
      <c r="E940" s="95"/>
      <c r="F940" s="95"/>
      <c r="G940" s="94"/>
      <c r="H940" s="185"/>
      <c r="I940" s="95"/>
      <c r="J940" s="95"/>
      <c r="K940" s="94"/>
      <c r="L940" s="191"/>
    </row>
    <row r="941" spans="1:12" ht="12.75" x14ac:dyDescent="0.2">
      <c r="A941" s="95"/>
      <c r="B941" s="95"/>
      <c r="C941" s="94"/>
      <c r="D941" s="185"/>
      <c r="E941" s="95"/>
      <c r="F941" s="95"/>
      <c r="G941" s="94"/>
      <c r="H941" s="185"/>
      <c r="I941" s="95"/>
      <c r="J941" s="95"/>
      <c r="K941" s="94"/>
      <c r="L941" s="191"/>
    </row>
    <row r="942" spans="1:12" ht="12.75" x14ac:dyDescent="0.2">
      <c r="A942" s="95"/>
      <c r="B942" s="95"/>
      <c r="C942" s="94"/>
      <c r="D942" s="185"/>
      <c r="E942" s="95"/>
      <c r="F942" s="95"/>
      <c r="G942" s="94"/>
      <c r="H942" s="185"/>
      <c r="I942" s="95"/>
      <c r="J942" s="95"/>
      <c r="K942" s="94"/>
      <c r="L942" s="191"/>
    </row>
    <row r="943" spans="1:12" ht="12.75" x14ac:dyDescent="0.2">
      <c r="A943" s="95"/>
      <c r="B943" s="95"/>
      <c r="C943" s="94"/>
      <c r="D943" s="185"/>
      <c r="E943" s="95"/>
      <c r="F943" s="95"/>
      <c r="G943" s="94"/>
      <c r="H943" s="185"/>
      <c r="I943" s="95"/>
      <c r="J943" s="95"/>
      <c r="K943" s="94"/>
      <c r="L943" s="191"/>
    </row>
    <row r="944" spans="1:12" ht="12.75" x14ac:dyDescent="0.2">
      <c r="A944" s="95"/>
      <c r="B944" s="95"/>
      <c r="C944" s="94"/>
      <c r="D944" s="185"/>
      <c r="E944" s="95"/>
      <c r="F944" s="95"/>
      <c r="G944" s="94"/>
      <c r="H944" s="185"/>
      <c r="I944" s="95"/>
      <c r="J944" s="95"/>
      <c r="K944" s="94"/>
      <c r="L944" s="191"/>
    </row>
    <row r="945" spans="1:12" ht="12.75" x14ac:dyDescent="0.2">
      <c r="A945" s="95"/>
      <c r="B945" s="95"/>
      <c r="C945" s="94"/>
      <c r="D945" s="185"/>
      <c r="E945" s="95"/>
      <c r="F945" s="95"/>
      <c r="G945" s="94"/>
      <c r="H945" s="185"/>
      <c r="I945" s="95"/>
      <c r="J945" s="95"/>
      <c r="K945" s="94"/>
      <c r="L945" s="191"/>
    </row>
    <row r="946" spans="1:12" ht="12.75" x14ac:dyDescent="0.2">
      <c r="A946" s="95"/>
      <c r="B946" s="95"/>
      <c r="C946" s="94"/>
      <c r="D946" s="185"/>
      <c r="E946" s="95"/>
      <c r="F946" s="95"/>
      <c r="G946" s="94"/>
      <c r="H946" s="185"/>
      <c r="I946" s="95"/>
      <c r="J946" s="95"/>
      <c r="K946" s="94"/>
      <c r="L946" s="191"/>
    </row>
    <row r="947" spans="1:12" ht="12.75" x14ac:dyDescent="0.2">
      <c r="A947" s="95"/>
      <c r="B947" s="95"/>
      <c r="C947" s="94"/>
      <c r="D947" s="185"/>
      <c r="E947" s="95"/>
      <c r="F947" s="95"/>
      <c r="G947" s="94"/>
      <c r="H947" s="185"/>
      <c r="I947" s="95"/>
      <c r="J947" s="95"/>
      <c r="K947" s="94"/>
      <c r="L947" s="191"/>
    </row>
    <row r="948" spans="1:12" ht="12.75" x14ac:dyDescent="0.2">
      <c r="A948" s="95"/>
      <c r="B948" s="95"/>
      <c r="C948" s="94"/>
      <c r="D948" s="185"/>
      <c r="E948" s="95"/>
      <c r="F948" s="95"/>
      <c r="G948" s="94"/>
      <c r="H948" s="185"/>
      <c r="I948" s="95"/>
      <c r="J948" s="95"/>
      <c r="K948" s="94"/>
      <c r="L948" s="191"/>
    </row>
    <row r="949" spans="1:12" ht="12.75" x14ac:dyDescent="0.2">
      <c r="A949" s="95"/>
      <c r="B949" s="95"/>
      <c r="C949" s="94"/>
      <c r="D949" s="185"/>
      <c r="E949" s="95"/>
      <c r="F949" s="95"/>
      <c r="G949" s="94"/>
      <c r="H949" s="185"/>
      <c r="I949" s="95"/>
      <c r="J949" s="95"/>
      <c r="K949" s="94"/>
      <c r="L949" s="191"/>
    </row>
    <row r="950" spans="1:12" ht="12.75" x14ac:dyDescent="0.2">
      <c r="A950" s="95"/>
      <c r="B950" s="95"/>
      <c r="C950" s="94"/>
      <c r="D950" s="185"/>
      <c r="E950" s="95"/>
      <c r="F950" s="95"/>
      <c r="G950" s="94"/>
      <c r="H950" s="185"/>
      <c r="I950" s="95"/>
      <c r="J950" s="95"/>
      <c r="K950" s="94"/>
      <c r="L950" s="191"/>
    </row>
    <row r="951" spans="1:12" ht="12.75" x14ac:dyDescent="0.2">
      <c r="A951" s="95"/>
      <c r="B951" s="95"/>
      <c r="C951" s="94"/>
      <c r="D951" s="185"/>
      <c r="E951" s="95"/>
      <c r="F951" s="95"/>
      <c r="G951" s="94"/>
      <c r="H951" s="185"/>
      <c r="I951" s="95"/>
      <c r="J951" s="95"/>
      <c r="K951" s="94"/>
      <c r="L951" s="191"/>
    </row>
    <row r="952" spans="1:12" ht="12.75" x14ac:dyDescent="0.2">
      <c r="A952" s="95"/>
      <c r="B952" s="95"/>
      <c r="C952" s="94"/>
      <c r="D952" s="185"/>
      <c r="E952" s="95"/>
      <c r="F952" s="95"/>
      <c r="G952" s="94"/>
      <c r="H952" s="185"/>
      <c r="I952" s="95"/>
      <c r="J952" s="95"/>
      <c r="K952" s="94"/>
      <c r="L952" s="191"/>
    </row>
    <row r="953" spans="1:12" ht="12.75" x14ac:dyDescent="0.2">
      <c r="A953" s="95"/>
      <c r="B953" s="95"/>
      <c r="C953" s="94"/>
      <c r="D953" s="185"/>
      <c r="E953" s="95"/>
      <c r="F953" s="95"/>
      <c r="G953" s="94"/>
      <c r="H953" s="185"/>
      <c r="I953" s="95"/>
      <c r="J953" s="95"/>
      <c r="K953" s="94"/>
      <c r="L953" s="191"/>
    </row>
    <row r="954" spans="1:12" ht="12.75" x14ac:dyDescent="0.2">
      <c r="A954" s="95"/>
      <c r="B954" s="95"/>
      <c r="C954" s="94"/>
      <c r="D954" s="185"/>
      <c r="E954" s="95"/>
      <c r="F954" s="95"/>
      <c r="G954" s="94"/>
      <c r="H954" s="185"/>
      <c r="I954" s="95"/>
      <c r="J954" s="95"/>
      <c r="K954" s="94"/>
      <c r="L954" s="191"/>
    </row>
    <row r="955" spans="1:12" ht="12.75" x14ac:dyDescent="0.2">
      <c r="A955" s="95"/>
      <c r="B955" s="95"/>
      <c r="C955" s="94"/>
      <c r="D955" s="185"/>
      <c r="E955" s="95"/>
      <c r="F955" s="95"/>
      <c r="G955" s="94"/>
      <c r="H955" s="185"/>
      <c r="I955" s="95"/>
      <c r="J955" s="95"/>
      <c r="K955" s="94"/>
      <c r="L955" s="191"/>
    </row>
    <row r="956" spans="1:12" ht="12.75" x14ac:dyDescent="0.2">
      <c r="A956" s="95"/>
      <c r="B956" s="95"/>
      <c r="C956" s="94"/>
      <c r="D956" s="185"/>
      <c r="E956" s="95"/>
      <c r="F956" s="95"/>
      <c r="G956" s="94"/>
      <c r="H956" s="185"/>
      <c r="I956" s="95"/>
      <c r="J956" s="95"/>
      <c r="K956" s="94"/>
      <c r="L956" s="191"/>
    </row>
    <row r="957" spans="1:12" ht="12.75" x14ac:dyDescent="0.2">
      <c r="A957" s="95"/>
      <c r="B957" s="95"/>
      <c r="C957" s="94"/>
      <c r="D957" s="185"/>
      <c r="E957" s="95"/>
      <c r="F957" s="95"/>
      <c r="G957" s="94"/>
      <c r="H957" s="185"/>
      <c r="I957" s="95"/>
      <c r="J957" s="95"/>
      <c r="K957" s="94"/>
      <c r="L957" s="191"/>
    </row>
    <row r="958" spans="1:12" ht="12.75" x14ac:dyDescent="0.2">
      <c r="A958" s="95"/>
      <c r="B958" s="95"/>
      <c r="C958" s="94"/>
      <c r="D958" s="185"/>
      <c r="E958" s="95"/>
      <c r="F958" s="95"/>
      <c r="G958" s="94"/>
      <c r="H958" s="185"/>
      <c r="I958" s="95"/>
      <c r="J958" s="95"/>
      <c r="K958" s="94"/>
      <c r="L958" s="191"/>
    </row>
    <row r="959" spans="1:12" ht="12.75" x14ac:dyDescent="0.2">
      <c r="A959" s="95"/>
      <c r="B959" s="95"/>
      <c r="C959" s="94"/>
      <c r="D959" s="185"/>
      <c r="E959" s="95"/>
      <c r="F959" s="95"/>
      <c r="G959" s="94"/>
      <c r="H959" s="185"/>
      <c r="I959" s="95"/>
      <c r="J959" s="95"/>
      <c r="K959" s="94"/>
      <c r="L959" s="191"/>
    </row>
    <row r="960" spans="1:12" ht="12.75" x14ac:dyDescent="0.2">
      <c r="A960" s="95"/>
      <c r="B960" s="95"/>
      <c r="C960" s="94"/>
      <c r="D960" s="185"/>
      <c r="E960" s="95"/>
      <c r="F960" s="95"/>
      <c r="G960" s="94"/>
      <c r="H960" s="185"/>
      <c r="I960" s="95"/>
      <c r="J960" s="95"/>
      <c r="K960" s="94"/>
      <c r="L960" s="191"/>
    </row>
    <row r="961" spans="1:12" ht="12.75" x14ac:dyDescent="0.2">
      <c r="A961" s="95"/>
      <c r="B961" s="95"/>
      <c r="C961" s="94"/>
      <c r="D961" s="185"/>
      <c r="E961" s="95"/>
      <c r="F961" s="95"/>
      <c r="G961" s="94"/>
      <c r="H961" s="185"/>
      <c r="I961" s="95"/>
      <c r="J961" s="95"/>
      <c r="K961" s="94"/>
      <c r="L961" s="191"/>
    </row>
    <row r="962" spans="1:12" ht="12.75" x14ac:dyDescent="0.2">
      <c r="A962" s="95"/>
      <c r="B962" s="95"/>
      <c r="C962" s="94"/>
      <c r="D962" s="185"/>
      <c r="E962" s="95"/>
      <c r="F962" s="95"/>
      <c r="G962" s="94"/>
      <c r="H962" s="185"/>
      <c r="I962" s="95"/>
      <c r="J962" s="95"/>
      <c r="K962" s="94"/>
      <c r="L962" s="191"/>
    </row>
    <row r="963" spans="1:12" ht="12.75" x14ac:dyDescent="0.2">
      <c r="A963" s="95"/>
      <c r="B963" s="95"/>
      <c r="C963" s="94"/>
      <c r="D963" s="185"/>
      <c r="E963" s="95"/>
      <c r="F963" s="95"/>
      <c r="G963" s="94"/>
      <c r="H963" s="185"/>
      <c r="I963" s="95"/>
      <c r="J963" s="95"/>
      <c r="K963" s="94"/>
      <c r="L963" s="191"/>
    </row>
    <row r="964" spans="1:12" ht="12.75" x14ac:dyDescent="0.2">
      <c r="A964" s="95"/>
      <c r="B964" s="95"/>
      <c r="C964" s="94"/>
      <c r="D964" s="185"/>
      <c r="E964" s="95"/>
      <c r="F964" s="95"/>
      <c r="G964" s="94"/>
      <c r="H964" s="185"/>
      <c r="I964" s="95"/>
      <c r="J964" s="95"/>
      <c r="K964" s="94"/>
      <c r="L964" s="191"/>
    </row>
    <row r="965" spans="1:12" ht="12.75" x14ac:dyDescent="0.2">
      <c r="A965" s="95"/>
      <c r="B965" s="95"/>
      <c r="C965" s="94"/>
      <c r="D965" s="185"/>
      <c r="E965" s="95"/>
      <c r="F965" s="95"/>
      <c r="G965" s="94"/>
      <c r="H965" s="185"/>
      <c r="I965" s="95"/>
      <c r="J965" s="95"/>
      <c r="K965" s="94"/>
      <c r="L965" s="191"/>
    </row>
    <row r="966" spans="1:12" ht="12.75" x14ac:dyDescent="0.2">
      <c r="A966" s="95"/>
      <c r="B966" s="95"/>
      <c r="C966" s="94"/>
      <c r="D966" s="185"/>
      <c r="E966" s="95"/>
      <c r="F966" s="95"/>
      <c r="G966" s="94"/>
      <c r="H966" s="185"/>
      <c r="I966" s="95"/>
      <c r="J966" s="95"/>
      <c r="K966" s="94"/>
      <c r="L966" s="191"/>
    </row>
    <row r="967" spans="1:12" ht="12.75" x14ac:dyDescent="0.2">
      <c r="A967" s="95"/>
      <c r="B967" s="95"/>
      <c r="C967" s="94"/>
      <c r="D967" s="185"/>
      <c r="E967" s="95"/>
      <c r="F967" s="95"/>
      <c r="G967" s="94"/>
      <c r="H967" s="185"/>
      <c r="I967" s="95"/>
      <c r="J967" s="95"/>
      <c r="K967" s="94"/>
      <c r="L967" s="191"/>
    </row>
    <row r="968" spans="1:12" ht="12.75" x14ac:dyDescent="0.2">
      <c r="A968" s="95"/>
      <c r="B968" s="95"/>
      <c r="C968" s="94"/>
      <c r="D968" s="185"/>
      <c r="E968" s="95"/>
      <c r="F968" s="95"/>
      <c r="G968" s="94"/>
      <c r="H968" s="185"/>
      <c r="I968" s="95"/>
      <c r="J968" s="95"/>
      <c r="K968" s="94"/>
      <c r="L968" s="191"/>
    </row>
    <row r="969" spans="1:12" ht="12.75" x14ac:dyDescent="0.2">
      <c r="A969" s="95"/>
      <c r="B969" s="95"/>
      <c r="C969" s="94"/>
      <c r="D969" s="185"/>
      <c r="E969" s="95"/>
      <c r="F969" s="95"/>
      <c r="G969" s="94"/>
      <c r="H969" s="185"/>
      <c r="I969" s="95"/>
      <c r="J969" s="95"/>
      <c r="K969" s="94"/>
      <c r="L969" s="191"/>
    </row>
    <row r="970" spans="1:12" ht="12.75" x14ac:dyDescent="0.2">
      <c r="A970" s="95"/>
      <c r="B970" s="95"/>
      <c r="C970" s="94"/>
      <c r="D970" s="185"/>
      <c r="E970" s="95"/>
      <c r="F970" s="95"/>
      <c r="G970" s="94"/>
      <c r="H970" s="185"/>
      <c r="I970" s="95"/>
      <c r="J970" s="95"/>
      <c r="K970" s="94"/>
      <c r="L970" s="191"/>
    </row>
    <row r="971" spans="1:12" ht="12.75" x14ac:dyDescent="0.2">
      <c r="A971" s="95"/>
      <c r="B971" s="95"/>
      <c r="C971" s="94"/>
      <c r="D971" s="185"/>
      <c r="E971" s="95"/>
      <c r="F971" s="95"/>
      <c r="G971" s="94"/>
      <c r="H971" s="185"/>
      <c r="I971" s="95"/>
      <c r="J971" s="95"/>
      <c r="K971" s="94"/>
      <c r="L971" s="191"/>
    </row>
    <row r="972" spans="1:12" ht="12.75" x14ac:dyDescent="0.2">
      <c r="A972" s="95"/>
      <c r="B972" s="95"/>
      <c r="C972" s="94"/>
      <c r="D972" s="185"/>
      <c r="E972" s="95"/>
      <c r="F972" s="95"/>
      <c r="G972" s="94"/>
      <c r="H972" s="185"/>
      <c r="I972" s="95"/>
      <c r="J972" s="95"/>
      <c r="K972" s="94"/>
      <c r="L972" s="191"/>
    </row>
    <row r="973" spans="1:12" ht="12.75" x14ac:dyDescent="0.2">
      <c r="A973" s="95"/>
      <c r="B973" s="95"/>
      <c r="C973" s="94"/>
      <c r="D973" s="185"/>
      <c r="E973" s="95"/>
      <c r="F973" s="95"/>
      <c r="G973" s="94"/>
      <c r="H973" s="185"/>
      <c r="I973" s="95"/>
      <c r="J973" s="95"/>
      <c r="K973" s="94"/>
      <c r="L973" s="191"/>
    </row>
    <row r="974" spans="1:12" ht="12.75" x14ac:dyDescent="0.2">
      <c r="A974" s="95"/>
      <c r="B974" s="95"/>
      <c r="C974" s="94"/>
      <c r="D974" s="185"/>
      <c r="E974" s="95"/>
      <c r="F974" s="95"/>
      <c r="G974" s="94"/>
      <c r="H974" s="185"/>
      <c r="I974" s="95"/>
      <c r="J974" s="95"/>
      <c r="K974" s="94"/>
      <c r="L974" s="191"/>
    </row>
    <row r="975" spans="1:12" ht="12.75" x14ac:dyDescent="0.2">
      <c r="A975" s="95"/>
      <c r="B975" s="95"/>
      <c r="C975" s="94"/>
      <c r="D975" s="185"/>
      <c r="E975" s="95"/>
      <c r="F975" s="95"/>
      <c r="G975" s="94"/>
      <c r="H975" s="185"/>
      <c r="I975" s="95"/>
      <c r="J975" s="95"/>
      <c r="K975" s="94"/>
      <c r="L975" s="191"/>
    </row>
    <row r="976" spans="1:12" ht="12.75" x14ac:dyDescent="0.2">
      <c r="A976" s="95"/>
      <c r="B976" s="95"/>
      <c r="C976" s="94"/>
      <c r="D976" s="185"/>
      <c r="E976" s="95"/>
      <c r="F976" s="95"/>
      <c r="G976" s="94"/>
      <c r="H976" s="185"/>
      <c r="I976" s="95"/>
      <c r="J976" s="95"/>
      <c r="K976" s="94"/>
      <c r="L976" s="191"/>
    </row>
    <row r="977" spans="1:12" ht="12.75" x14ac:dyDescent="0.2">
      <c r="A977" s="95"/>
      <c r="B977" s="95"/>
      <c r="C977" s="94"/>
      <c r="D977" s="185"/>
      <c r="E977" s="95"/>
      <c r="F977" s="95"/>
      <c r="G977" s="94"/>
      <c r="H977" s="185"/>
      <c r="I977" s="95"/>
      <c r="J977" s="95"/>
      <c r="K977" s="94"/>
      <c r="L977" s="191"/>
    </row>
    <row r="978" spans="1:12" ht="12.75" x14ac:dyDescent="0.2">
      <c r="A978" s="95"/>
      <c r="B978" s="95"/>
      <c r="C978" s="94"/>
      <c r="D978" s="185"/>
      <c r="E978" s="95"/>
      <c r="F978" s="95"/>
      <c r="G978" s="94"/>
      <c r="H978" s="185"/>
      <c r="I978" s="95"/>
      <c r="J978" s="95"/>
      <c r="K978" s="94"/>
      <c r="L978" s="191"/>
    </row>
    <row r="979" spans="1:12" ht="12.75" x14ac:dyDescent="0.2">
      <c r="A979" s="95"/>
      <c r="B979" s="95"/>
      <c r="C979" s="94"/>
      <c r="D979" s="185"/>
      <c r="E979" s="95"/>
      <c r="F979" s="95"/>
      <c r="G979" s="94"/>
      <c r="H979" s="185"/>
      <c r="I979" s="95"/>
      <c r="J979" s="95"/>
      <c r="K979" s="94"/>
      <c r="L979" s="191"/>
    </row>
    <row r="980" spans="1:12" ht="12.75" x14ac:dyDescent="0.2">
      <c r="A980" s="95"/>
      <c r="B980" s="95"/>
      <c r="C980" s="94"/>
      <c r="D980" s="185"/>
      <c r="E980" s="95"/>
      <c r="F980" s="95"/>
      <c r="G980" s="94"/>
      <c r="H980" s="185"/>
      <c r="I980" s="95"/>
      <c r="J980" s="95"/>
      <c r="K980" s="94"/>
      <c r="L980" s="191"/>
    </row>
    <row r="981" spans="1:12" ht="12.75" x14ac:dyDescent="0.2">
      <c r="A981" s="95"/>
      <c r="B981" s="95"/>
      <c r="C981" s="94"/>
      <c r="D981" s="185"/>
      <c r="E981" s="95"/>
      <c r="F981" s="95"/>
      <c r="G981" s="94"/>
      <c r="H981" s="185"/>
      <c r="I981" s="95"/>
      <c r="J981" s="95"/>
      <c r="K981" s="94"/>
      <c r="L981" s="191"/>
    </row>
    <row r="982" spans="1:12" ht="12.75" x14ac:dyDescent="0.2">
      <c r="A982" s="95"/>
      <c r="B982" s="95"/>
      <c r="C982" s="94"/>
      <c r="D982" s="185"/>
      <c r="E982" s="95"/>
      <c r="F982" s="95"/>
      <c r="G982" s="94"/>
      <c r="H982" s="185"/>
      <c r="I982" s="95"/>
      <c r="J982" s="95"/>
      <c r="K982" s="94"/>
      <c r="L982" s="191"/>
    </row>
    <row r="983" spans="1:12" ht="12.75" x14ac:dyDescent="0.2">
      <c r="A983" s="95"/>
      <c r="B983" s="95"/>
      <c r="C983" s="94"/>
      <c r="D983" s="185"/>
      <c r="E983" s="95"/>
      <c r="F983" s="95"/>
      <c r="G983" s="94"/>
      <c r="H983" s="185"/>
      <c r="I983" s="95"/>
      <c r="J983" s="95"/>
      <c r="K983" s="94"/>
      <c r="L983" s="191"/>
    </row>
    <row r="984" spans="1:12" ht="12.75" x14ac:dyDescent="0.2">
      <c r="A984" s="95"/>
      <c r="B984" s="95"/>
      <c r="C984" s="94"/>
      <c r="D984" s="185"/>
      <c r="E984" s="95"/>
      <c r="F984" s="95"/>
      <c r="G984" s="94"/>
      <c r="H984" s="185"/>
      <c r="I984" s="95"/>
      <c r="J984" s="95"/>
      <c r="K984" s="94"/>
      <c r="L984" s="191"/>
    </row>
    <row r="985" spans="1:12" ht="12.75" x14ac:dyDescent="0.2">
      <c r="A985" s="95"/>
      <c r="B985" s="95"/>
      <c r="C985" s="94"/>
      <c r="D985" s="185"/>
      <c r="E985" s="95"/>
      <c r="F985" s="95"/>
      <c r="G985" s="94"/>
      <c r="H985" s="185"/>
      <c r="I985" s="95"/>
      <c r="J985" s="95"/>
      <c r="K985" s="94"/>
      <c r="L985" s="191"/>
    </row>
    <row r="986" spans="1:12" ht="12.75" x14ac:dyDescent="0.2">
      <c r="A986" s="95"/>
      <c r="B986" s="95"/>
      <c r="C986" s="94"/>
      <c r="D986" s="185"/>
      <c r="E986" s="95"/>
      <c r="F986" s="95"/>
      <c r="G986" s="94"/>
      <c r="H986" s="185"/>
      <c r="I986" s="95"/>
      <c r="J986" s="95"/>
      <c r="K986" s="94"/>
      <c r="L986" s="191"/>
    </row>
    <row r="987" spans="1:12" ht="12.75" x14ac:dyDescent="0.2">
      <c r="D987" s="185"/>
      <c r="H987" s="185"/>
      <c r="L987" s="191"/>
    </row>
    <row r="988" spans="1:12" ht="12.75" x14ac:dyDescent="0.2">
      <c r="D988" s="185"/>
      <c r="H988" s="185"/>
      <c r="L988" s="191"/>
    </row>
    <row r="989" spans="1:12" ht="12.75" x14ac:dyDescent="0.2">
      <c r="D989" s="185"/>
      <c r="H989" s="185"/>
      <c r="L989" s="191"/>
    </row>
    <row r="990" spans="1:12" ht="12.75" x14ac:dyDescent="0.2">
      <c r="D990" s="185"/>
      <c r="H990" s="185"/>
      <c r="L990" s="191"/>
    </row>
    <row r="991" spans="1:12" ht="12.75" x14ac:dyDescent="0.2">
      <c r="D991" s="185"/>
      <c r="H991" s="185"/>
      <c r="L991" s="191"/>
    </row>
    <row r="992" spans="1:12" ht="12.75" x14ac:dyDescent="0.2">
      <c r="D992" s="185"/>
      <c r="H992" s="185"/>
      <c r="L992" s="191"/>
    </row>
    <row r="993" spans="4:12" ht="12.75" x14ac:dyDescent="0.2">
      <c r="D993" s="185"/>
      <c r="H993" s="185"/>
      <c r="L993" s="191"/>
    </row>
    <row r="994" spans="4:12" ht="12.75" x14ac:dyDescent="0.2">
      <c r="D994" s="185"/>
      <c r="H994" s="185"/>
      <c r="L994" s="191"/>
    </row>
    <row r="995" spans="4:12" ht="12.75" x14ac:dyDescent="0.2">
      <c r="D995" s="185"/>
      <c r="H995" s="185"/>
      <c r="L995" s="191"/>
    </row>
    <row r="996" spans="4:12" ht="12.75" x14ac:dyDescent="0.2">
      <c r="D996" s="185"/>
      <c r="H996" s="185"/>
      <c r="L996" s="191"/>
    </row>
    <row r="997" spans="4:12" ht="12.75" x14ac:dyDescent="0.2">
      <c r="D997" s="185"/>
      <c r="H997" s="185"/>
      <c r="L997" s="202"/>
    </row>
  </sheetData>
  <conditionalFormatting sqref="C1:C986">
    <cfRule type="cellIs" dxfId="6" priority="2" operator="lessThan">
      <formula>"87.13%"</formula>
    </cfRule>
  </conditionalFormatting>
  <conditionalFormatting sqref="G1:G986">
    <cfRule type="cellIs" dxfId="5" priority="1" operator="lessThan">
      <formula>"85%"</formula>
    </cfRule>
  </conditionalFormatting>
  <conditionalFormatting sqref="L1:L997">
    <cfRule type="cellIs" dxfId="4" priority="3" operator="lessThan">
      <formula>"81.23%"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  <outlinePr summaryBelow="0" summaryRight="0"/>
    <pageSetUpPr fitToPage="1"/>
  </sheetPr>
  <dimension ref="A1:K853"/>
  <sheetViews>
    <sheetView workbookViewId="0">
      <pane ySplit="6" topLeftCell="A7" activePane="bottomLeft" state="frozen"/>
      <selection pane="bottomLeft" activeCell="H41" sqref="H41"/>
    </sheetView>
  </sheetViews>
  <sheetFormatPr defaultColWidth="12.5703125" defaultRowHeight="15.75" customHeight="1" x14ac:dyDescent="0.2"/>
  <cols>
    <col min="1" max="1" width="13" customWidth="1"/>
    <col min="2" max="2" width="17.42578125" customWidth="1"/>
    <col min="3" max="3" width="21.85546875" customWidth="1"/>
    <col min="4" max="4" width="17.42578125" hidden="1" customWidth="1"/>
    <col min="5" max="5" width="15.85546875" hidden="1" customWidth="1"/>
    <col min="6" max="6" width="16.7109375" hidden="1" customWidth="1"/>
    <col min="7" max="7" width="12.42578125" customWidth="1"/>
    <col min="8" max="9" width="16.28515625" customWidth="1"/>
    <col min="10" max="10" width="16.28515625" hidden="1" customWidth="1"/>
    <col min="11" max="11" width="17.42578125" hidden="1" customWidth="1"/>
  </cols>
  <sheetData>
    <row r="1" spans="1:11" ht="26.25" x14ac:dyDescent="0.35">
      <c r="A1" s="80"/>
      <c r="B1" s="80"/>
      <c r="C1" s="80"/>
      <c r="D1" s="80"/>
      <c r="E1" s="80"/>
      <c r="F1" s="80"/>
      <c r="G1" s="80"/>
      <c r="H1" s="81"/>
      <c r="I1" s="81"/>
      <c r="J1" s="82"/>
      <c r="K1" s="83">
        <f>SUM(K7:K215)</f>
        <v>-101.22003999999788</v>
      </c>
    </row>
    <row r="2" spans="1:11" x14ac:dyDescent="0.25">
      <c r="A2" s="242" t="s">
        <v>289</v>
      </c>
      <c r="B2" s="206"/>
      <c r="C2" s="206"/>
      <c r="D2" s="206"/>
      <c r="E2" s="206"/>
      <c r="F2" s="206"/>
      <c r="G2" s="206"/>
      <c r="H2" s="243" t="s">
        <v>2</v>
      </c>
      <c r="I2" s="244"/>
      <c r="J2" s="84" t="s">
        <v>212</v>
      </c>
      <c r="K2" s="245" t="s">
        <v>290</v>
      </c>
    </row>
    <row r="3" spans="1:11" ht="23.25" x14ac:dyDescent="0.3">
      <c r="A3" s="206"/>
      <c r="B3" s="206"/>
      <c r="C3" s="206"/>
      <c r="D3" s="206"/>
      <c r="E3" s="206"/>
      <c r="F3" s="206"/>
      <c r="G3" s="206"/>
      <c r="H3" s="246">
        <f>SUM(I7:I128)</f>
        <v>149891.1777</v>
      </c>
      <c r="I3" s="244"/>
      <c r="J3" s="247">
        <v>0.95</v>
      </c>
      <c r="K3" s="244"/>
    </row>
    <row r="4" spans="1:11" ht="12.75" x14ac:dyDescent="0.2">
      <c r="A4" s="206"/>
      <c r="B4" s="206"/>
      <c r="C4" s="206"/>
      <c r="D4" s="206"/>
      <c r="E4" s="206"/>
      <c r="F4" s="206"/>
      <c r="G4" s="206"/>
      <c r="H4" s="249" t="s">
        <v>214</v>
      </c>
      <c r="I4" s="206"/>
      <c r="J4" s="248"/>
      <c r="K4" s="244"/>
    </row>
    <row r="5" spans="1:11" ht="36.4" customHeight="1" x14ac:dyDescent="0.35">
      <c r="A5" s="206"/>
      <c r="B5" s="206"/>
      <c r="C5" s="206"/>
      <c r="D5" s="206"/>
      <c r="E5" s="206"/>
      <c r="F5" s="206"/>
      <c r="G5" s="206"/>
      <c r="H5" s="250">
        <v>55</v>
      </c>
      <c r="I5" s="206"/>
      <c r="J5" s="248"/>
      <c r="K5" s="244"/>
    </row>
    <row r="6" spans="1:11" ht="24" x14ac:dyDescent="0.2">
      <c r="A6" s="85" t="s">
        <v>215</v>
      </c>
      <c r="B6" s="86" t="s">
        <v>216</v>
      </c>
      <c r="C6" s="87" t="s">
        <v>217</v>
      </c>
      <c r="D6" s="86" t="s">
        <v>218</v>
      </c>
      <c r="E6" s="88" t="s">
        <v>219</v>
      </c>
      <c r="F6" s="86" t="s">
        <v>220</v>
      </c>
      <c r="G6" s="86" t="s">
        <v>221</v>
      </c>
      <c r="H6" s="89" t="s">
        <v>222</v>
      </c>
      <c r="I6" s="90" t="s">
        <v>223</v>
      </c>
      <c r="J6" s="91" t="s">
        <v>224</v>
      </c>
      <c r="K6" s="244"/>
    </row>
    <row r="7" spans="1:11" ht="12.75" x14ac:dyDescent="0.2">
      <c r="A7" s="92">
        <v>45516</v>
      </c>
      <c r="B7" s="93" t="s">
        <v>33</v>
      </c>
      <c r="C7" s="94">
        <v>1</v>
      </c>
      <c r="D7" s="95" t="s">
        <v>225</v>
      </c>
      <c r="E7" s="96"/>
      <c r="F7" s="96"/>
      <c r="G7" s="97">
        <v>536</v>
      </c>
      <c r="H7" s="98">
        <f t="shared" ref="H7:H215" si="0">G7-(C7*G7)</f>
        <v>0</v>
      </c>
      <c r="I7" s="99">
        <f t="shared" ref="I7:I215" si="1">H7*$H$5</f>
        <v>0</v>
      </c>
      <c r="J7" s="100">
        <v>0</v>
      </c>
      <c r="K7" s="101">
        <f t="shared" ref="K7:K215" si="2">J7-H7</f>
        <v>0</v>
      </c>
    </row>
    <row r="8" spans="1:11" ht="12.75" x14ac:dyDescent="0.2">
      <c r="A8" s="92">
        <v>45517</v>
      </c>
      <c r="B8" s="93" t="s">
        <v>35</v>
      </c>
      <c r="C8" s="94">
        <v>0.99109999999999998</v>
      </c>
      <c r="D8" s="95" t="s">
        <v>225</v>
      </c>
      <c r="E8" s="96"/>
      <c r="F8" s="96"/>
      <c r="G8" s="97">
        <v>559</v>
      </c>
      <c r="H8" s="98">
        <f t="shared" si="0"/>
        <v>4.9750999999999976</v>
      </c>
      <c r="I8" s="99">
        <f t="shared" si="1"/>
        <v>273.63049999999987</v>
      </c>
      <c r="J8" s="100">
        <f t="shared" ref="J8:J215" si="3">G8-(G8*J$3)</f>
        <v>27.950000000000045</v>
      </c>
      <c r="K8" s="101">
        <f t="shared" si="2"/>
        <v>22.974900000000048</v>
      </c>
    </row>
    <row r="9" spans="1:11" ht="12.75" x14ac:dyDescent="0.2">
      <c r="A9" s="92">
        <v>45518</v>
      </c>
      <c r="B9" s="93" t="s">
        <v>37</v>
      </c>
      <c r="C9" s="94">
        <v>0.97719999999999996</v>
      </c>
      <c r="D9" s="95" t="s">
        <v>226</v>
      </c>
      <c r="E9" s="96"/>
      <c r="F9" s="96"/>
      <c r="G9" s="97">
        <v>570</v>
      </c>
      <c r="H9" s="98">
        <f t="shared" si="0"/>
        <v>12.995999999999981</v>
      </c>
      <c r="I9" s="99">
        <f t="shared" si="1"/>
        <v>714.77999999999895</v>
      </c>
      <c r="J9" s="100">
        <f t="shared" si="3"/>
        <v>28.5</v>
      </c>
      <c r="K9" s="101">
        <f t="shared" si="2"/>
        <v>15.504000000000019</v>
      </c>
    </row>
    <row r="10" spans="1:11" ht="12.75" x14ac:dyDescent="0.2">
      <c r="A10" s="92">
        <v>45519</v>
      </c>
      <c r="B10" s="93" t="s">
        <v>39</v>
      </c>
      <c r="C10" s="94">
        <v>0.97740000000000005</v>
      </c>
      <c r="D10" s="95" t="s">
        <v>226</v>
      </c>
      <c r="E10" s="96"/>
      <c r="F10" s="96"/>
      <c r="G10" s="97">
        <v>576</v>
      </c>
      <c r="H10" s="98">
        <f t="shared" si="0"/>
        <v>13.017600000000016</v>
      </c>
      <c r="I10" s="99">
        <f t="shared" si="1"/>
        <v>715.96800000000087</v>
      </c>
      <c r="J10" s="100">
        <f t="shared" si="3"/>
        <v>28.800000000000068</v>
      </c>
      <c r="K10" s="101">
        <f t="shared" si="2"/>
        <v>15.782400000000052</v>
      </c>
    </row>
    <row r="11" spans="1:11" ht="12.75" x14ac:dyDescent="0.2">
      <c r="A11" s="92">
        <v>45520</v>
      </c>
      <c r="B11" s="93" t="s">
        <v>41</v>
      </c>
      <c r="C11" s="94">
        <v>0.96519999999999995</v>
      </c>
      <c r="D11" s="95" t="s">
        <v>226</v>
      </c>
      <c r="E11" s="96"/>
      <c r="F11" s="96"/>
      <c r="G11" s="97">
        <v>577</v>
      </c>
      <c r="H11" s="98">
        <f t="shared" si="0"/>
        <v>20.079600000000028</v>
      </c>
      <c r="I11" s="99">
        <f t="shared" si="1"/>
        <v>1104.3780000000015</v>
      </c>
      <c r="J11" s="100">
        <f t="shared" si="3"/>
        <v>28.850000000000023</v>
      </c>
      <c r="K11" s="101">
        <f t="shared" si="2"/>
        <v>8.7703999999999951</v>
      </c>
    </row>
    <row r="12" spans="1:11" ht="12.75" x14ac:dyDescent="0.2">
      <c r="A12" s="92">
        <v>45523</v>
      </c>
      <c r="B12" s="93" t="s">
        <v>33</v>
      </c>
      <c r="C12" s="94">
        <v>0.96199999999999997</v>
      </c>
      <c r="D12" s="95" t="s">
        <v>226</v>
      </c>
      <c r="E12" s="96"/>
      <c r="F12" s="96"/>
      <c r="G12" s="97">
        <v>579</v>
      </c>
      <c r="H12" s="98">
        <f t="shared" si="0"/>
        <v>22.002000000000066</v>
      </c>
      <c r="I12" s="99">
        <f t="shared" si="1"/>
        <v>1210.1100000000038</v>
      </c>
      <c r="J12" s="100">
        <f t="shared" si="3"/>
        <v>28.950000000000045</v>
      </c>
      <c r="K12" s="101">
        <f t="shared" si="2"/>
        <v>6.9479999999999791</v>
      </c>
    </row>
    <row r="13" spans="1:11" ht="12.75" x14ac:dyDescent="0.2">
      <c r="A13" s="92">
        <v>45524</v>
      </c>
      <c r="B13" s="93" t="s">
        <v>35</v>
      </c>
      <c r="C13" s="94">
        <v>0.96389999999999998</v>
      </c>
      <c r="D13" s="95" t="s">
        <v>226</v>
      </c>
      <c r="E13" s="96"/>
      <c r="F13" s="96"/>
      <c r="G13" s="97">
        <v>582</v>
      </c>
      <c r="H13" s="98">
        <f t="shared" si="0"/>
        <v>21.010200000000054</v>
      </c>
      <c r="I13" s="99">
        <f t="shared" si="1"/>
        <v>1155.5610000000029</v>
      </c>
      <c r="J13" s="100">
        <f t="shared" si="3"/>
        <v>29.100000000000023</v>
      </c>
      <c r="K13" s="101">
        <f t="shared" si="2"/>
        <v>8.0897999999999683</v>
      </c>
    </row>
    <row r="14" spans="1:11" ht="12.75" x14ac:dyDescent="0.2">
      <c r="A14" s="92">
        <v>45525</v>
      </c>
      <c r="B14" s="93" t="s">
        <v>37</v>
      </c>
      <c r="C14" s="94">
        <v>0.96919999999999995</v>
      </c>
      <c r="D14" s="95" t="s">
        <v>226</v>
      </c>
      <c r="E14" s="96"/>
      <c r="F14" s="96"/>
      <c r="G14" s="97">
        <v>584</v>
      </c>
      <c r="H14" s="98">
        <f t="shared" si="0"/>
        <v>17.98720000000003</v>
      </c>
      <c r="I14" s="99">
        <f t="shared" si="1"/>
        <v>989.29600000000164</v>
      </c>
      <c r="J14" s="100">
        <f t="shared" si="3"/>
        <v>29.200000000000045</v>
      </c>
      <c r="K14" s="101">
        <f t="shared" si="2"/>
        <v>11.212800000000016</v>
      </c>
    </row>
    <row r="15" spans="1:11" ht="12.75" x14ac:dyDescent="0.2">
      <c r="A15" s="92">
        <v>45526</v>
      </c>
      <c r="B15" s="93" t="s">
        <v>39</v>
      </c>
      <c r="C15" s="94">
        <v>0.97270000000000001</v>
      </c>
      <c r="D15" s="95" t="s">
        <v>226</v>
      </c>
      <c r="E15" s="96"/>
      <c r="F15" s="96"/>
      <c r="G15" s="97">
        <v>586</v>
      </c>
      <c r="H15" s="98">
        <f t="shared" si="0"/>
        <v>15.997799999999984</v>
      </c>
      <c r="I15" s="99">
        <f t="shared" si="1"/>
        <v>879.87899999999911</v>
      </c>
      <c r="J15" s="100">
        <f t="shared" si="3"/>
        <v>29.300000000000068</v>
      </c>
      <c r="K15" s="101">
        <f t="shared" si="2"/>
        <v>13.302200000000084</v>
      </c>
    </row>
    <row r="16" spans="1:11" ht="12.75" x14ac:dyDescent="0.2">
      <c r="A16" s="92">
        <v>45527</v>
      </c>
      <c r="B16" s="93" t="s">
        <v>41</v>
      </c>
      <c r="C16" s="94">
        <v>0.96079999999999999</v>
      </c>
      <c r="D16" s="95" t="s">
        <v>225</v>
      </c>
      <c r="E16" s="96"/>
      <c r="F16" s="96"/>
      <c r="G16" s="97">
        <v>586</v>
      </c>
      <c r="H16" s="98">
        <f t="shared" si="0"/>
        <v>22.971199999999953</v>
      </c>
      <c r="I16" s="99">
        <f t="shared" si="1"/>
        <v>1263.4159999999974</v>
      </c>
      <c r="J16" s="100">
        <f t="shared" si="3"/>
        <v>29.300000000000068</v>
      </c>
      <c r="K16" s="101">
        <f t="shared" si="2"/>
        <v>6.3288000000001148</v>
      </c>
    </row>
    <row r="17" spans="1:11" ht="12.75" x14ac:dyDescent="0.2">
      <c r="A17" s="92">
        <v>45530</v>
      </c>
      <c r="B17" s="93" t="s">
        <v>33</v>
      </c>
      <c r="C17" s="94">
        <v>0.95730000000000004</v>
      </c>
      <c r="D17" s="95" t="s">
        <v>226</v>
      </c>
      <c r="E17" s="96"/>
      <c r="F17" s="96"/>
      <c r="G17" s="97">
        <v>586</v>
      </c>
      <c r="H17" s="98">
        <f t="shared" si="0"/>
        <v>25.022199999999998</v>
      </c>
      <c r="I17" s="99">
        <f t="shared" si="1"/>
        <v>1376.221</v>
      </c>
      <c r="J17" s="100">
        <f t="shared" si="3"/>
        <v>29.300000000000068</v>
      </c>
      <c r="K17" s="101">
        <f t="shared" si="2"/>
        <v>4.2778000000000702</v>
      </c>
    </row>
    <row r="18" spans="1:11" ht="12.75" x14ac:dyDescent="0.2">
      <c r="A18" s="92">
        <v>45531</v>
      </c>
      <c r="B18" s="93" t="s">
        <v>35</v>
      </c>
      <c r="C18" s="94">
        <v>0.9728</v>
      </c>
      <c r="D18" s="95" t="s">
        <v>226</v>
      </c>
      <c r="E18" s="96"/>
      <c r="F18" s="96"/>
      <c r="G18" s="97">
        <v>589</v>
      </c>
      <c r="H18" s="98">
        <f t="shared" si="0"/>
        <v>16.020800000000008</v>
      </c>
      <c r="I18" s="99">
        <f t="shared" si="1"/>
        <v>881.14400000000046</v>
      </c>
      <c r="J18" s="100">
        <f t="shared" si="3"/>
        <v>29.450000000000045</v>
      </c>
      <c r="K18" s="101">
        <f t="shared" si="2"/>
        <v>13.429200000000037</v>
      </c>
    </row>
    <row r="19" spans="1:11" ht="12.75" x14ac:dyDescent="0.2">
      <c r="A19" s="92">
        <v>45532</v>
      </c>
      <c r="B19" s="93" t="s">
        <v>37</v>
      </c>
      <c r="C19" s="94">
        <v>0.95589999999999997</v>
      </c>
      <c r="D19" s="95" t="s">
        <v>226</v>
      </c>
      <c r="E19" s="96"/>
      <c r="F19" s="102"/>
      <c r="G19" s="97">
        <v>589</v>
      </c>
      <c r="H19" s="98">
        <f t="shared" si="0"/>
        <v>25.974900000000048</v>
      </c>
      <c r="I19" s="99">
        <f t="shared" si="1"/>
        <v>1428.6195000000025</v>
      </c>
      <c r="J19" s="100">
        <f t="shared" si="3"/>
        <v>29.450000000000045</v>
      </c>
      <c r="K19" s="101">
        <f t="shared" si="2"/>
        <v>3.4750999999999976</v>
      </c>
    </row>
    <row r="20" spans="1:11" ht="12.75" x14ac:dyDescent="0.2">
      <c r="A20" s="92">
        <v>45533</v>
      </c>
      <c r="B20" s="93" t="s">
        <v>39</v>
      </c>
      <c r="C20" s="94">
        <v>0.95760000000000001</v>
      </c>
      <c r="D20" s="95" t="s">
        <v>226</v>
      </c>
      <c r="E20" s="96"/>
      <c r="F20" s="96"/>
      <c r="G20" s="97">
        <v>589</v>
      </c>
      <c r="H20" s="98">
        <f t="shared" si="0"/>
        <v>24.973600000000033</v>
      </c>
      <c r="I20" s="99">
        <f t="shared" si="1"/>
        <v>1373.5480000000018</v>
      </c>
      <c r="J20" s="100">
        <f t="shared" si="3"/>
        <v>29.450000000000045</v>
      </c>
      <c r="K20" s="101">
        <f t="shared" si="2"/>
        <v>4.4764000000000124</v>
      </c>
    </row>
    <row r="21" spans="1:11" ht="12.75" x14ac:dyDescent="0.2">
      <c r="A21" s="92">
        <v>45534</v>
      </c>
      <c r="B21" s="93" t="s">
        <v>41</v>
      </c>
      <c r="C21" s="94">
        <v>0.9627</v>
      </c>
      <c r="D21" s="95" t="s">
        <v>226</v>
      </c>
      <c r="E21" s="96"/>
      <c r="F21" s="96"/>
      <c r="G21" s="97">
        <v>590</v>
      </c>
      <c r="H21" s="98">
        <f t="shared" si="0"/>
        <v>22.006999999999948</v>
      </c>
      <c r="I21" s="99">
        <f t="shared" si="1"/>
        <v>1210.384999999997</v>
      </c>
      <c r="J21" s="100">
        <f t="shared" si="3"/>
        <v>29.5</v>
      </c>
      <c r="K21" s="101">
        <f t="shared" si="2"/>
        <v>7.4930000000000518</v>
      </c>
    </row>
    <row r="22" spans="1:11" ht="12.75" x14ac:dyDescent="0.2">
      <c r="A22" s="103">
        <v>45537</v>
      </c>
      <c r="B22" s="104" t="s">
        <v>33</v>
      </c>
      <c r="C22" s="105"/>
      <c r="D22" s="106"/>
      <c r="E22" s="107"/>
      <c r="F22" s="107"/>
      <c r="G22" s="108"/>
      <c r="H22" s="98">
        <f t="shared" si="0"/>
        <v>0</v>
      </c>
      <c r="I22" s="99">
        <f t="shared" si="1"/>
        <v>0</v>
      </c>
      <c r="J22" s="100">
        <f t="shared" si="3"/>
        <v>0</v>
      </c>
      <c r="K22" s="101">
        <f t="shared" si="2"/>
        <v>0</v>
      </c>
    </row>
    <row r="23" spans="1:11" ht="12.75" x14ac:dyDescent="0.2">
      <c r="A23" s="92">
        <v>45538</v>
      </c>
      <c r="B23" s="93" t="s">
        <v>35</v>
      </c>
      <c r="C23" s="94">
        <v>0.95760000000000001</v>
      </c>
      <c r="D23" s="95" t="s">
        <v>225</v>
      </c>
      <c r="E23" s="96"/>
      <c r="F23" s="96"/>
      <c r="G23" s="97">
        <v>598</v>
      </c>
      <c r="H23" s="98">
        <f t="shared" si="0"/>
        <v>25.355199999999968</v>
      </c>
      <c r="I23" s="99">
        <f t="shared" si="1"/>
        <v>1394.5359999999982</v>
      </c>
      <c r="J23" s="100">
        <f t="shared" si="3"/>
        <v>29.899999999999977</v>
      </c>
      <c r="K23" s="101">
        <f t="shared" si="2"/>
        <v>4.5448000000000093</v>
      </c>
    </row>
    <row r="24" spans="1:11" ht="12.75" x14ac:dyDescent="0.2">
      <c r="A24" s="92">
        <v>45539</v>
      </c>
      <c r="B24" s="93" t="s">
        <v>37</v>
      </c>
      <c r="C24" s="94">
        <v>0.9728</v>
      </c>
      <c r="D24" s="95" t="s">
        <v>225</v>
      </c>
      <c r="E24" s="96"/>
      <c r="F24" s="96"/>
      <c r="G24" s="97">
        <v>588</v>
      </c>
      <c r="H24" s="98">
        <f t="shared" si="0"/>
        <v>15.993600000000015</v>
      </c>
      <c r="I24" s="99">
        <f t="shared" si="1"/>
        <v>879.64800000000082</v>
      </c>
      <c r="J24" s="100">
        <f t="shared" si="3"/>
        <v>29.399999999999977</v>
      </c>
      <c r="K24" s="101">
        <f t="shared" si="2"/>
        <v>13.406399999999962</v>
      </c>
    </row>
    <row r="25" spans="1:11" ht="12.75" x14ac:dyDescent="0.2">
      <c r="A25" s="92">
        <v>45540</v>
      </c>
      <c r="B25" s="93" t="s">
        <v>39</v>
      </c>
      <c r="C25" s="94">
        <v>0.95250000000000001</v>
      </c>
      <c r="D25" s="95" t="s">
        <v>282</v>
      </c>
      <c r="E25" s="96"/>
      <c r="F25" s="96"/>
      <c r="G25" s="97">
        <v>589</v>
      </c>
      <c r="H25" s="98">
        <f t="shared" si="0"/>
        <v>27.977499999999964</v>
      </c>
      <c r="I25" s="99">
        <f t="shared" si="1"/>
        <v>1538.762499999998</v>
      </c>
      <c r="J25" s="100">
        <f t="shared" si="3"/>
        <v>29.450000000000045</v>
      </c>
      <c r="K25" s="101">
        <f t="shared" si="2"/>
        <v>1.4725000000000819</v>
      </c>
    </row>
    <row r="26" spans="1:11" ht="12.75" x14ac:dyDescent="0.2">
      <c r="A26" s="92">
        <v>45541</v>
      </c>
      <c r="B26" s="93" t="s">
        <v>41</v>
      </c>
      <c r="C26" s="94">
        <v>0.96899999999999997</v>
      </c>
      <c r="D26" s="95" t="s">
        <v>225</v>
      </c>
      <c r="E26" s="96"/>
      <c r="F26" s="96"/>
      <c r="G26" s="97">
        <v>589</v>
      </c>
      <c r="H26" s="98">
        <f t="shared" si="0"/>
        <v>18.259000000000015</v>
      </c>
      <c r="I26" s="99">
        <f t="shared" si="1"/>
        <v>1004.2450000000008</v>
      </c>
      <c r="J26" s="100">
        <f t="shared" si="3"/>
        <v>29.450000000000045</v>
      </c>
      <c r="K26" s="101">
        <f t="shared" si="2"/>
        <v>11.191000000000031</v>
      </c>
    </row>
    <row r="27" spans="1:11" ht="12.75" x14ac:dyDescent="0.2">
      <c r="A27" s="92">
        <v>45544</v>
      </c>
      <c r="B27" s="93" t="s">
        <v>33</v>
      </c>
      <c r="C27" s="94">
        <v>0.95099999999999996</v>
      </c>
      <c r="D27" s="95" t="s">
        <v>226</v>
      </c>
      <c r="E27" s="96"/>
      <c r="F27" s="96"/>
      <c r="G27" s="97">
        <v>592</v>
      </c>
      <c r="H27" s="98">
        <f t="shared" si="0"/>
        <v>29.008000000000038</v>
      </c>
      <c r="I27" s="99">
        <f t="shared" si="1"/>
        <v>1595.4400000000021</v>
      </c>
      <c r="J27" s="100">
        <f t="shared" si="3"/>
        <v>29.600000000000023</v>
      </c>
      <c r="K27" s="101">
        <f t="shared" si="2"/>
        <v>0.59199999999998454</v>
      </c>
    </row>
    <row r="28" spans="1:11" ht="12.75" x14ac:dyDescent="0.2">
      <c r="A28" s="92">
        <v>45545</v>
      </c>
      <c r="B28" s="93" t="s">
        <v>35</v>
      </c>
      <c r="C28" s="94">
        <v>0.94289999999999996</v>
      </c>
      <c r="D28" s="95" t="s">
        <v>225</v>
      </c>
      <c r="E28" s="96" t="s">
        <v>291</v>
      </c>
      <c r="F28" s="96"/>
      <c r="G28" s="97">
        <v>595</v>
      </c>
      <c r="H28" s="98">
        <f t="shared" si="0"/>
        <v>33.974500000000035</v>
      </c>
      <c r="I28" s="99">
        <f t="shared" si="1"/>
        <v>1868.5975000000019</v>
      </c>
      <c r="J28" s="100">
        <f t="shared" si="3"/>
        <v>29.75</v>
      </c>
      <c r="K28" s="101">
        <f t="shared" si="2"/>
        <v>-4.2245000000000346</v>
      </c>
    </row>
    <row r="29" spans="1:11" ht="12.75" x14ac:dyDescent="0.2">
      <c r="A29" s="92">
        <v>45546</v>
      </c>
      <c r="B29" s="93" t="s">
        <v>37</v>
      </c>
      <c r="C29" s="94">
        <v>0.94120000000000004</v>
      </c>
      <c r="D29" s="95" t="s">
        <v>226</v>
      </c>
      <c r="E29" s="96"/>
      <c r="F29" s="96"/>
      <c r="G29" s="97">
        <v>595</v>
      </c>
      <c r="H29" s="98">
        <f t="shared" si="0"/>
        <v>34.98599999999999</v>
      </c>
      <c r="I29" s="99">
        <f t="shared" si="1"/>
        <v>1924.2299999999996</v>
      </c>
      <c r="J29" s="100">
        <f t="shared" si="3"/>
        <v>29.75</v>
      </c>
      <c r="K29" s="101">
        <f t="shared" si="2"/>
        <v>-5.23599999999999</v>
      </c>
    </row>
    <row r="30" spans="1:11" ht="12.75" x14ac:dyDescent="0.2">
      <c r="A30" s="92">
        <v>45547</v>
      </c>
      <c r="B30" s="93" t="s">
        <v>39</v>
      </c>
      <c r="C30" s="94">
        <v>0.95799999999999996</v>
      </c>
      <c r="D30" s="95" t="s">
        <v>225</v>
      </c>
      <c r="E30" s="96"/>
      <c r="F30" s="96"/>
      <c r="G30" s="97">
        <v>595</v>
      </c>
      <c r="H30" s="98">
        <f t="shared" si="0"/>
        <v>24.990000000000009</v>
      </c>
      <c r="I30" s="99">
        <f t="shared" si="1"/>
        <v>1374.4500000000005</v>
      </c>
      <c r="J30" s="100">
        <f t="shared" si="3"/>
        <v>29.75</v>
      </c>
      <c r="K30" s="101">
        <f t="shared" si="2"/>
        <v>4.7599999999999909</v>
      </c>
    </row>
    <row r="31" spans="1:11" ht="12.75" x14ac:dyDescent="0.2">
      <c r="A31" s="92">
        <v>45548</v>
      </c>
      <c r="B31" s="93" t="s">
        <v>41</v>
      </c>
      <c r="C31" s="94">
        <v>0.95630000000000004</v>
      </c>
      <c r="D31" s="95" t="s">
        <v>225</v>
      </c>
      <c r="E31" s="96"/>
      <c r="F31" s="96"/>
      <c r="G31" s="97">
        <v>595</v>
      </c>
      <c r="H31" s="98">
        <f t="shared" si="0"/>
        <v>26.001499999999965</v>
      </c>
      <c r="I31" s="99">
        <f t="shared" si="1"/>
        <v>1430.0824999999982</v>
      </c>
      <c r="J31" s="100">
        <f t="shared" si="3"/>
        <v>29.75</v>
      </c>
      <c r="K31" s="101">
        <f t="shared" si="2"/>
        <v>3.7485000000000355</v>
      </c>
    </row>
    <row r="32" spans="1:11" ht="12.75" x14ac:dyDescent="0.2">
      <c r="A32" s="109">
        <v>45551</v>
      </c>
      <c r="B32" s="110" t="s">
        <v>33</v>
      </c>
      <c r="C32" s="111"/>
      <c r="D32" s="112"/>
      <c r="E32" s="113"/>
      <c r="F32" s="113"/>
      <c r="G32" s="114"/>
      <c r="H32" s="98">
        <f t="shared" si="0"/>
        <v>0</v>
      </c>
      <c r="I32" s="99">
        <f t="shared" si="1"/>
        <v>0</v>
      </c>
      <c r="J32" s="100">
        <f t="shared" si="3"/>
        <v>0</v>
      </c>
      <c r="K32" s="101">
        <f t="shared" si="2"/>
        <v>0</v>
      </c>
    </row>
    <row r="33" spans="1:11" ht="12.75" x14ac:dyDescent="0.2">
      <c r="A33" s="92">
        <v>45552</v>
      </c>
      <c r="B33" s="93" t="s">
        <v>35</v>
      </c>
      <c r="C33" s="94">
        <v>0.95989999999999998</v>
      </c>
      <c r="D33" s="95" t="s">
        <v>225</v>
      </c>
      <c r="E33" s="96"/>
      <c r="F33" s="96"/>
      <c r="G33" s="97">
        <v>598</v>
      </c>
      <c r="H33" s="98">
        <f t="shared" si="0"/>
        <v>23.979800000000068</v>
      </c>
      <c r="I33" s="99">
        <f t="shared" si="1"/>
        <v>1318.8890000000038</v>
      </c>
      <c r="J33" s="100">
        <f t="shared" si="3"/>
        <v>29.899999999999977</v>
      </c>
      <c r="K33" s="101">
        <f t="shared" si="2"/>
        <v>5.9201999999999089</v>
      </c>
    </row>
    <row r="34" spans="1:11" ht="12.75" x14ac:dyDescent="0.2">
      <c r="A34" s="92">
        <v>45553</v>
      </c>
      <c r="B34" s="93" t="s">
        <v>37</v>
      </c>
      <c r="C34" s="94">
        <v>0.96489999999999998</v>
      </c>
      <c r="D34" s="95" t="s">
        <v>226</v>
      </c>
      <c r="E34" s="96"/>
      <c r="F34" s="96"/>
      <c r="G34" s="97">
        <v>598</v>
      </c>
      <c r="H34" s="98">
        <f t="shared" si="0"/>
        <v>20.989800000000059</v>
      </c>
      <c r="I34" s="99">
        <f t="shared" si="1"/>
        <v>1154.4390000000033</v>
      </c>
      <c r="J34" s="100">
        <f t="shared" si="3"/>
        <v>29.899999999999977</v>
      </c>
      <c r="K34" s="101">
        <f t="shared" si="2"/>
        <v>8.910199999999918</v>
      </c>
    </row>
    <row r="35" spans="1:11" ht="12.75" x14ac:dyDescent="0.2">
      <c r="A35" s="92">
        <v>45554</v>
      </c>
      <c r="B35" s="93" t="s">
        <v>39</v>
      </c>
      <c r="C35" s="94">
        <v>0.94820000000000004</v>
      </c>
      <c r="D35" s="95" t="s">
        <v>226</v>
      </c>
      <c r="E35" s="96"/>
      <c r="F35" s="96"/>
      <c r="G35" s="97">
        <v>598</v>
      </c>
      <c r="H35" s="98">
        <f t="shared" si="0"/>
        <v>30.976400000000012</v>
      </c>
      <c r="I35" s="99">
        <f t="shared" si="1"/>
        <v>1703.7020000000007</v>
      </c>
      <c r="J35" s="100">
        <f t="shared" si="3"/>
        <v>29.899999999999977</v>
      </c>
      <c r="K35" s="101">
        <f t="shared" si="2"/>
        <v>-1.0764000000000351</v>
      </c>
    </row>
    <row r="36" spans="1:11" ht="12.75" x14ac:dyDescent="0.2">
      <c r="A36" s="92">
        <v>45555</v>
      </c>
      <c r="B36" s="93" t="s">
        <v>41</v>
      </c>
      <c r="C36" s="94">
        <v>0.95289999999999997</v>
      </c>
      <c r="D36" s="95" t="s">
        <v>226</v>
      </c>
      <c r="E36" s="96"/>
      <c r="F36" s="96"/>
      <c r="G36" s="97">
        <v>595</v>
      </c>
      <c r="H36" s="98">
        <f t="shared" si="0"/>
        <v>28.024499999999989</v>
      </c>
      <c r="I36" s="99">
        <f t="shared" si="1"/>
        <v>1541.3474999999994</v>
      </c>
      <c r="J36" s="100">
        <f t="shared" si="3"/>
        <v>29.75</v>
      </c>
      <c r="K36" s="101">
        <f t="shared" si="2"/>
        <v>1.7255000000000109</v>
      </c>
    </row>
    <row r="37" spans="1:11" ht="12.75" x14ac:dyDescent="0.2">
      <c r="A37" s="92">
        <v>45558</v>
      </c>
      <c r="B37" s="93" t="s">
        <v>33</v>
      </c>
      <c r="C37" s="94">
        <v>0.94469999999999998</v>
      </c>
      <c r="D37" s="95" t="s">
        <v>226</v>
      </c>
      <c r="E37" s="96"/>
      <c r="F37" s="96"/>
      <c r="G37" s="97">
        <v>597</v>
      </c>
      <c r="H37" s="98">
        <f t="shared" si="0"/>
        <v>33.014099999999985</v>
      </c>
      <c r="I37" s="99">
        <f t="shared" si="1"/>
        <v>1815.7754999999993</v>
      </c>
      <c r="J37" s="100">
        <f t="shared" si="3"/>
        <v>29.850000000000023</v>
      </c>
      <c r="K37" s="101">
        <f t="shared" si="2"/>
        <v>-3.1640999999999622</v>
      </c>
    </row>
    <row r="38" spans="1:11" ht="12.75" x14ac:dyDescent="0.2">
      <c r="A38" s="92">
        <v>45559</v>
      </c>
      <c r="B38" s="93" t="s">
        <v>35</v>
      </c>
      <c r="C38" s="94">
        <v>0.97650000000000003</v>
      </c>
      <c r="D38" s="95" t="s">
        <v>226</v>
      </c>
      <c r="E38" s="96"/>
      <c r="F38" s="96"/>
      <c r="G38" s="97">
        <v>597</v>
      </c>
      <c r="H38" s="98">
        <f t="shared" si="0"/>
        <v>14.029499999999985</v>
      </c>
      <c r="I38" s="99">
        <f t="shared" si="1"/>
        <v>771.62249999999915</v>
      </c>
      <c r="J38" s="100">
        <f t="shared" si="3"/>
        <v>29.850000000000023</v>
      </c>
      <c r="K38" s="101">
        <f t="shared" si="2"/>
        <v>15.820500000000038</v>
      </c>
    </row>
    <row r="39" spans="1:11" ht="12.75" x14ac:dyDescent="0.2">
      <c r="A39" s="92">
        <v>45560</v>
      </c>
      <c r="B39" s="93" t="s">
        <v>37</v>
      </c>
      <c r="C39" s="94">
        <v>0.95479999999999998</v>
      </c>
      <c r="D39" s="95" t="s">
        <v>225</v>
      </c>
      <c r="E39" s="96"/>
      <c r="F39" s="96"/>
      <c r="G39" s="97">
        <v>598</v>
      </c>
      <c r="H39" s="98">
        <f t="shared" si="0"/>
        <v>27.029599999999959</v>
      </c>
      <c r="I39" s="99">
        <f t="shared" si="1"/>
        <v>1486.6279999999979</v>
      </c>
      <c r="J39" s="100">
        <f t="shared" si="3"/>
        <v>29.899999999999977</v>
      </c>
      <c r="K39" s="101">
        <f t="shared" si="2"/>
        <v>2.8704000000000178</v>
      </c>
    </row>
    <row r="40" spans="1:11" ht="12.75" x14ac:dyDescent="0.2">
      <c r="A40" s="92">
        <v>45561</v>
      </c>
      <c r="B40" s="93" t="s">
        <v>39</v>
      </c>
      <c r="C40" s="94">
        <v>0.96989999999999998</v>
      </c>
      <c r="D40" s="95" t="s">
        <v>225</v>
      </c>
      <c r="E40" s="96"/>
      <c r="F40" s="96"/>
      <c r="G40" s="97">
        <v>598</v>
      </c>
      <c r="H40" s="98">
        <f t="shared" si="0"/>
        <v>17.99980000000005</v>
      </c>
      <c r="I40" s="99">
        <f t="shared" si="1"/>
        <v>989.98900000000276</v>
      </c>
      <c r="J40" s="100">
        <f t="shared" si="3"/>
        <v>29.899999999999977</v>
      </c>
      <c r="K40" s="101">
        <f t="shared" si="2"/>
        <v>11.900199999999927</v>
      </c>
    </row>
    <row r="41" spans="1:11" ht="12.75" x14ac:dyDescent="0.2">
      <c r="A41" s="92">
        <v>45562</v>
      </c>
      <c r="B41" s="93" t="s">
        <v>41</v>
      </c>
      <c r="C41" s="94">
        <v>0.96319999999999995</v>
      </c>
      <c r="D41" s="95" t="s">
        <v>225</v>
      </c>
      <c r="E41" s="96"/>
      <c r="F41" s="96"/>
      <c r="G41" s="97">
        <v>598</v>
      </c>
      <c r="H41" s="98">
        <f t="shared" si="0"/>
        <v>22.006399999999985</v>
      </c>
      <c r="I41" s="99">
        <f t="shared" si="1"/>
        <v>1210.3519999999992</v>
      </c>
      <c r="J41" s="100">
        <f t="shared" si="3"/>
        <v>29.899999999999977</v>
      </c>
      <c r="K41" s="101">
        <f t="shared" si="2"/>
        <v>7.8935999999999922</v>
      </c>
    </row>
    <row r="42" spans="1:11" ht="12.75" x14ac:dyDescent="0.2">
      <c r="A42" s="92">
        <v>45565</v>
      </c>
      <c r="B42" s="93" t="s">
        <v>33</v>
      </c>
      <c r="C42" s="94">
        <v>0.94799999999999995</v>
      </c>
      <c r="D42" s="95" t="s">
        <v>292</v>
      </c>
      <c r="E42" s="96"/>
      <c r="F42" s="96"/>
      <c r="G42" s="97">
        <v>596</v>
      </c>
      <c r="H42" s="98">
        <f t="shared" si="0"/>
        <v>30.992000000000075</v>
      </c>
      <c r="I42" s="99">
        <f t="shared" si="1"/>
        <v>1704.560000000004</v>
      </c>
      <c r="J42" s="100">
        <f t="shared" si="3"/>
        <v>29.800000000000068</v>
      </c>
      <c r="K42" s="101">
        <f t="shared" si="2"/>
        <v>-1.1920000000000073</v>
      </c>
    </row>
    <row r="43" spans="1:11" ht="12.75" x14ac:dyDescent="0.2">
      <c r="A43" s="92">
        <v>45566</v>
      </c>
      <c r="B43" s="93" t="s">
        <v>35</v>
      </c>
      <c r="C43" s="94">
        <v>0.96819999999999995</v>
      </c>
      <c r="D43" s="95" t="s">
        <v>226</v>
      </c>
      <c r="E43" s="96"/>
      <c r="F43" s="96"/>
      <c r="G43" s="97">
        <v>598</v>
      </c>
      <c r="H43" s="98">
        <f t="shared" si="0"/>
        <v>19.016399999999976</v>
      </c>
      <c r="I43" s="99">
        <f t="shared" si="1"/>
        <v>1045.9019999999987</v>
      </c>
      <c r="J43" s="100">
        <f t="shared" si="3"/>
        <v>29.899999999999977</v>
      </c>
      <c r="K43" s="101">
        <f t="shared" si="2"/>
        <v>10.883600000000001</v>
      </c>
    </row>
    <row r="44" spans="1:11" ht="12.75" x14ac:dyDescent="0.2">
      <c r="A44" s="92">
        <v>45567</v>
      </c>
      <c r="B44" s="93" t="s">
        <v>37</v>
      </c>
      <c r="C44" s="94">
        <v>0.95660000000000001</v>
      </c>
      <c r="D44" s="95" t="s">
        <v>226</v>
      </c>
      <c r="E44" s="96"/>
      <c r="F44" s="96"/>
      <c r="G44" s="97">
        <v>598</v>
      </c>
      <c r="H44" s="98">
        <f t="shared" si="0"/>
        <v>25.953200000000038</v>
      </c>
      <c r="I44" s="99">
        <f t="shared" si="1"/>
        <v>1427.4260000000022</v>
      </c>
      <c r="J44" s="100">
        <f t="shared" si="3"/>
        <v>29.899999999999977</v>
      </c>
      <c r="K44" s="101">
        <f t="shared" si="2"/>
        <v>3.9467999999999392</v>
      </c>
    </row>
    <row r="45" spans="1:11" ht="12.75" x14ac:dyDescent="0.2">
      <c r="A45" s="92">
        <v>45568</v>
      </c>
      <c r="B45" s="93" t="s">
        <v>39</v>
      </c>
      <c r="C45" s="94">
        <v>0.96319999999999995</v>
      </c>
      <c r="D45" s="95" t="s">
        <v>225</v>
      </c>
      <c r="E45" s="96"/>
      <c r="F45" s="96"/>
      <c r="G45" s="97">
        <v>598</v>
      </c>
      <c r="H45" s="98">
        <f t="shared" si="0"/>
        <v>22.006399999999985</v>
      </c>
      <c r="I45" s="99">
        <f t="shared" si="1"/>
        <v>1210.3519999999992</v>
      </c>
      <c r="J45" s="100">
        <f t="shared" si="3"/>
        <v>29.899999999999977</v>
      </c>
      <c r="K45" s="101">
        <f t="shared" si="2"/>
        <v>7.8935999999999922</v>
      </c>
    </row>
    <row r="46" spans="1:11" ht="12.75" x14ac:dyDescent="0.2">
      <c r="A46" s="92">
        <v>45569</v>
      </c>
      <c r="B46" s="93" t="s">
        <v>41</v>
      </c>
      <c r="C46" s="94">
        <v>0.91300000000000003</v>
      </c>
      <c r="D46" s="95" t="s">
        <v>225</v>
      </c>
      <c r="E46" s="96"/>
      <c r="F46" s="96"/>
      <c r="G46" s="97">
        <v>598</v>
      </c>
      <c r="H46" s="98">
        <f t="shared" si="0"/>
        <v>52.025999999999954</v>
      </c>
      <c r="I46" s="99">
        <f t="shared" si="1"/>
        <v>2861.4299999999976</v>
      </c>
      <c r="J46" s="100">
        <f t="shared" si="3"/>
        <v>29.899999999999977</v>
      </c>
      <c r="K46" s="101">
        <f t="shared" si="2"/>
        <v>-22.125999999999976</v>
      </c>
    </row>
    <row r="47" spans="1:11" ht="12.75" x14ac:dyDescent="0.2">
      <c r="A47" s="103">
        <v>45572</v>
      </c>
      <c r="B47" s="104" t="s">
        <v>33</v>
      </c>
      <c r="C47" s="105"/>
      <c r="D47" s="106"/>
      <c r="E47" s="107"/>
      <c r="F47" s="107"/>
      <c r="G47" s="108"/>
      <c r="H47" s="98">
        <f t="shared" si="0"/>
        <v>0</v>
      </c>
      <c r="I47" s="99">
        <f t="shared" si="1"/>
        <v>0</v>
      </c>
      <c r="J47" s="100">
        <f t="shared" si="3"/>
        <v>0</v>
      </c>
      <c r="K47" s="101">
        <f t="shared" si="2"/>
        <v>0</v>
      </c>
    </row>
    <row r="48" spans="1:11" ht="12.75" x14ac:dyDescent="0.2">
      <c r="A48" s="103">
        <v>45573</v>
      </c>
      <c r="B48" s="104" t="s">
        <v>35</v>
      </c>
      <c r="C48" s="105"/>
      <c r="D48" s="106"/>
      <c r="E48" s="107"/>
      <c r="F48" s="107"/>
      <c r="G48" s="108"/>
      <c r="H48" s="98">
        <f t="shared" si="0"/>
        <v>0</v>
      </c>
      <c r="I48" s="99">
        <f t="shared" si="1"/>
        <v>0</v>
      </c>
      <c r="J48" s="100">
        <f t="shared" si="3"/>
        <v>0</v>
      </c>
      <c r="K48" s="101">
        <f t="shared" si="2"/>
        <v>0</v>
      </c>
    </row>
    <row r="49" spans="1:11" ht="12.75" x14ac:dyDescent="0.2">
      <c r="A49" s="103">
        <v>45574</v>
      </c>
      <c r="B49" s="104" t="s">
        <v>37</v>
      </c>
      <c r="C49" s="105"/>
      <c r="D49" s="106"/>
      <c r="E49" s="107"/>
      <c r="F49" s="107"/>
      <c r="G49" s="108"/>
      <c r="H49" s="98">
        <f t="shared" si="0"/>
        <v>0</v>
      </c>
      <c r="I49" s="99">
        <f t="shared" si="1"/>
        <v>0</v>
      </c>
      <c r="J49" s="100">
        <f t="shared" si="3"/>
        <v>0</v>
      </c>
      <c r="K49" s="101">
        <f t="shared" si="2"/>
        <v>0</v>
      </c>
    </row>
    <row r="50" spans="1:11" ht="12.75" x14ac:dyDescent="0.2">
      <c r="A50" s="103">
        <v>45575</v>
      </c>
      <c r="B50" s="104" t="s">
        <v>39</v>
      </c>
      <c r="C50" s="105"/>
      <c r="D50" s="106"/>
      <c r="E50" s="107"/>
      <c r="F50" s="107"/>
      <c r="G50" s="108"/>
      <c r="H50" s="98">
        <f t="shared" si="0"/>
        <v>0</v>
      </c>
      <c r="I50" s="99">
        <f t="shared" si="1"/>
        <v>0</v>
      </c>
      <c r="J50" s="100">
        <f t="shared" si="3"/>
        <v>0</v>
      </c>
      <c r="K50" s="101">
        <f t="shared" si="2"/>
        <v>0</v>
      </c>
    </row>
    <row r="51" spans="1:11" ht="12.75" x14ac:dyDescent="0.2">
      <c r="A51" s="103">
        <v>45576</v>
      </c>
      <c r="B51" s="104" t="s">
        <v>41</v>
      </c>
      <c r="C51" s="105"/>
      <c r="D51" s="106"/>
      <c r="E51" s="107"/>
      <c r="F51" s="107"/>
      <c r="G51" s="108"/>
      <c r="H51" s="98">
        <f t="shared" si="0"/>
        <v>0</v>
      </c>
      <c r="I51" s="99">
        <f t="shared" si="1"/>
        <v>0</v>
      </c>
      <c r="J51" s="100">
        <f t="shared" si="3"/>
        <v>0</v>
      </c>
      <c r="K51" s="101">
        <f t="shared" si="2"/>
        <v>0</v>
      </c>
    </row>
    <row r="52" spans="1:11" ht="12.75" x14ac:dyDescent="0.2">
      <c r="A52" s="92">
        <v>45579</v>
      </c>
      <c r="B52" s="93" t="s">
        <v>33</v>
      </c>
      <c r="C52" s="94">
        <v>0.92520000000000002</v>
      </c>
      <c r="D52" s="95" t="s">
        <v>226</v>
      </c>
      <c r="E52" s="96"/>
      <c r="F52" s="96"/>
      <c r="G52" s="97">
        <v>602</v>
      </c>
      <c r="H52" s="98">
        <f t="shared" si="0"/>
        <v>45.029599999999959</v>
      </c>
      <c r="I52" s="99">
        <f t="shared" si="1"/>
        <v>2476.6279999999979</v>
      </c>
      <c r="J52" s="100">
        <f t="shared" si="3"/>
        <v>30.100000000000023</v>
      </c>
      <c r="K52" s="101">
        <f t="shared" si="2"/>
        <v>-14.929599999999937</v>
      </c>
    </row>
    <row r="53" spans="1:11" ht="12.75" x14ac:dyDescent="0.2">
      <c r="A53" s="92">
        <v>45580</v>
      </c>
      <c r="B53" s="93" t="s">
        <v>35</v>
      </c>
      <c r="C53" s="94">
        <v>0.96020000000000005</v>
      </c>
      <c r="D53" s="95" t="s">
        <v>293</v>
      </c>
      <c r="E53" s="96"/>
      <c r="F53" s="96"/>
      <c r="G53" s="97">
        <v>603</v>
      </c>
      <c r="H53" s="98">
        <f t="shared" si="0"/>
        <v>23.999399999999923</v>
      </c>
      <c r="I53" s="99">
        <f t="shared" si="1"/>
        <v>1319.9669999999958</v>
      </c>
      <c r="J53" s="100">
        <f t="shared" si="3"/>
        <v>30.149999999999977</v>
      </c>
      <c r="K53" s="101">
        <f t="shared" si="2"/>
        <v>6.150600000000054</v>
      </c>
    </row>
    <row r="54" spans="1:11" ht="12.75" x14ac:dyDescent="0.2">
      <c r="A54" s="92">
        <v>45581</v>
      </c>
      <c r="B54" s="93" t="s">
        <v>37</v>
      </c>
      <c r="C54" s="115">
        <v>0.97350000000000003</v>
      </c>
      <c r="D54" s="95" t="s">
        <v>225</v>
      </c>
      <c r="E54" s="96"/>
      <c r="F54" s="116"/>
      <c r="G54" s="97">
        <v>604</v>
      </c>
      <c r="H54" s="98">
        <f t="shared" si="0"/>
        <v>16.005999999999972</v>
      </c>
      <c r="I54" s="99">
        <f t="shared" si="1"/>
        <v>880.32999999999845</v>
      </c>
      <c r="J54" s="100">
        <f t="shared" si="3"/>
        <v>30.200000000000045</v>
      </c>
      <c r="K54" s="101">
        <f t="shared" si="2"/>
        <v>14.194000000000074</v>
      </c>
    </row>
    <row r="55" spans="1:11" ht="12.75" x14ac:dyDescent="0.2">
      <c r="A55" s="92">
        <v>45582</v>
      </c>
      <c r="B55" s="93" t="s">
        <v>39</v>
      </c>
      <c r="C55" s="94">
        <v>0.96489999999999998</v>
      </c>
      <c r="D55" s="95" t="s">
        <v>226</v>
      </c>
      <c r="E55" s="96"/>
      <c r="F55" s="96"/>
      <c r="G55" s="97">
        <v>604</v>
      </c>
      <c r="H55" s="98">
        <f t="shared" si="0"/>
        <v>21.200400000000059</v>
      </c>
      <c r="I55" s="99">
        <f t="shared" si="1"/>
        <v>1166.0220000000031</v>
      </c>
      <c r="J55" s="100">
        <f t="shared" si="3"/>
        <v>30.200000000000045</v>
      </c>
      <c r="K55" s="101">
        <f t="shared" si="2"/>
        <v>8.9995999999999867</v>
      </c>
    </row>
    <row r="56" spans="1:11" ht="12.75" x14ac:dyDescent="0.2">
      <c r="A56" s="92">
        <v>45583</v>
      </c>
      <c r="B56" s="93" t="s">
        <v>41</v>
      </c>
      <c r="C56" s="94">
        <v>0.94540000000000002</v>
      </c>
      <c r="D56" s="95" t="s">
        <v>292</v>
      </c>
      <c r="E56" s="96"/>
      <c r="F56" s="96"/>
      <c r="G56" s="97">
        <v>604</v>
      </c>
      <c r="H56" s="98">
        <f t="shared" si="0"/>
        <v>32.978399999999965</v>
      </c>
      <c r="I56" s="99">
        <f t="shared" si="1"/>
        <v>1813.8119999999981</v>
      </c>
      <c r="J56" s="100">
        <f t="shared" si="3"/>
        <v>30.200000000000045</v>
      </c>
      <c r="K56" s="101">
        <f t="shared" si="2"/>
        <v>-2.7783999999999196</v>
      </c>
    </row>
    <row r="57" spans="1:11" ht="12.75" x14ac:dyDescent="0.2">
      <c r="A57" s="92">
        <v>45586</v>
      </c>
      <c r="B57" s="93" t="s">
        <v>33</v>
      </c>
      <c r="C57" s="94">
        <v>0.94550000000000001</v>
      </c>
      <c r="D57" s="95" t="s">
        <v>226</v>
      </c>
      <c r="E57" s="96"/>
      <c r="F57" s="96"/>
      <c r="G57" s="97">
        <v>605</v>
      </c>
      <c r="H57" s="98">
        <f t="shared" si="0"/>
        <v>32.972499999999968</v>
      </c>
      <c r="I57" s="99">
        <f t="shared" si="1"/>
        <v>1813.4874999999984</v>
      </c>
      <c r="J57" s="100">
        <f t="shared" si="3"/>
        <v>30.25</v>
      </c>
      <c r="K57" s="101">
        <f t="shared" si="2"/>
        <v>-2.7224999999999682</v>
      </c>
    </row>
    <row r="58" spans="1:11" ht="12.75" x14ac:dyDescent="0.2">
      <c r="A58" s="92">
        <v>45587</v>
      </c>
      <c r="B58" s="93" t="s">
        <v>35</v>
      </c>
      <c r="C58" s="94">
        <v>0.96360000000000001</v>
      </c>
      <c r="D58" s="95" t="s">
        <v>226</v>
      </c>
      <c r="E58" s="96"/>
      <c r="F58" s="96"/>
      <c r="G58" s="97">
        <v>605</v>
      </c>
      <c r="H58" s="98">
        <f t="shared" si="0"/>
        <v>22.022000000000048</v>
      </c>
      <c r="I58" s="99">
        <f t="shared" si="1"/>
        <v>1211.2100000000028</v>
      </c>
      <c r="J58" s="100">
        <f t="shared" si="3"/>
        <v>30.25</v>
      </c>
      <c r="K58" s="101">
        <f t="shared" si="2"/>
        <v>8.2279999999999518</v>
      </c>
    </row>
    <row r="59" spans="1:11" ht="12.75" x14ac:dyDescent="0.2">
      <c r="A59" s="92">
        <v>45588</v>
      </c>
      <c r="B59" s="93" t="s">
        <v>37</v>
      </c>
      <c r="C59" s="94">
        <v>0.95720000000000005</v>
      </c>
      <c r="D59" s="95" t="s">
        <v>226</v>
      </c>
      <c r="E59" s="96"/>
      <c r="F59" s="96"/>
      <c r="G59" s="97">
        <v>607</v>
      </c>
      <c r="H59" s="98">
        <f t="shared" si="0"/>
        <v>25.979600000000005</v>
      </c>
      <c r="I59" s="99">
        <f t="shared" si="1"/>
        <v>1428.8780000000002</v>
      </c>
      <c r="J59" s="100">
        <f t="shared" si="3"/>
        <v>30.350000000000023</v>
      </c>
      <c r="K59" s="101">
        <f t="shared" si="2"/>
        <v>4.3704000000000178</v>
      </c>
    </row>
    <row r="60" spans="1:11" ht="12.75" x14ac:dyDescent="0.2">
      <c r="A60" s="92">
        <v>45589</v>
      </c>
      <c r="B60" s="93" t="s">
        <v>39</v>
      </c>
      <c r="C60" s="94">
        <v>0.96209999999999996</v>
      </c>
      <c r="D60" s="95" t="s">
        <v>226</v>
      </c>
      <c r="E60" s="96"/>
      <c r="F60" s="96"/>
      <c r="G60" s="97">
        <v>607</v>
      </c>
      <c r="H60" s="98">
        <f t="shared" si="0"/>
        <v>23.005300000000034</v>
      </c>
      <c r="I60" s="99">
        <f t="shared" si="1"/>
        <v>1265.2915000000019</v>
      </c>
      <c r="J60" s="100">
        <f t="shared" si="3"/>
        <v>30.350000000000023</v>
      </c>
      <c r="K60" s="101">
        <f t="shared" si="2"/>
        <v>7.3446999999999889</v>
      </c>
    </row>
    <row r="61" spans="1:11" ht="12.75" x14ac:dyDescent="0.2">
      <c r="A61" s="92">
        <v>45590</v>
      </c>
      <c r="B61" s="93" t="s">
        <v>41</v>
      </c>
      <c r="C61" s="94">
        <v>0.94889999999999997</v>
      </c>
      <c r="D61" s="95" t="s">
        <v>225</v>
      </c>
      <c r="E61" s="96"/>
      <c r="F61" s="96"/>
      <c r="G61" s="97">
        <v>607</v>
      </c>
      <c r="H61" s="98">
        <f t="shared" si="0"/>
        <v>31.017699999999991</v>
      </c>
      <c r="I61" s="99">
        <f t="shared" si="1"/>
        <v>1705.9734999999996</v>
      </c>
      <c r="J61" s="100">
        <f t="shared" si="3"/>
        <v>30.350000000000023</v>
      </c>
      <c r="K61" s="101">
        <f t="shared" si="2"/>
        <v>-0.66769999999996799</v>
      </c>
    </row>
    <row r="62" spans="1:11" ht="12.75" x14ac:dyDescent="0.2">
      <c r="A62" s="92">
        <v>45593</v>
      </c>
      <c r="B62" s="93" t="s">
        <v>33</v>
      </c>
      <c r="C62" s="94">
        <v>0.9637</v>
      </c>
      <c r="D62" s="95" t="s">
        <v>225</v>
      </c>
      <c r="E62" s="96"/>
      <c r="F62" s="96"/>
      <c r="G62" s="97">
        <v>606</v>
      </c>
      <c r="H62" s="98">
        <f t="shared" si="0"/>
        <v>21.997799999999984</v>
      </c>
      <c r="I62" s="99">
        <f t="shared" si="1"/>
        <v>1209.878999999999</v>
      </c>
      <c r="J62" s="100">
        <f t="shared" si="3"/>
        <v>30.300000000000068</v>
      </c>
      <c r="K62" s="101">
        <f t="shared" si="2"/>
        <v>8.3022000000000844</v>
      </c>
    </row>
    <row r="63" spans="1:11" ht="12.75" x14ac:dyDescent="0.2">
      <c r="A63" s="92">
        <v>45594</v>
      </c>
      <c r="B63" s="93" t="s">
        <v>35</v>
      </c>
      <c r="C63" s="94">
        <v>0.96030000000000004</v>
      </c>
      <c r="D63" s="95" t="s">
        <v>226</v>
      </c>
      <c r="E63" s="96"/>
      <c r="F63" s="96"/>
      <c r="G63" s="97">
        <v>605</v>
      </c>
      <c r="H63" s="98">
        <f t="shared" si="0"/>
        <v>24.018500000000017</v>
      </c>
      <c r="I63" s="99">
        <f t="shared" si="1"/>
        <v>1321.0175000000008</v>
      </c>
      <c r="J63" s="100">
        <f t="shared" si="3"/>
        <v>30.25</v>
      </c>
      <c r="K63" s="101">
        <f t="shared" si="2"/>
        <v>6.2314999999999827</v>
      </c>
    </row>
    <row r="64" spans="1:11" ht="12.75" x14ac:dyDescent="0.2">
      <c r="A64" s="92">
        <v>45595</v>
      </c>
      <c r="B64" s="93" t="s">
        <v>37</v>
      </c>
      <c r="C64" s="94">
        <v>0.97360000000000002</v>
      </c>
      <c r="D64" s="95" t="s">
        <v>225</v>
      </c>
      <c r="E64" s="96"/>
      <c r="F64" s="96"/>
      <c r="G64" s="97">
        <v>605</v>
      </c>
      <c r="H64" s="98">
        <f t="shared" si="0"/>
        <v>15.97199999999998</v>
      </c>
      <c r="I64" s="99">
        <f t="shared" si="1"/>
        <v>878.4599999999989</v>
      </c>
      <c r="J64" s="100">
        <f t="shared" si="3"/>
        <v>30.25</v>
      </c>
      <c r="K64" s="101">
        <f t="shared" si="2"/>
        <v>14.27800000000002</v>
      </c>
    </row>
    <row r="65" spans="1:11" ht="12.75" x14ac:dyDescent="0.2">
      <c r="A65" s="92">
        <v>45596</v>
      </c>
      <c r="B65" s="93" t="s">
        <v>39</v>
      </c>
      <c r="C65" s="94">
        <v>0.95709999999999995</v>
      </c>
      <c r="D65" s="95" t="s">
        <v>226</v>
      </c>
      <c r="E65" s="96"/>
      <c r="F65" s="96"/>
      <c r="G65" s="97">
        <v>606</v>
      </c>
      <c r="H65" s="98">
        <f t="shared" si="0"/>
        <v>25.997400000000084</v>
      </c>
      <c r="I65" s="99">
        <f t="shared" si="1"/>
        <v>1429.8570000000045</v>
      </c>
      <c r="J65" s="100">
        <f t="shared" si="3"/>
        <v>30.300000000000068</v>
      </c>
      <c r="K65" s="101">
        <f t="shared" si="2"/>
        <v>4.302599999999984</v>
      </c>
    </row>
    <row r="66" spans="1:11" ht="12.75" x14ac:dyDescent="0.2">
      <c r="A66" s="92">
        <v>45597</v>
      </c>
      <c r="B66" s="93" t="s">
        <v>41</v>
      </c>
      <c r="C66" s="94">
        <v>0.91239999999999999</v>
      </c>
      <c r="D66" s="95" t="s">
        <v>226</v>
      </c>
      <c r="E66" s="96"/>
      <c r="F66" s="96"/>
      <c r="G66" s="97">
        <v>605</v>
      </c>
      <c r="H66" s="98">
        <f t="shared" si="0"/>
        <v>52.998000000000047</v>
      </c>
      <c r="I66" s="99">
        <f t="shared" si="1"/>
        <v>2914.8900000000026</v>
      </c>
      <c r="J66" s="100">
        <f t="shared" si="3"/>
        <v>30.25</v>
      </c>
      <c r="K66" s="101">
        <f t="shared" si="2"/>
        <v>-22.748000000000047</v>
      </c>
    </row>
    <row r="67" spans="1:11" ht="12.75" x14ac:dyDescent="0.2">
      <c r="A67" s="117">
        <v>45600</v>
      </c>
      <c r="B67" s="118" t="s">
        <v>33</v>
      </c>
      <c r="C67" s="119"/>
      <c r="D67" s="120"/>
      <c r="E67" s="121"/>
      <c r="F67" s="121"/>
      <c r="G67" s="122"/>
      <c r="H67" s="98">
        <f t="shared" si="0"/>
        <v>0</v>
      </c>
      <c r="I67" s="99">
        <f t="shared" si="1"/>
        <v>0</v>
      </c>
      <c r="J67" s="100">
        <f t="shared" si="3"/>
        <v>0</v>
      </c>
      <c r="K67" s="101">
        <f t="shared" si="2"/>
        <v>0</v>
      </c>
    </row>
    <row r="68" spans="1:11" ht="12.75" x14ac:dyDescent="0.2">
      <c r="A68" s="109">
        <v>45601</v>
      </c>
      <c r="B68" s="110" t="s">
        <v>35</v>
      </c>
      <c r="C68" s="111"/>
      <c r="D68" s="112"/>
      <c r="E68" s="113"/>
      <c r="F68" s="113"/>
      <c r="G68" s="114"/>
      <c r="H68" s="98">
        <f t="shared" si="0"/>
        <v>0</v>
      </c>
      <c r="I68" s="99">
        <f t="shared" si="1"/>
        <v>0</v>
      </c>
      <c r="J68" s="100">
        <f t="shared" si="3"/>
        <v>0</v>
      </c>
      <c r="K68" s="101">
        <f t="shared" si="2"/>
        <v>0</v>
      </c>
    </row>
    <row r="69" spans="1:11" ht="12.75" x14ac:dyDescent="0.2">
      <c r="A69" s="92">
        <v>45602</v>
      </c>
      <c r="B69" s="93" t="s">
        <v>37</v>
      </c>
      <c r="C69" s="94">
        <v>0.96379999999999999</v>
      </c>
      <c r="D69" s="95" t="s">
        <v>226</v>
      </c>
      <c r="E69" s="96"/>
      <c r="F69" s="96"/>
      <c r="G69" s="97">
        <v>607</v>
      </c>
      <c r="H69" s="98">
        <f t="shared" si="0"/>
        <v>21.97339999999997</v>
      </c>
      <c r="I69" s="99">
        <f t="shared" si="1"/>
        <v>1208.5369999999984</v>
      </c>
      <c r="J69" s="100">
        <f t="shared" si="3"/>
        <v>30.350000000000023</v>
      </c>
      <c r="K69" s="101">
        <f t="shared" si="2"/>
        <v>8.3766000000000531</v>
      </c>
    </row>
    <row r="70" spans="1:11" ht="12.75" x14ac:dyDescent="0.2">
      <c r="A70" s="92">
        <v>45603</v>
      </c>
      <c r="B70" s="93" t="s">
        <v>39</v>
      </c>
      <c r="C70" s="94">
        <v>0.96050000000000002</v>
      </c>
      <c r="D70" s="102" t="s">
        <v>226</v>
      </c>
      <c r="E70" s="96"/>
      <c r="F70" s="96"/>
      <c r="G70" s="97">
        <v>607</v>
      </c>
      <c r="H70" s="98">
        <f t="shared" si="0"/>
        <v>23.976499999999987</v>
      </c>
      <c r="I70" s="99">
        <f t="shared" si="1"/>
        <v>1318.7074999999993</v>
      </c>
      <c r="J70" s="100">
        <f t="shared" si="3"/>
        <v>30.350000000000023</v>
      </c>
      <c r="K70" s="101">
        <f t="shared" si="2"/>
        <v>6.3735000000000355</v>
      </c>
    </row>
    <row r="71" spans="1:11" ht="12.75" x14ac:dyDescent="0.2">
      <c r="A71" s="92">
        <v>45604</v>
      </c>
      <c r="B71" s="93" t="s">
        <v>41</v>
      </c>
      <c r="C71" s="94">
        <v>0.96040000000000003</v>
      </c>
      <c r="D71" s="102" t="s">
        <v>226</v>
      </c>
      <c r="E71" s="96"/>
      <c r="F71" s="96"/>
      <c r="G71" s="97">
        <v>606</v>
      </c>
      <c r="H71" s="98">
        <f t="shared" si="0"/>
        <v>23.997600000000034</v>
      </c>
      <c r="I71" s="99">
        <f t="shared" si="1"/>
        <v>1319.8680000000018</v>
      </c>
      <c r="J71" s="100">
        <f t="shared" si="3"/>
        <v>30.300000000000068</v>
      </c>
      <c r="K71" s="101">
        <f t="shared" si="2"/>
        <v>6.3024000000000342</v>
      </c>
    </row>
    <row r="72" spans="1:11" ht="12.75" x14ac:dyDescent="0.2">
      <c r="A72" s="92">
        <v>45607</v>
      </c>
      <c r="B72" s="93" t="s">
        <v>33</v>
      </c>
      <c r="C72" s="94">
        <v>0.91749999999999998</v>
      </c>
      <c r="D72" s="102" t="s">
        <v>225</v>
      </c>
      <c r="E72" s="96"/>
      <c r="F72" s="96"/>
      <c r="G72" s="97">
        <v>606</v>
      </c>
      <c r="H72" s="98">
        <f t="shared" si="0"/>
        <v>49.995000000000005</v>
      </c>
      <c r="I72" s="99">
        <f t="shared" si="1"/>
        <v>2749.7250000000004</v>
      </c>
      <c r="J72" s="100">
        <f t="shared" si="3"/>
        <v>30.300000000000068</v>
      </c>
      <c r="K72" s="101">
        <f t="shared" si="2"/>
        <v>-19.694999999999936</v>
      </c>
    </row>
    <row r="73" spans="1:11" ht="12.75" x14ac:dyDescent="0.2">
      <c r="A73" s="92">
        <v>45608</v>
      </c>
      <c r="B73" s="93" t="s">
        <v>35</v>
      </c>
      <c r="C73" s="94">
        <v>0.95209999999999995</v>
      </c>
      <c r="D73" s="95" t="s">
        <v>226</v>
      </c>
      <c r="E73" s="96"/>
      <c r="F73" s="96"/>
      <c r="G73" s="97">
        <v>605</v>
      </c>
      <c r="H73" s="98">
        <f t="shared" si="0"/>
        <v>28.97950000000003</v>
      </c>
      <c r="I73" s="99">
        <f t="shared" si="1"/>
        <v>1593.8725000000018</v>
      </c>
      <c r="J73" s="100">
        <f t="shared" si="3"/>
        <v>30.25</v>
      </c>
      <c r="K73" s="101">
        <f t="shared" si="2"/>
        <v>1.27049999999997</v>
      </c>
    </row>
    <row r="74" spans="1:11" ht="12.75" x14ac:dyDescent="0.2">
      <c r="A74" s="92">
        <v>45609</v>
      </c>
      <c r="B74" s="93" t="s">
        <v>37</v>
      </c>
      <c r="C74" s="94">
        <v>0.96699999999999997</v>
      </c>
      <c r="D74" s="95" t="s">
        <v>225</v>
      </c>
      <c r="E74" s="96"/>
      <c r="F74" s="96"/>
      <c r="G74" s="97">
        <v>606</v>
      </c>
      <c r="H74" s="98">
        <f t="shared" si="0"/>
        <v>19.998000000000047</v>
      </c>
      <c r="I74" s="99">
        <f t="shared" si="1"/>
        <v>1099.8900000000026</v>
      </c>
      <c r="J74" s="100">
        <f t="shared" si="3"/>
        <v>30.300000000000068</v>
      </c>
      <c r="K74" s="101">
        <f t="shared" si="2"/>
        <v>10.302000000000021</v>
      </c>
    </row>
    <row r="75" spans="1:11" ht="12.75" x14ac:dyDescent="0.2">
      <c r="A75" s="92">
        <v>45610</v>
      </c>
      <c r="B75" s="93" t="s">
        <v>39</v>
      </c>
      <c r="C75" s="94">
        <v>0.95050000000000001</v>
      </c>
      <c r="D75" s="95" t="s">
        <v>226</v>
      </c>
      <c r="E75" s="96"/>
      <c r="F75" s="96"/>
      <c r="G75" s="97">
        <v>606</v>
      </c>
      <c r="H75" s="98">
        <f t="shared" si="0"/>
        <v>29.996999999999957</v>
      </c>
      <c r="I75" s="99">
        <f t="shared" si="1"/>
        <v>1649.8349999999978</v>
      </c>
      <c r="J75" s="100">
        <f t="shared" si="3"/>
        <v>30.300000000000068</v>
      </c>
      <c r="K75" s="101">
        <f t="shared" si="2"/>
        <v>0.30300000000011096</v>
      </c>
    </row>
    <row r="76" spans="1:11" ht="12.75" x14ac:dyDescent="0.2">
      <c r="A76" s="92">
        <v>45611</v>
      </c>
      <c r="B76" s="93" t="s">
        <v>41</v>
      </c>
      <c r="C76" s="94">
        <v>0.92569999999999997</v>
      </c>
      <c r="D76" s="95" t="s">
        <v>225</v>
      </c>
      <c r="E76" s="96"/>
      <c r="F76" s="96"/>
      <c r="G76" s="97">
        <v>606</v>
      </c>
      <c r="H76" s="98">
        <f t="shared" si="0"/>
        <v>45.025800000000004</v>
      </c>
      <c r="I76" s="99">
        <f t="shared" si="1"/>
        <v>2476.4190000000003</v>
      </c>
      <c r="J76" s="100">
        <f t="shared" si="3"/>
        <v>30.300000000000068</v>
      </c>
      <c r="K76" s="101">
        <f t="shared" si="2"/>
        <v>-14.725799999999936</v>
      </c>
    </row>
    <row r="77" spans="1:11" ht="12.75" x14ac:dyDescent="0.2">
      <c r="A77" s="92">
        <v>45614</v>
      </c>
      <c r="B77" s="93" t="s">
        <v>33</v>
      </c>
      <c r="C77" s="94">
        <v>0.93400000000000005</v>
      </c>
      <c r="D77" s="95" t="s">
        <v>225</v>
      </c>
      <c r="E77" s="96"/>
      <c r="F77" s="96"/>
      <c r="G77" s="97">
        <v>606</v>
      </c>
      <c r="H77" s="98">
        <f t="shared" si="0"/>
        <v>39.995999999999981</v>
      </c>
      <c r="I77" s="99">
        <f t="shared" si="1"/>
        <v>2199.7799999999988</v>
      </c>
      <c r="J77" s="100">
        <f t="shared" si="3"/>
        <v>30.300000000000068</v>
      </c>
      <c r="K77" s="101">
        <f t="shared" si="2"/>
        <v>-9.6959999999999127</v>
      </c>
    </row>
    <row r="78" spans="1:11" ht="12.75" x14ac:dyDescent="0.2">
      <c r="A78" s="92">
        <v>45615</v>
      </c>
      <c r="B78" s="93" t="s">
        <v>35</v>
      </c>
      <c r="C78" s="94">
        <v>0.95709999999999995</v>
      </c>
      <c r="D78" s="95" t="s">
        <v>226</v>
      </c>
      <c r="E78" s="96"/>
      <c r="F78" s="96"/>
      <c r="G78" s="97">
        <v>606</v>
      </c>
      <c r="H78" s="98">
        <f t="shared" si="0"/>
        <v>25.997400000000084</v>
      </c>
      <c r="I78" s="99">
        <f t="shared" si="1"/>
        <v>1429.8570000000045</v>
      </c>
      <c r="J78" s="100">
        <f t="shared" si="3"/>
        <v>30.300000000000068</v>
      </c>
      <c r="K78" s="101">
        <f t="shared" si="2"/>
        <v>4.302599999999984</v>
      </c>
    </row>
    <row r="79" spans="1:11" ht="12.75" x14ac:dyDescent="0.2">
      <c r="A79" s="92">
        <v>45616</v>
      </c>
      <c r="B79" s="93" t="s">
        <v>37</v>
      </c>
      <c r="C79" s="94">
        <v>0.95050000000000001</v>
      </c>
      <c r="D79" s="95" t="s">
        <v>226</v>
      </c>
      <c r="E79" s="96"/>
      <c r="F79" s="96"/>
      <c r="G79" s="97">
        <v>606</v>
      </c>
      <c r="H79" s="98">
        <f t="shared" si="0"/>
        <v>29.996999999999957</v>
      </c>
      <c r="I79" s="99">
        <f t="shared" si="1"/>
        <v>1649.8349999999978</v>
      </c>
      <c r="J79" s="100">
        <f t="shared" si="3"/>
        <v>30.300000000000068</v>
      </c>
      <c r="K79" s="101">
        <f t="shared" si="2"/>
        <v>0.30300000000011096</v>
      </c>
    </row>
    <row r="80" spans="1:11" ht="12.75" x14ac:dyDescent="0.2">
      <c r="A80" s="92">
        <v>45617</v>
      </c>
      <c r="B80" s="93" t="s">
        <v>39</v>
      </c>
      <c r="C80" s="94">
        <v>0.93889999999999996</v>
      </c>
      <c r="D80" s="95" t="s">
        <v>226</v>
      </c>
      <c r="E80" s="96"/>
      <c r="F80" s="96"/>
      <c r="G80" s="97">
        <v>606</v>
      </c>
      <c r="H80" s="98">
        <f t="shared" si="0"/>
        <v>37.02660000000003</v>
      </c>
      <c r="I80" s="99">
        <f t="shared" si="1"/>
        <v>2036.4630000000016</v>
      </c>
      <c r="J80" s="100">
        <f t="shared" si="3"/>
        <v>30.300000000000068</v>
      </c>
      <c r="K80" s="101">
        <f t="shared" si="2"/>
        <v>-6.7265999999999622</v>
      </c>
    </row>
    <row r="81" spans="1:11" ht="12.75" x14ac:dyDescent="0.2">
      <c r="A81" s="92">
        <v>45618</v>
      </c>
      <c r="B81" s="93" t="s">
        <v>41</v>
      </c>
      <c r="C81" s="94">
        <v>0.91720000000000002</v>
      </c>
      <c r="D81" s="95" t="s">
        <v>294</v>
      </c>
      <c r="E81" s="96"/>
      <c r="F81" s="96"/>
      <c r="G81" s="97">
        <v>604</v>
      </c>
      <c r="H81" s="98">
        <f t="shared" si="0"/>
        <v>50.011200000000031</v>
      </c>
      <c r="I81" s="99">
        <f t="shared" si="1"/>
        <v>2750.6160000000018</v>
      </c>
      <c r="J81" s="100">
        <f t="shared" si="3"/>
        <v>30.200000000000045</v>
      </c>
      <c r="K81" s="101">
        <f t="shared" si="2"/>
        <v>-19.811199999999985</v>
      </c>
    </row>
    <row r="82" spans="1:11" ht="12.75" x14ac:dyDescent="0.2">
      <c r="A82" s="109">
        <v>45621</v>
      </c>
      <c r="B82" s="110" t="s">
        <v>33</v>
      </c>
      <c r="C82" s="111"/>
      <c r="D82" s="112"/>
      <c r="E82" s="113"/>
      <c r="F82" s="113"/>
      <c r="G82" s="114"/>
      <c r="H82" s="98">
        <f t="shared" si="0"/>
        <v>0</v>
      </c>
      <c r="I82" s="99">
        <f t="shared" si="1"/>
        <v>0</v>
      </c>
      <c r="J82" s="100">
        <f t="shared" si="3"/>
        <v>0</v>
      </c>
      <c r="K82" s="101">
        <f t="shared" si="2"/>
        <v>0</v>
      </c>
    </row>
    <row r="83" spans="1:11" ht="12.75" x14ac:dyDescent="0.2">
      <c r="A83" s="109">
        <v>45622</v>
      </c>
      <c r="B83" s="110" t="s">
        <v>35</v>
      </c>
      <c r="C83" s="111"/>
      <c r="D83" s="112"/>
      <c r="E83" s="113"/>
      <c r="F83" s="113"/>
      <c r="G83" s="114"/>
      <c r="H83" s="98">
        <f t="shared" si="0"/>
        <v>0</v>
      </c>
      <c r="I83" s="99">
        <f t="shared" si="1"/>
        <v>0</v>
      </c>
      <c r="J83" s="100">
        <f t="shared" si="3"/>
        <v>0</v>
      </c>
      <c r="K83" s="101">
        <f t="shared" si="2"/>
        <v>0</v>
      </c>
    </row>
    <row r="84" spans="1:11" ht="12.75" x14ac:dyDescent="0.2">
      <c r="A84" s="109">
        <v>45623</v>
      </c>
      <c r="B84" s="110" t="s">
        <v>37</v>
      </c>
      <c r="C84" s="111"/>
      <c r="D84" s="112"/>
      <c r="E84" s="113"/>
      <c r="F84" s="113"/>
      <c r="G84" s="114"/>
      <c r="H84" s="98">
        <f t="shared" si="0"/>
        <v>0</v>
      </c>
      <c r="I84" s="99">
        <f t="shared" si="1"/>
        <v>0</v>
      </c>
      <c r="J84" s="100">
        <f t="shared" si="3"/>
        <v>0</v>
      </c>
      <c r="K84" s="101">
        <f t="shared" si="2"/>
        <v>0</v>
      </c>
    </row>
    <row r="85" spans="1:11" ht="12.75" x14ac:dyDescent="0.2">
      <c r="A85" s="109">
        <v>45624</v>
      </c>
      <c r="B85" s="110" t="s">
        <v>39</v>
      </c>
      <c r="C85" s="111"/>
      <c r="D85" s="112"/>
      <c r="E85" s="113"/>
      <c r="F85" s="113"/>
      <c r="G85" s="114"/>
      <c r="H85" s="98">
        <f t="shared" si="0"/>
        <v>0</v>
      </c>
      <c r="I85" s="99">
        <f t="shared" si="1"/>
        <v>0</v>
      </c>
      <c r="J85" s="100">
        <f t="shared" si="3"/>
        <v>0</v>
      </c>
      <c r="K85" s="101">
        <f t="shared" si="2"/>
        <v>0</v>
      </c>
    </row>
    <row r="86" spans="1:11" ht="12.75" x14ac:dyDescent="0.2">
      <c r="A86" s="109">
        <v>45625</v>
      </c>
      <c r="B86" s="110" t="s">
        <v>41</v>
      </c>
      <c r="C86" s="111"/>
      <c r="D86" s="112"/>
      <c r="E86" s="113"/>
      <c r="F86" s="113"/>
      <c r="G86" s="114"/>
      <c r="H86" s="98">
        <f t="shared" si="0"/>
        <v>0</v>
      </c>
      <c r="I86" s="99">
        <f t="shared" si="1"/>
        <v>0</v>
      </c>
      <c r="J86" s="100">
        <f t="shared" si="3"/>
        <v>0</v>
      </c>
      <c r="K86" s="101">
        <f t="shared" si="2"/>
        <v>0</v>
      </c>
    </row>
    <row r="87" spans="1:11" ht="12.75" x14ac:dyDescent="0.2">
      <c r="A87" s="92">
        <v>45628</v>
      </c>
      <c r="B87" s="93" t="s">
        <v>33</v>
      </c>
      <c r="C87" s="94">
        <v>0.95530000000000004</v>
      </c>
      <c r="D87" s="95" t="s">
        <v>226</v>
      </c>
      <c r="E87" s="96"/>
      <c r="F87" s="96"/>
      <c r="G87" s="97">
        <v>604</v>
      </c>
      <c r="H87" s="98">
        <f t="shared" si="0"/>
        <v>26.99879999999996</v>
      </c>
      <c r="I87" s="99">
        <f t="shared" si="1"/>
        <v>1484.9339999999979</v>
      </c>
      <c r="J87" s="100">
        <f t="shared" si="3"/>
        <v>30.200000000000045</v>
      </c>
      <c r="K87" s="101">
        <f t="shared" si="2"/>
        <v>3.2012000000000853</v>
      </c>
    </row>
    <row r="88" spans="1:11" ht="12.75" x14ac:dyDescent="0.2">
      <c r="A88" s="92">
        <v>45629</v>
      </c>
      <c r="B88" s="93" t="s">
        <v>35</v>
      </c>
      <c r="C88" s="94">
        <v>0.95030000000000003</v>
      </c>
      <c r="D88" s="95" t="s">
        <v>226</v>
      </c>
      <c r="E88" s="96"/>
      <c r="F88" s="96"/>
      <c r="G88" s="97">
        <v>604</v>
      </c>
      <c r="H88" s="98">
        <f t="shared" si="0"/>
        <v>30.018799999999942</v>
      </c>
      <c r="I88" s="99">
        <f t="shared" si="1"/>
        <v>1651.0339999999969</v>
      </c>
      <c r="J88" s="100">
        <f t="shared" si="3"/>
        <v>30.200000000000045</v>
      </c>
      <c r="K88" s="101">
        <f t="shared" si="2"/>
        <v>0.1812000000001035</v>
      </c>
    </row>
    <row r="89" spans="1:11" ht="12.75" x14ac:dyDescent="0.2">
      <c r="A89" s="92">
        <v>45630</v>
      </c>
      <c r="B89" s="93" t="s">
        <v>37</v>
      </c>
      <c r="C89" s="94">
        <v>0.95850000000000002</v>
      </c>
      <c r="D89" s="95" t="s">
        <v>226</v>
      </c>
      <c r="E89" s="96"/>
      <c r="F89" s="96"/>
      <c r="G89" s="97">
        <v>602</v>
      </c>
      <c r="H89" s="98">
        <f t="shared" si="0"/>
        <v>24.982999999999947</v>
      </c>
      <c r="I89" s="99">
        <f t="shared" si="1"/>
        <v>1374.0649999999971</v>
      </c>
      <c r="J89" s="100">
        <f t="shared" si="3"/>
        <v>30.100000000000023</v>
      </c>
      <c r="K89" s="101">
        <f t="shared" si="2"/>
        <v>5.1170000000000755</v>
      </c>
    </row>
    <row r="90" spans="1:11" ht="12.75" x14ac:dyDescent="0.2">
      <c r="A90" s="92">
        <v>45631</v>
      </c>
      <c r="B90" s="93" t="s">
        <v>39</v>
      </c>
      <c r="C90" s="94">
        <v>0.95020000000000004</v>
      </c>
      <c r="D90" s="95" t="s">
        <v>225</v>
      </c>
      <c r="E90" s="96"/>
      <c r="F90" s="96"/>
      <c r="G90" s="97">
        <v>602</v>
      </c>
      <c r="H90" s="98">
        <f t="shared" si="0"/>
        <v>29.979600000000005</v>
      </c>
      <c r="I90" s="99">
        <f t="shared" si="1"/>
        <v>1648.8780000000002</v>
      </c>
      <c r="J90" s="100">
        <f t="shared" si="3"/>
        <v>30.100000000000023</v>
      </c>
      <c r="K90" s="101">
        <f t="shared" si="2"/>
        <v>0.12040000000001783</v>
      </c>
    </row>
    <row r="91" spans="1:11" ht="12.75" x14ac:dyDescent="0.2">
      <c r="A91" s="92">
        <v>45632</v>
      </c>
      <c r="B91" s="93" t="s">
        <v>41</v>
      </c>
      <c r="C91" s="94">
        <v>0.9385</v>
      </c>
      <c r="D91" s="95" t="s">
        <v>225</v>
      </c>
      <c r="E91" s="96"/>
      <c r="F91" s="96"/>
      <c r="G91" s="97">
        <v>602</v>
      </c>
      <c r="H91" s="98">
        <f t="shared" si="0"/>
        <v>37.023000000000025</v>
      </c>
      <c r="I91" s="99">
        <f t="shared" si="1"/>
        <v>2036.2650000000012</v>
      </c>
      <c r="J91" s="100">
        <f t="shared" si="3"/>
        <v>30.100000000000023</v>
      </c>
      <c r="K91" s="101">
        <f t="shared" si="2"/>
        <v>-6.9230000000000018</v>
      </c>
    </row>
    <row r="92" spans="1:11" ht="12.75" x14ac:dyDescent="0.2">
      <c r="A92" s="92">
        <v>45635</v>
      </c>
      <c r="B92" s="93" t="s">
        <v>33</v>
      </c>
      <c r="C92" s="94">
        <v>0.95679999999999998</v>
      </c>
      <c r="D92" s="95" t="s">
        <v>226</v>
      </c>
      <c r="E92" s="96"/>
      <c r="F92" s="96"/>
      <c r="G92" s="97">
        <v>602</v>
      </c>
      <c r="H92" s="98">
        <f t="shared" si="0"/>
        <v>26.006399999999985</v>
      </c>
      <c r="I92" s="99">
        <f t="shared" si="1"/>
        <v>1430.3519999999992</v>
      </c>
      <c r="J92" s="100">
        <f t="shared" si="3"/>
        <v>30.100000000000023</v>
      </c>
      <c r="K92" s="101">
        <f t="shared" si="2"/>
        <v>4.0936000000000377</v>
      </c>
    </row>
    <row r="93" spans="1:11" ht="12.75" x14ac:dyDescent="0.2">
      <c r="A93" s="92">
        <v>45636</v>
      </c>
      <c r="B93" s="93" t="s">
        <v>35</v>
      </c>
      <c r="C93" s="94">
        <v>0.95850000000000002</v>
      </c>
      <c r="D93" s="95" t="s">
        <v>226</v>
      </c>
      <c r="E93" s="96"/>
      <c r="F93" s="96"/>
      <c r="G93" s="97">
        <v>602</v>
      </c>
      <c r="H93" s="98">
        <f t="shared" si="0"/>
        <v>24.982999999999947</v>
      </c>
      <c r="I93" s="99">
        <f t="shared" si="1"/>
        <v>1374.0649999999971</v>
      </c>
      <c r="J93" s="100">
        <f t="shared" si="3"/>
        <v>30.100000000000023</v>
      </c>
      <c r="K93" s="101">
        <f t="shared" si="2"/>
        <v>5.1170000000000755</v>
      </c>
    </row>
    <row r="94" spans="1:11" ht="12.75" x14ac:dyDescent="0.2">
      <c r="A94" s="92">
        <v>45637</v>
      </c>
      <c r="B94" s="93" t="s">
        <v>37</v>
      </c>
      <c r="C94" s="94">
        <v>0.97670000000000001</v>
      </c>
      <c r="D94" s="95" t="s">
        <v>225</v>
      </c>
      <c r="E94" s="96"/>
      <c r="F94" s="96"/>
      <c r="G94" s="97">
        <v>602</v>
      </c>
      <c r="H94" s="98">
        <f t="shared" si="0"/>
        <v>14.02660000000003</v>
      </c>
      <c r="I94" s="99">
        <f t="shared" si="1"/>
        <v>771.46300000000167</v>
      </c>
      <c r="J94" s="100">
        <f t="shared" si="3"/>
        <v>30.100000000000023</v>
      </c>
      <c r="K94" s="101">
        <f t="shared" si="2"/>
        <v>16.073399999999992</v>
      </c>
    </row>
    <row r="95" spans="1:11" ht="12.75" x14ac:dyDescent="0.2">
      <c r="A95" s="92">
        <v>45638</v>
      </c>
      <c r="B95" s="93" t="s">
        <v>39</v>
      </c>
      <c r="C95" s="94">
        <v>0.96009999999999995</v>
      </c>
      <c r="D95" s="95" t="s">
        <v>225</v>
      </c>
      <c r="E95" s="96"/>
      <c r="F95" s="96"/>
      <c r="G95" s="97">
        <v>602</v>
      </c>
      <c r="H95" s="98">
        <f t="shared" si="0"/>
        <v>24.019800000000032</v>
      </c>
      <c r="I95" s="99">
        <f t="shared" si="1"/>
        <v>1321.0890000000018</v>
      </c>
      <c r="J95" s="100">
        <f t="shared" si="3"/>
        <v>30.100000000000023</v>
      </c>
      <c r="K95" s="101">
        <f t="shared" si="2"/>
        <v>6.0801999999999907</v>
      </c>
    </row>
    <row r="96" spans="1:11" ht="12.75" x14ac:dyDescent="0.2">
      <c r="A96" s="92">
        <v>45639</v>
      </c>
      <c r="B96" s="93" t="s">
        <v>41</v>
      </c>
      <c r="C96" s="94">
        <v>0.92689999999999995</v>
      </c>
      <c r="D96" s="95" t="s">
        <v>292</v>
      </c>
      <c r="E96" s="96"/>
      <c r="F96" s="96"/>
      <c r="G96" s="97">
        <v>602</v>
      </c>
      <c r="H96" s="98">
        <f t="shared" si="0"/>
        <v>44.006200000000035</v>
      </c>
      <c r="I96" s="99">
        <f t="shared" si="1"/>
        <v>2420.3410000000022</v>
      </c>
      <c r="J96" s="100">
        <f t="shared" si="3"/>
        <v>30.100000000000023</v>
      </c>
      <c r="K96" s="101">
        <f t="shared" si="2"/>
        <v>-13.906200000000013</v>
      </c>
    </row>
    <row r="97" spans="1:11" ht="12.75" x14ac:dyDescent="0.2">
      <c r="A97" s="92">
        <v>45642</v>
      </c>
      <c r="B97" s="93" t="s">
        <v>33</v>
      </c>
      <c r="C97" s="94">
        <v>0.92523</v>
      </c>
      <c r="D97" s="95" t="s">
        <v>226</v>
      </c>
      <c r="E97" s="96"/>
      <c r="F97" s="96"/>
      <c r="G97" s="97">
        <v>602</v>
      </c>
      <c r="H97" s="98">
        <f t="shared" si="0"/>
        <v>45.011539999999968</v>
      </c>
      <c r="I97" s="99">
        <f t="shared" si="1"/>
        <v>2475.6346999999982</v>
      </c>
      <c r="J97" s="100">
        <f t="shared" si="3"/>
        <v>30.100000000000023</v>
      </c>
      <c r="K97" s="101">
        <f t="shared" si="2"/>
        <v>-14.911539999999945</v>
      </c>
    </row>
    <row r="98" spans="1:11" ht="12.75" x14ac:dyDescent="0.2">
      <c r="A98" s="92">
        <v>45643</v>
      </c>
      <c r="B98" s="93" t="s">
        <v>35</v>
      </c>
      <c r="C98" s="94">
        <v>0.95350000000000001</v>
      </c>
      <c r="D98" s="95" t="s">
        <v>226</v>
      </c>
      <c r="E98" s="96"/>
      <c r="F98" s="96"/>
      <c r="G98" s="97">
        <v>602</v>
      </c>
      <c r="H98" s="98">
        <f t="shared" si="0"/>
        <v>27.992999999999938</v>
      </c>
      <c r="I98" s="99">
        <f t="shared" si="1"/>
        <v>1539.6149999999966</v>
      </c>
      <c r="J98" s="100">
        <f t="shared" si="3"/>
        <v>30.100000000000023</v>
      </c>
      <c r="K98" s="101">
        <f t="shared" si="2"/>
        <v>2.1070000000000846</v>
      </c>
    </row>
    <row r="99" spans="1:11" ht="12.75" x14ac:dyDescent="0.2">
      <c r="A99" s="92">
        <v>45644</v>
      </c>
      <c r="B99" s="93" t="s">
        <v>37</v>
      </c>
      <c r="C99" s="94">
        <v>0.95509999999999995</v>
      </c>
      <c r="D99" s="95" t="s">
        <v>226</v>
      </c>
      <c r="E99" s="96"/>
      <c r="F99" s="96"/>
      <c r="G99" s="97">
        <v>602</v>
      </c>
      <c r="H99" s="98">
        <f t="shared" si="0"/>
        <v>27.029800000000023</v>
      </c>
      <c r="I99" s="99">
        <f t="shared" si="1"/>
        <v>1486.6390000000013</v>
      </c>
      <c r="J99" s="100">
        <f t="shared" si="3"/>
        <v>30.100000000000023</v>
      </c>
      <c r="K99" s="101">
        <f t="shared" si="2"/>
        <v>3.0701999999999998</v>
      </c>
    </row>
    <row r="100" spans="1:11" ht="12.75" x14ac:dyDescent="0.2">
      <c r="A100" s="92">
        <v>45645</v>
      </c>
      <c r="B100" s="93" t="s">
        <v>39</v>
      </c>
      <c r="C100" s="94">
        <v>0.94679999999999997</v>
      </c>
      <c r="D100" s="95" t="s">
        <v>226</v>
      </c>
      <c r="E100" s="96"/>
      <c r="F100" s="96"/>
      <c r="G100" s="97">
        <v>602</v>
      </c>
      <c r="H100" s="98">
        <f t="shared" si="0"/>
        <v>32.026399999999967</v>
      </c>
      <c r="I100" s="99">
        <f t="shared" si="1"/>
        <v>1761.4519999999982</v>
      </c>
      <c r="J100" s="100">
        <f t="shared" si="3"/>
        <v>30.100000000000023</v>
      </c>
      <c r="K100" s="101">
        <f t="shared" si="2"/>
        <v>-1.9263999999999442</v>
      </c>
    </row>
    <row r="101" spans="1:11" ht="25.5" x14ac:dyDescent="0.2">
      <c r="A101" s="92">
        <v>45646</v>
      </c>
      <c r="B101" s="93" t="s">
        <v>41</v>
      </c>
      <c r="C101" s="94">
        <v>0.89700000000000002</v>
      </c>
      <c r="D101" s="95" t="s">
        <v>227</v>
      </c>
      <c r="E101" s="96" t="s">
        <v>295</v>
      </c>
      <c r="F101" s="96"/>
      <c r="G101" s="97">
        <v>602</v>
      </c>
      <c r="H101" s="98">
        <f t="shared" si="0"/>
        <v>62.005999999999972</v>
      </c>
      <c r="I101" s="99">
        <f t="shared" si="1"/>
        <v>3410.3299999999986</v>
      </c>
      <c r="J101" s="100">
        <f t="shared" si="3"/>
        <v>30.100000000000023</v>
      </c>
      <c r="K101" s="101">
        <f t="shared" si="2"/>
        <v>-31.905999999999949</v>
      </c>
    </row>
    <row r="102" spans="1:11" ht="12.75" x14ac:dyDescent="0.2">
      <c r="A102" s="103">
        <v>45649</v>
      </c>
      <c r="B102" s="104" t="s">
        <v>33</v>
      </c>
      <c r="C102" s="105"/>
      <c r="D102" s="106"/>
      <c r="E102" s="107"/>
      <c r="F102" s="107"/>
      <c r="G102" s="108"/>
      <c r="H102" s="98">
        <f t="shared" si="0"/>
        <v>0</v>
      </c>
      <c r="I102" s="99">
        <f t="shared" si="1"/>
        <v>0</v>
      </c>
      <c r="J102" s="100">
        <f t="shared" si="3"/>
        <v>0</v>
      </c>
      <c r="K102" s="101">
        <f t="shared" si="2"/>
        <v>0</v>
      </c>
    </row>
    <row r="103" spans="1:11" ht="12.75" x14ac:dyDescent="0.2">
      <c r="A103" s="103">
        <v>45650</v>
      </c>
      <c r="B103" s="104" t="s">
        <v>35</v>
      </c>
      <c r="C103" s="105"/>
      <c r="D103" s="106"/>
      <c r="E103" s="107"/>
      <c r="F103" s="107"/>
      <c r="G103" s="108"/>
      <c r="H103" s="98">
        <f t="shared" si="0"/>
        <v>0</v>
      </c>
      <c r="I103" s="99">
        <f t="shared" si="1"/>
        <v>0</v>
      </c>
      <c r="J103" s="100">
        <f t="shared" si="3"/>
        <v>0</v>
      </c>
      <c r="K103" s="101">
        <f t="shared" si="2"/>
        <v>0</v>
      </c>
    </row>
    <row r="104" spans="1:11" ht="12.75" x14ac:dyDescent="0.2">
      <c r="A104" s="103">
        <v>45651</v>
      </c>
      <c r="B104" s="104" t="s">
        <v>37</v>
      </c>
      <c r="C104" s="105"/>
      <c r="D104" s="106"/>
      <c r="E104" s="107"/>
      <c r="F104" s="107"/>
      <c r="G104" s="108"/>
      <c r="H104" s="98">
        <f t="shared" si="0"/>
        <v>0</v>
      </c>
      <c r="I104" s="99">
        <f t="shared" si="1"/>
        <v>0</v>
      </c>
      <c r="J104" s="100">
        <f t="shared" si="3"/>
        <v>0</v>
      </c>
      <c r="K104" s="101">
        <f t="shared" si="2"/>
        <v>0</v>
      </c>
    </row>
    <row r="105" spans="1:11" ht="12.75" x14ac:dyDescent="0.2">
      <c r="A105" s="103">
        <v>45652</v>
      </c>
      <c r="B105" s="104" t="s">
        <v>39</v>
      </c>
      <c r="C105" s="105"/>
      <c r="D105" s="106"/>
      <c r="E105" s="107"/>
      <c r="F105" s="107"/>
      <c r="G105" s="108"/>
      <c r="H105" s="98">
        <f t="shared" si="0"/>
        <v>0</v>
      </c>
      <c r="I105" s="99">
        <f t="shared" si="1"/>
        <v>0</v>
      </c>
      <c r="J105" s="100">
        <f t="shared" si="3"/>
        <v>0</v>
      </c>
      <c r="K105" s="101">
        <f t="shared" si="2"/>
        <v>0</v>
      </c>
    </row>
    <row r="106" spans="1:11" ht="12.75" x14ac:dyDescent="0.2">
      <c r="A106" s="103">
        <v>45653</v>
      </c>
      <c r="B106" s="104" t="s">
        <v>41</v>
      </c>
      <c r="C106" s="105"/>
      <c r="D106" s="106"/>
      <c r="E106" s="107"/>
      <c r="F106" s="107"/>
      <c r="G106" s="108"/>
      <c r="H106" s="98">
        <f t="shared" si="0"/>
        <v>0</v>
      </c>
      <c r="I106" s="99">
        <f t="shared" si="1"/>
        <v>0</v>
      </c>
      <c r="J106" s="100">
        <f t="shared" si="3"/>
        <v>0</v>
      </c>
      <c r="K106" s="101">
        <f t="shared" si="2"/>
        <v>0</v>
      </c>
    </row>
    <row r="107" spans="1:11" ht="12.75" x14ac:dyDescent="0.2">
      <c r="A107" s="103">
        <v>45656</v>
      </c>
      <c r="B107" s="104" t="s">
        <v>33</v>
      </c>
      <c r="C107" s="105"/>
      <c r="D107" s="106"/>
      <c r="E107" s="107"/>
      <c r="F107" s="107"/>
      <c r="G107" s="108"/>
      <c r="H107" s="98">
        <f t="shared" si="0"/>
        <v>0</v>
      </c>
      <c r="I107" s="99">
        <f t="shared" si="1"/>
        <v>0</v>
      </c>
      <c r="J107" s="100">
        <f t="shared" si="3"/>
        <v>0</v>
      </c>
      <c r="K107" s="101">
        <f t="shared" si="2"/>
        <v>0</v>
      </c>
    </row>
    <row r="108" spans="1:11" ht="12.75" x14ac:dyDescent="0.2">
      <c r="A108" s="103">
        <v>45657</v>
      </c>
      <c r="B108" s="104" t="s">
        <v>35</v>
      </c>
      <c r="C108" s="105"/>
      <c r="D108" s="106"/>
      <c r="E108" s="107"/>
      <c r="F108" s="107"/>
      <c r="G108" s="108"/>
      <c r="H108" s="98">
        <f t="shared" si="0"/>
        <v>0</v>
      </c>
      <c r="I108" s="99">
        <f t="shared" si="1"/>
        <v>0</v>
      </c>
      <c r="J108" s="100">
        <f t="shared" si="3"/>
        <v>0</v>
      </c>
      <c r="K108" s="101">
        <f t="shared" si="2"/>
        <v>0</v>
      </c>
    </row>
    <row r="109" spans="1:11" ht="12.75" x14ac:dyDescent="0.2">
      <c r="A109" s="103">
        <v>45658</v>
      </c>
      <c r="B109" s="104" t="s">
        <v>37</v>
      </c>
      <c r="C109" s="105"/>
      <c r="D109" s="106"/>
      <c r="E109" s="107"/>
      <c r="F109" s="107"/>
      <c r="G109" s="108"/>
      <c r="H109" s="98">
        <f t="shared" si="0"/>
        <v>0</v>
      </c>
      <c r="I109" s="99">
        <f t="shared" si="1"/>
        <v>0</v>
      </c>
      <c r="J109" s="100">
        <f t="shared" si="3"/>
        <v>0</v>
      </c>
      <c r="K109" s="101">
        <f t="shared" si="2"/>
        <v>0</v>
      </c>
    </row>
    <row r="110" spans="1:11" ht="12.75" x14ac:dyDescent="0.2">
      <c r="A110" s="103">
        <v>45659</v>
      </c>
      <c r="B110" s="104" t="s">
        <v>39</v>
      </c>
      <c r="C110" s="105"/>
      <c r="D110" s="106"/>
      <c r="E110" s="107"/>
      <c r="F110" s="107"/>
      <c r="G110" s="108"/>
      <c r="H110" s="98">
        <f t="shared" si="0"/>
        <v>0</v>
      </c>
      <c r="I110" s="99">
        <f t="shared" si="1"/>
        <v>0</v>
      </c>
      <c r="J110" s="100">
        <f t="shared" si="3"/>
        <v>0</v>
      </c>
      <c r="K110" s="101">
        <f t="shared" si="2"/>
        <v>0</v>
      </c>
    </row>
    <row r="111" spans="1:11" ht="12.75" x14ac:dyDescent="0.2">
      <c r="A111" s="103">
        <v>45660</v>
      </c>
      <c r="B111" s="104" t="s">
        <v>41</v>
      </c>
      <c r="C111" s="105"/>
      <c r="D111" s="106"/>
      <c r="E111" s="107"/>
      <c r="F111" s="107"/>
      <c r="G111" s="108"/>
      <c r="H111" s="98">
        <f t="shared" si="0"/>
        <v>0</v>
      </c>
      <c r="I111" s="99">
        <f t="shared" si="1"/>
        <v>0</v>
      </c>
      <c r="J111" s="100">
        <f t="shared" si="3"/>
        <v>0</v>
      </c>
      <c r="K111" s="101">
        <f t="shared" si="2"/>
        <v>0</v>
      </c>
    </row>
    <row r="112" spans="1:11" ht="12.75" x14ac:dyDescent="0.2">
      <c r="A112" s="109">
        <v>45663</v>
      </c>
      <c r="B112" s="110" t="s">
        <v>33</v>
      </c>
      <c r="C112" s="111"/>
      <c r="D112" s="112"/>
      <c r="E112" s="113"/>
      <c r="F112" s="113"/>
      <c r="G112" s="114"/>
      <c r="H112" s="98">
        <f t="shared" si="0"/>
        <v>0</v>
      </c>
      <c r="I112" s="99">
        <f t="shared" si="1"/>
        <v>0</v>
      </c>
      <c r="J112" s="100">
        <f t="shared" si="3"/>
        <v>0</v>
      </c>
      <c r="K112" s="101">
        <f t="shared" si="2"/>
        <v>0</v>
      </c>
    </row>
    <row r="113" spans="1:11" ht="12.75" x14ac:dyDescent="0.2">
      <c r="A113" s="109">
        <v>45664</v>
      </c>
      <c r="B113" s="110" t="s">
        <v>35</v>
      </c>
      <c r="C113" s="111"/>
      <c r="D113" s="112"/>
      <c r="E113" s="113"/>
      <c r="F113" s="113"/>
      <c r="G113" s="114"/>
      <c r="H113" s="98">
        <f t="shared" si="0"/>
        <v>0</v>
      </c>
      <c r="I113" s="99">
        <f t="shared" si="1"/>
        <v>0</v>
      </c>
      <c r="J113" s="100">
        <f t="shared" si="3"/>
        <v>0</v>
      </c>
      <c r="K113" s="101">
        <f t="shared" si="2"/>
        <v>0</v>
      </c>
    </row>
    <row r="114" spans="1:11" ht="12.75" x14ac:dyDescent="0.2">
      <c r="A114" s="92">
        <v>45665</v>
      </c>
      <c r="B114" s="93" t="s">
        <v>37</v>
      </c>
      <c r="C114" s="94">
        <v>0.92649999999999999</v>
      </c>
      <c r="D114" s="95" t="s">
        <v>232</v>
      </c>
      <c r="E114" s="96" t="s">
        <v>296</v>
      </c>
      <c r="F114" s="96"/>
      <c r="G114" s="97">
        <v>599</v>
      </c>
      <c r="H114" s="98">
        <f t="shared" si="0"/>
        <v>44.026500000000055</v>
      </c>
      <c r="I114" s="99">
        <f t="shared" si="1"/>
        <v>2421.4575000000032</v>
      </c>
      <c r="J114" s="100">
        <f t="shared" si="3"/>
        <v>29.950000000000045</v>
      </c>
      <c r="K114" s="101">
        <f t="shared" si="2"/>
        <v>-14.07650000000001</v>
      </c>
    </row>
    <row r="115" spans="1:11" ht="25.5" x14ac:dyDescent="0.2">
      <c r="A115" s="92">
        <v>45666</v>
      </c>
      <c r="B115" s="93" t="s">
        <v>39</v>
      </c>
      <c r="C115" s="94">
        <v>0.89829999999999999</v>
      </c>
      <c r="D115" s="95" t="s">
        <v>232</v>
      </c>
      <c r="E115" s="96" t="s">
        <v>297</v>
      </c>
      <c r="F115" s="96"/>
      <c r="G115" s="97">
        <v>600</v>
      </c>
      <c r="H115" s="98">
        <f t="shared" si="0"/>
        <v>61.019999999999982</v>
      </c>
      <c r="I115" s="99">
        <f t="shared" si="1"/>
        <v>3356.099999999999</v>
      </c>
      <c r="J115" s="100">
        <f t="shared" si="3"/>
        <v>30</v>
      </c>
      <c r="K115" s="101">
        <f t="shared" si="2"/>
        <v>-31.019999999999982</v>
      </c>
    </row>
    <row r="116" spans="1:11" ht="12.75" x14ac:dyDescent="0.2">
      <c r="A116" s="92">
        <v>45667</v>
      </c>
      <c r="B116" s="93" t="s">
        <v>41</v>
      </c>
      <c r="C116" s="94">
        <v>0.90500000000000003</v>
      </c>
      <c r="D116" s="95" t="s">
        <v>282</v>
      </c>
      <c r="E116" s="96"/>
      <c r="F116" s="96"/>
      <c r="G116" s="97">
        <v>600</v>
      </c>
      <c r="H116" s="98">
        <f t="shared" si="0"/>
        <v>57</v>
      </c>
      <c r="I116" s="99">
        <f t="shared" si="1"/>
        <v>3135</v>
      </c>
      <c r="J116" s="100">
        <f t="shared" si="3"/>
        <v>30</v>
      </c>
      <c r="K116" s="101">
        <f t="shared" si="2"/>
        <v>-27</v>
      </c>
    </row>
    <row r="117" spans="1:11" ht="12.75" x14ac:dyDescent="0.2">
      <c r="A117" s="92">
        <v>45670</v>
      </c>
      <c r="B117" s="93" t="s">
        <v>33</v>
      </c>
      <c r="C117" s="94">
        <v>0.95030000000000003</v>
      </c>
      <c r="D117" s="95" t="s">
        <v>226</v>
      </c>
      <c r="E117" s="96"/>
      <c r="F117" s="96"/>
      <c r="G117" s="97">
        <v>604</v>
      </c>
      <c r="H117" s="98">
        <f t="shared" si="0"/>
        <v>30.018799999999942</v>
      </c>
      <c r="I117" s="99">
        <f t="shared" si="1"/>
        <v>1651.0339999999969</v>
      </c>
      <c r="J117" s="100">
        <f t="shared" si="3"/>
        <v>30.200000000000045</v>
      </c>
      <c r="K117" s="101">
        <f t="shared" si="2"/>
        <v>0.1812000000001035</v>
      </c>
    </row>
    <row r="118" spans="1:11" ht="12.75" x14ac:dyDescent="0.2">
      <c r="A118" s="92">
        <v>45671</v>
      </c>
      <c r="B118" s="93" t="s">
        <v>35</v>
      </c>
      <c r="C118" s="94">
        <v>0.96309999999999996</v>
      </c>
      <c r="D118" s="95" t="s">
        <v>226</v>
      </c>
      <c r="E118" s="96"/>
      <c r="F118" s="96"/>
      <c r="G118" s="97">
        <v>606</v>
      </c>
      <c r="H118" s="98">
        <f t="shared" si="0"/>
        <v>22.361400000000003</v>
      </c>
      <c r="I118" s="99">
        <f t="shared" si="1"/>
        <v>1229.8770000000002</v>
      </c>
      <c r="J118" s="100">
        <f t="shared" si="3"/>
        <v>30.300000000000068</v>
      </c>
      <c r="K118" s="101">
        <f t="shared" si="2"/>
        <v>7.9386000000000649</v>
      </c>
    </row>
    <row r="119" spans="1:11" ht="12.75" x14ac:dyDescent="0.2">
      <c r="A119" s="92">
        <v>45672</v>
      </c>
      <c r="B119" s="93" t="s">
        <v>37</v>
      </c>
      <c r="C119" s="94">
        <v>0.96040000000000003</v>
      </c>
      <c r="D119" s="95" t="s">
        <v>226</v>
      </c>
      <c r="E119" s="96"/>
      <c r="F119" s="96"/>
      <c r="G119" s="97">
        <v>606</v>
      </c>
      <c r="H119" s="98">
        <f t="shared" si="0"/>
        <v>23.997600000000034</v>
      </c>
      <c r="I119" s="99">
        <f t="shared" si="1"/>
        <v>1319.8680000000018</v>
      </c>
      <c r="J119" s="100">
        <f t="shared" si="3"/>
        <v>30.300000000000068</v>
      </c>
      <c r="K119" s="101">
        <f t="shared" si="2"/>
        <v>6.3024000000000342</v>
      </c>
    </row>
    <row r="120" spans="1:11" ht="12.75" x14ac:dyDescent="0.2">
      <c r="A120" s="92">
        <v>45673</v>
      </c>
      <c r="B120" s="93" t="s">
        <v>39</v>
      </c>
      <c r="C120" s="94">
        <v>0.95709999999999995</v>
      </c>
      <c r="D120" s="95" t="s">
        <v>226</v>
      </c>
      <c r="E120" s="96"/>
      <c r="F120" s="96"/>
      <c r="G120" s="97">
        <v>606</v>
      </c>
      <c r="H120" s="98">
        <f t="shared" si="0"/>
        <v>25.997400000000084</v>
      </c>
      <c r="I120" s="99">
        <f t="shared" si="1"/>
        <v>1429.8570000000045</v>
      </c>
      <c r="J120" s="100">
        <f t="shared" si="3"/>
        <v>30.300000000000068</v>
      </c>
      <c r="K120" s="101">
        <f t="shared" si="2"/>
        <v>4.302599999999984</v>
      </c>
    </row>
    <row r="121" spans="1:11" ht="12.75" x14ac:dyDescent="0.2">
      <c r="A121" s="92">
        <v>45674</v>
      </c>
      <c r="B121" s="93" t="s">
        <v>41</v>
      </c>
      <c r="C121" s="94">
        <v>0.94550000000000001</v>
      </c>
      <c r="D121" s="95" t="s">
        <v>226</v>
      </c>
      <c r="E121" s="96"/>
      <c r="F121" s="96"/>
      <c r="G121" s="97">
        <v>605</v>
      </c>
      <c r="H121" s="98">
        <f t="shared" si="0"/>
        <v>32.972499999999968</v>
      </c>
      <c r="I121" s="99">
        <f t="shared" si="1"/>
        <v>1813.4874999999984</v>
      </c>
      <c r="J121" s="100">
        <f t="shared" si="3"/>
        <v>30.25</v>
      </c>
      <c r="K121" s="101">
        <f t="shared" si="2"/>
        <v>-2.7224999999999682</v>
      </c>
    </row>
    <row r="122" spans="1:11" ht="12.75" x14ac:dyDescent="0.2">
      <c r="A122" s="103">
        <v>45677</v>
      </c>
      <c r="B122" s="104" t="s">
        <v>33</v>
      </c>
      <c r="C122" s="105"/>
      <c r="D122" s="106"/>
      <c r="E122" s="107"/>
      <c r="F122" s="107"/>
      <c r="G122" s="108"/>
      <c r="H122" s="98">
        <f t="shared" si="0"/>
        <v>0</v>
      </c>
      <c r="I122" s="99">
        <f t="shared" si="1"/>
        <v>0</v>
      </c>
      <c r="J122" s="100">
        <f t="shared" si="3"/>
        <v>0</v>
      </c>
      <c r="K122" s="101">
        <f t="shared" si="2"/>
        <v>0</v>
      </c>
    </row>
    <row r="123" spans="1:11" ht="12.75" x14ac:dyDescent="0.2">
      <c r="A123" s="92">
        <v>45678</v>
      </c>
      <c r="B123" s="93" t="s">
        <v>35</v>
      </c>
      <c r="C123" s="94"/>
      <c r="D123" s="95"/>
      <c r="E123" s="96"/>
      <c r="F123" s="96"/>
      <c r="H123" s="98">
        <f t="shared" si="0"/>
        <v>0</v>
      </c>
      <c r="I123" s="99">
        <f t="shared" si="1"/>
        <v>0</v>
      </c>
      <c r="J123" s="100">
        <f t="shared" si="3"/>
        <v>0</v>
      </c>
      <c r="K123" s="101">
        <f t="shared" si="2"/>
        <v>0</v>
      </c>
    </row>
    <row r="124" spans="1:11" ht="12.75" x14ac:dyDescent="0.2">
      <c r="A124" s="92">
        <v>45679</v>
      </c>
      <c r="B124" s="93" t="s">
        <v>37</v>
      </c>
      <c r="C124" s="94"/>
      <c r="D124" s="95"/>
      <c r="E124" s="96"/>
      <c r="F124" s="96"/>
      <c r="H124" s="98">
        <f t="shared" si="0"/>
        <v>0</v>
      </c>
      <c r="I124" s="99">
        <f t="shared" si="1"/>
        <v>0</v>
      </c>
      <c r="J124" s="100">
        <f t="shared" si="3"/>
        <v>0</v>
      </c>
      <c r="K124" s="101">
        <f t="shared" si="2"/>
        <v>0</v>
      </c>
    </row>
    <row r="125" spans="1:11" ht="12.75" x14ac:dyDescent="0.2">
      <c r="A125" s="92">
        <v>45680</v>
      </c>
      <c r="B125" s="93" t="s">
        <v>39</v>
      </c>
      <c r="C125" s="94">
        <v>0.8155</v>
      </c>
      <c r="D125" s="95" t="s">
        <v>227</v>
      </c>
      <c r="E125" s="96" t="s">
        <v>298</v>
      </c>
      <c r="F125" s="96"/>
      <c r="G125" s="97">
        <v>607</v>
      </c>
      <c r="H125" s="98">
        <f t="shared" si="0"/>
        <v>111.99149999999997</v>
      </c>
      <c r="I125" s="99">
        <f t="shared" si="1"/>
        <v>6159.5324999999984</v>
      </c>
      <c r="J125" s="100">
        <f t="shared" si="3"/>
        <v>30.350000000000023</v>
      </c>
      <c r="K125" s="101">
        <f t="shared" si="2"/>
        <v>-81.641499999999951</v>
      </c>
    </row>
    <row r="126" spans="1:11" ht="12.75" x14ac:dyDescent="0.2">
      <c r="A126" s="92">
        <v>45681</v>
      </c>
      <c r="B126" s="93" t="s">
        <v>41</v>
      </c>
      <c r="C126" s="94">
        <v>0.90280000000000005</v>
      </c>
      <c r="D126" s="95" t="s">
        <v>226</v>
      </c>
      <c r="E126" s="96"/>
      <c r="F126" s="96"/>
      <c r="G126" s="97">
        <v>607</v>
      </c>
      <c r="H126" s="98">
        <f t="shared" si="0"/>
        <v>59.000400000000013</v>
      </c>
      <c r="I126" s="99">
        <f t="shared" si="1"/>
        <v>3245.0220000000008</v>
      </c>
      <c r="J126" s="100">
        <f t="shared" si="3"/>
        <v>30.350000000000023</v>
      </c>
      <c r="K126" s="101">
        <f t="shared" si="2"/>
        <v>-28.650399999999991</v>
      </c>
    </row>
    <row r="127" spans="1:11" ht="12.75" x14ac:dyDescent="0.2">
      <c r="A127" s="92">
        <v>45684</v>
      </c>
      <c r="B127" s="93" t="s">
        <v>33</v>
      </c>
      <c r="C127" s="94">
        <v>0.94230000000000003</v>
      </c>
      <c r="D127" s="95" t="s">
        <v>226</v>
      </c>
      <c r="E127" s="96"/>
      <c r="F127" s="96"/>
      <c r="G127" s="97">
        <v>607</v>
      </c>
      <c r="H127" s="98">
        <f t="shared" si="0"/>
        <v>35.023900000000026</v>
      </c>
      <c r="I127" s="99">
        <f t="shared" si="1"/>
        <v>1926.3145000000013</v>
      </c>
      <c r="J127" s="100">
        <f t="shared" si="3"/>
        <v>30.350000000000023</v>
      </c>
      <c r="K127" s="101">
        <f t="shared" si="2"/>
        <v>-4.6739000000000033</v>
      </c>
    </row>
    <row r="128" spans="1:11" ht="12.75" x14ac:dyDescent="0.2">
      <c r="A128" s="92">
        <v>45685</v>
      </c>
      <c r="B128" s="93" t="s">
        <v>35</v>
      </c>
      <c r="C128" s="94">
        <v>0.94420000000000004</v>
      </c>
      <c r="D128" s="95" t="s">
        <v>226</v>
      </c>
      <c r="E128" s="96"/>
      <c r="F128" s="96"/>
      <c r="G128" s="97">
        <v>609</v>
      </c>
      <c r="H128" s="98">
        <f t="shared" si="0"/>
        <v>33.982199999999921</v>
      </c>
      <c r="I128" s="99">
        <f t="shared" si="1"/>
        <v>1869.0209999999956</v>
      </c>
      <c r="J128" s="100">
        <f t="shared" si="3"/>
        <v>30.450000000000045</v>
      </c>
      <c r="K128" s="101">
        <f t="shared" si="2"/>
        <v>-3.5321999999998752</v>
      </c>
    </row>
    <row r="129" spans="1:11" ht="12.75" x14ac:dyDescent="0.2">
      <c r="A129" s="92">
        <v>45686</v>
      </c>
      <c r="B129" s="93" t="s">
        <v>37</v>
      </c>
      <c r="C129" s="94">
        <v>0.92779999999999996</v>
      </c>
      <c r="D129" s="95" t="s">
        <v>225</v>
      </c>
      <c r="E129" s="96"/>
      <c r="F129" s="96"/>
      <c r="G129" s="97">
        <v>609</v>
      </c>
      <c r="H129" s="98">
        <f t="shared" si="0"/>
        <v>43.969800000000077</v>
      </c>
      <c r="I129" s="99">
        <f t="shared" si="1"/>
        <v>2418.3390000000045</v>
      </c>
      <c r="J129" s="100">
        <f t="shared" si="3"/>
        <v>30.450000000000045</v>
      </c>
      <c r="K129" s="101">
        <f t="shared" si="2"/>
        <v>-13.519800000000032</v>
      </c>
    </row>
    <row r="130" spans="1:11" ht="12.75" x14ac:dyDescent="0.2">
      <c r="A130" s="92">
        <v>45687</v>
      </c>
      <c r="B130" s="93" t="s">
        <v>39</v>
      </c>
      <c r="C130" s="94">
        <v>0.93259999999999998</v>
      </c>
      <c r="D130" s="95" t="s">
        <v>226</v>
      </c>
      <c r="E130" s="96"/>
      <c r="F130" s="96"/>
      <c r="G130" s="97">
        <v>608</v>
      </c>
      <c r="H130" s="98">
        <f t="shared" si="0"/>
        <v>40.979199999999992</v>
      </c>
      <c r="I130" s="99">
        <f t="shared" si="1"/>
        <v>2253.8559999999998</v>
      </c>
      <c r="J130" s="100">
        <f t="shared" si="3"/>
        <v>30.399999999999977</v>
      </c>
      <c r="K130" s="101">
        <f t="shared" si="2"/>
        <v>-10.579200000000014</v>
      </c>
    </row>
    <row r="131" spans="1:11" ht="12.75" x14ac:dyDescent="0.2">
      <c r="A131" s="92">
        <v>45688</v>
      </c>
      <c r="B131" s="93" t="s">
        <v>41</v>
      </c>
      <c r="C131" s="94">
        <v>0.94399999999999995</v>
      </c>
      <c r="D131" s="95" t="s">
        <v>226</v>
      </c>
      <c r="E131" s="96"/>
      <c r="F131" s="96"/>
      <c r="G131" s="97">
        <v>607</v>
      </c>
      <c r="H131" s="98">
        <f t="shared" si="0"/>
        <v>33.992000000000075</v>
      </c>
      <c r="I131" s="99">
        <f t="shared" si="1"/>
        <v>1869.560000000004</v>
      </c>
      <c r="J131" s="100">
        <f t="shared" si="3"/>
        <v>30.350000000000023</v>
      </c>
      <c r="K131" s="101">
        <f t="shared" si="2"/>
        <v>-3.6420000000000528</v>
      </c>
    </row>
    <row r="132" spans="1:11" ht="25.5" x14ac:dyDescent="0.2">
      <c r="A132" s="92">
        <v>45691</v>
      </c>
      <c r="B132" s="93" t="s">
        <v>33</v>
      </c>
      <c r="C132" s="94">
        <v>0.74670000000000003</v>
      </c>
      <c r="D132" s="95" t="s">
        <v>227</v>
      </c>
      <c r="E132" s="96" t="s">
        <v>299</v>
      </c>
      <c r="F132" s="96"/>
      <c r="G132" s="97">
        <v>608</v>
      </c>
      <c r="H132" s="98">
        <f t="shared" si="0"/>
        <v>154.00639999999999</v>
      </c>
      <c r="I132" s="99">
        <f t="shared" si="1"/>
        <v>8470.351999999999</v>
      </c>
      <c r="J132" s="100">
        <f t="shared" si="3"/>
        <v>30.399999999999977</v>
      </c>
      <c r="K132" s="101">
        <f t="shared" si="2"/>
        <v>-123.60640000000001</v>
      </c>
    </row>
    <row r="133" spans="1:11" ht="12.75" x14ac:dyDescent="0.2">
      <c r="A133" s="92">
        <v>45692</v>
      </c>
      <c r="B133" s="93" t="s">
        <v>35</v>
      </c>
      <c r="C133" s="94">
        <v>0.97370000000000001</v>
      </c>
      <c r="D133" s="95" t="s">
        <v>225</v>
      </c>
      <c r="E133" s="96"/>
      <c r="F133" s="96"/>
      <c r="G133" s="97">
        <v>609</v>
      </c>
      <c r="H133" s="98">
        <f t="shared" si="0"/>
        <v>16.016700000000014</v>
      </c>
      <c r="I133" s="99">
        <f t="shared" si="1"/>
        <v>880.91850000000079</v>
      </c>
      <c r="J133" s="100">
        <f t="shared" si="3"/>
        <v>30.450000000000045</v>
      </c>
      <c r="K133" s="101">
        <f t="shared" si="2"/>
        <v>14.433300000000031</v>
      </c>
    </row>
    <row r="134" spans="1:11" ht="12.75" x14ac:dyDescent="0.2">
      <c r="A134" s="92">
        <v>45693</v>
      </c>
      <c r="B134" s="93" t="s">
        <v>37</v>
      </c>
      <c r="C134" s="94">
        <v>0.95420000000000005</v>
      </c>
      <c r="D134" s="95" t="s">
        <v>226</v>
      </c>
      <c r="E134" s="96"/>
      <c r="F134" s="96"/>
      <c r="G134" s="97">
        <v>611</v>
      </c>
      <c r="H134" s="98">
        <f t="shared" si="0"/>
        <v>27.983799999999974</v>
      </c>
      <c r="I134" s="99">
        <f t="shared" si="1"/>
        <v>1539.1089999999986</v>
      </c>
      <c r="J134" s="100">
        <f t="shared" si="3"/>
        <v>30.550000000000068</v>
      </c>
      <c r="K134" s="101">
        <f t="shared" si="2"/>
        <v>2.5662000000000944</v>
      </c>
    </row>
    <row r="135" spans="1:11" ht="12.75" x14ac:dyDescent="0.2">
      <c r="A135" s="92">
        <v>45694</v>
      </c>
      <c r="B135" s="93" t="s">
        <v>39</v>
      </c>
      <c r="C135" s="94">
        <v>0.97870000000000001</v>
      </c>
      <c r="D135" s="95" t="s">
        <v>225</v>
      </c>
      <c r="E135" s="96"/>
      <c r="F135" s="96"/>
      <c r="G135" s="97">
        <v>610</v>
      </c>
      <c r="H135" s="98">
        <f t="shared" si="0"/>
        <v>12.992999999999938</v>
      </c>
      <c r="I135" s="99">
        <f t="shared" si="1"/>
        <v>714.6149999999966</v>
      </c>
      <c r="J135" s="100">
        <f t="shared" si="3"/>
        <v>30.5</v>
      </c>
      <c r="K135" s="101">
        <f t="shared" si="2"/>
        <v>17.507000000000062</v>
      </c>
    </row>
    <row r="136" spans="1:11" ht="12.75" x14ac:dyDescent="0.2">
      <c r="A136" s="92">
        <v>45695</v>
      </c>
      <c r="B136" s="93" t="s">
        <v>41</v>
      </c>
      <c r="C136" s="94">
        <v>0.95740000000000003</v>
      </c>
      <c r="D136" s="95" t="s">
        <v>226</v>
      </c>
      <c r="E136" s="96"/>
      <c r="F136" s="96"/>
      <c r="G136" s="97">
        <v>610</v>
      </c>
      <c r="H136" s="98">
        <f t="shared" si="0"/>
        <v>25.98599999999999</v>
      </c>
      <c r="I136" s="99">
        <f t="shared" si="1"/>
        <v>1429.2299999999996</v>
      </c>
      <c r="J136" s="100">
        <f t="shared" si="3"/>
        <v>30.5</v>
      </c>
      <c r="K136" s="101">
        <f t="shared" si="2"/>
        <v>4.51400000000001</v>
      </c>
    </row>
    <row r="137" spans="1:11" ht="12.75" x14ac:dyDescent="0.2">
      <c r="A137" s="109">
        <v>45698</v>
      </c>
      <c r="B137" s="110" t="s">
        <v>33</v>
      </c>
      <c r="C137" s="111"/>
      <c r="D137" s="112"/>
      <c r="E137" s="113"/>
      <c r="F137" s="113"/>
      <c r="G137" s="114"/>
      <c r="H137" s="98">
        <f t="shared" si="0"/>
        <v>0</v>
      </c>
      <c r="I137" s="99">
        <f t="shared" si="1"/>
        <v>0</v>
      </c>
      <c r="J137" s="100">
        <f t="shared" si="3"/>
        <v>0</v>
      </c>
      <c r="K137" s="101">
        <f t="shared" si="2"/>
        <v>0</v>
      </c>
    </row>
    <row r="138" spans="1:11" ht="12.75" x14ac:dyDescent="0.2">
      <c r="A138" s="109">
        <v>45699</v>
      </c>
      <c r="B138" s="110" t="s">
        <v>35</v>
      </c>
      <c r="C138" s="111"/>
      <c r="D138" s="112"/>
      <c r="E138" s="113"/>
      <c r="F138" s="113"/>
      <c r="G138" s="114"/>
      <c r="H138" s="98">
        <f t="shared" si="0"/>
        <v>0</v>
      </c>
      <c r="I138" s="99">
        <f t="shared" si="1"/>
        <v>0</v>
      </c>
      <c r="J138" s="100">
        <f t="shared" si="3"/>
        <v>0</v>
      </c>
      <c r="K138" s="101">
        <f t="shared" si="2"/>
        <v>0</v>
      </c>
    </row>
    <row r="139" spans="1:11" ht="12.75" x14ac:dyDescent="0.2">
      <c r="A139" s="92">
        <v>45700</v>
      </c>
      <c r="B139" s="93" t="s">
        <v>37</v>
      </c>
      <c r="C139" s="94">
        <v>0.94569999999999999</v>
      </c>
      <c r="D139" s="95" t="s">
        <v>226</v>
      </c>
      <c r="E139" s="96"/>
      <c r="F139" s="96"/>
      <c r="G139" s="97">
        <v>608</v>
      </c>
      <c r="H139" s="98">
        <f t="shared" si="0"/>
        <v>33.014400000000023</v>
      </c>
      <c r="I139" s="99">
        <f t="shared" si="1"/>
        <v>1815.7920000000013</v>
      </c>
      <c r="J139" s="100">
        <f t="shared" si="3"/>
        <v>30.399999999999977</v>
      </c>
      <c r="K139" s="101">
        <f t="shared" si="2"/>
        <v>-2.614400000000046</v>
      </c>
    </row>
    <row r="140" spans="1:11" ht="12.75" x14ac:dyDescent="0.2">
      <c r="A140" s="92">
        <v>45701</v>
      </c>
      <c r="B140" s="93" t="s">
        <v>39</v>
      </c>
      <c r="C140" s="94">
        <v>0.9556</v>
      </c>
      <c r="D140" s="95" t="s">
        <v>226</v>
      </c>
      <c r="E140" s="96"/>
      <c r="F140" s="96"/>
      <c r="G140" s="97">
        <v>608</v>
      </c>
      <c r="H140" s="98">
        <f t="shared" si="0"/>
        <v>26.995199999999954</v>
      </c>
      <c r="I140" s="99">
        <f t="shared" si="1"/>
        <v>1484.7359999999976</v>
      </c>
      <c r="J140" s="100">
        <f t="shared" si="3"/>
        <v>30.399999999999977</v>
      </c>
      <c r="K140" s="101">
        <f t="shared" si="2"/>
        <v>3.4048000000000229</v>
      </c>
    </row>
    <row r="141" spans="1:11" ht="12.75" x14ac:dyDescent="0.2">
      <c r="A141" s="92">
        <v>45702</v>
      </c>
      <c r="B141" s="93" t="s">
        <v>41</v>
      </c>
      <c r="C141" s="94">
        <v>0.96889999999999998</v>
      </c>
      <c r="D141" s="95" t="s">
        <v>225</v>
      </c>
      <c r="E141" s="96"/>
      <c r="F141" s="96"/>
      <c r="G141" s="97">
        <v>610</v>
      </c>
      <c r="H141" s="98">
        <f t="shared" si="0"/>
        <v>18.971000000000004</v>
      </c>
      <c r="I141" s="99">
        <f t="shared" si="1"/>
        <v>1043.4050000000002</v>
      </c>
      <c r="J141" s="100">
        <f t="shared" si="3"/>
        <v>30.5</v>
      </c>
      <c r="K141" s="101">
        <f t="shared" si="2"/>
        <v>11.528999999999996</v>
      </c>
    </row>
    <row r="142" spans="1:11" ht="12.75" x14ac:dyDescent="0.2">
      <c r="A142" s="117">
        <v>45705</v>
      </c>
      <c r="B142" s="118" t="s">
        <v>33</v>
      </c>
      <c r="C142" s="119"/>
      <c r="D142" s="120"/>
      <c r="E142" s="121"/>
      <c r="F142" s="121"/>
      <c r="G142" s="122"/>
      <c r="H142" s="98">
        <f t="shared" si="0"/>
        <v>0</v>
      </c>
      <c r="I142" s="99">
        <f t="shared" si="1"/>
        <v>0</v>
      </c>
      <c r="J142" s="100">
        <f t="shared" si="3"/>
        <v>0</v>
      </c>
      <c r="K142" s="101">
        <f t="shared" si="2"/>
        <v>0</v>
      </c>
    </row>
    <row r="143" spans="1:11" ht="12.75" x14ac:dyDescent="0.2">
      <c r="A143" s="92">
        <v>45706</v>
      </c>
      <c r="B143" s="93" t="s">
        <v>35</v>
      </c>
      <c r="C143" s="94">
        <v>0.95240000000000002</v>
      </c>
      <c r="D143" s="95" t="s">
        <v>225</v>
      </c>
      <c r="E143" s="96"/>
      <c r="F143" s="96"/>
      <c r="G143" s="97">
        <v>609</v>
      </c>
      <c r="H143" s="98">
        <f t="shared" si="0"/>
        <v>28.988399999999956</v>
      </c>
      <c r="I143" s="99">
        <f t="shared" si="1"/>
        <v>1594.3619999999976</v>
      </c>
      <c r="J143" s="100">
        <f t="shared" si="3"/>
        <v>30.450000000000045</v>
      </c>
      <c r="K143" s="101">
        <f t="shared" si="2"/>
        <v>1.4616000000000895</v>
      </c>
    </row>
    <row r="144" spans="1:11" ht="12.75" x14ac:dyDescent="0.2">
      <c r="A144" s="92">
        <v>45707</v>
      </c>
      <c r="B144" s="93" t="s">
        <v>37</v>
      </c>
      <c r="C144" s="94">
        <v>0.96060000000000001</v>
      </c>
      <c r="D144" s="95" t="s">
        <v>226</v>
      </c>
      <c r="E144" s="96"/>
      <c r="F144" s="96"/>
      <c r="G144" s="97">
        <v>609</v>
      </c>
      <c r="H144" s="98">
        <f t="shared" si="0"/>
        <v>23.994599999999991</v>
      </c>
      <c r="I144" s="99">
        <f t="shared" si="1"/>
        <v>1319.7029999999995</v>
      </c>
      <c r="J144" s="100">
        <f t="shared" si="3"/>
        <v>30.450000000000045</v>
      </c>
      <c r="K144" s="101">
        <f t="shared" si="2"/>
        <v>6.4554000000000542</v>
      </c>
    </row>
    <row r="145" spans="1:11" ht="12.75" x14ac:dyDescent="0.2">
      <c r="A145" s="92">
        <v>45708</v>
      </c>
      <c r="B145" s="93" t="s">
        <v>39</v>
      </c>
      <c r="C145" s="94">
        <v>0.86739999999999995</v>
      </c>
      <c r="D145" s="95" t="s">
        <v>227</v>
      </c>
      <c r="E145" s="96" t="s">
        <v>246</v>
      </c>
      <c r="F145" s="96"/>
      <c r="G145" s="97">
        <v>611</v>
      </c>
      <c r="H145" s="98">
        <f t="shared" si="0"/>
        <v>81.018599999999992</v>
      </c>
      <c r="I145" s="99">
        <f t="shared" si="1"/>
        <v>4456.0229999999992</v>
      </c>
      <c r="J145" s="100">
        <f t="shared" si="3"/>
        <v>30.550000000000068</v>
      </c>
      <c r="K145" s="101">
        <f t="shared" si="2"/>
        <v>-50.468599999999924</v>
      </c>
    </row>
    <row r="146" spans="1:11" ht="12.75" x14ac:dyDescent="0.2">
      <c r="A146" s="92">
        <v>45709</v>
      </c>
      <c r="B146" s="93" t="s">
        <v>41</v>
      </c>
      <c r="C146" s="94">
        <v>0.93759999999999999</v>
      </c>
      <c r="D146" s="95" t="s">
        <v>227</v>
      </c>
      <c r="E146" s="96"/>
      <c r="F146" s="96"/>
      <c r="G146" s="97">
        <v>609</v>
      </c>
      <c r="H146" s="98">
        <f t="shared" si="0"/>
        <v>38.001600000000053</v>
      </c>
      <c r="I146" s="99">
        <f t="shared" si="1"/>
        <v>2090.0880000000029</v>
      </c>
      <c r="J146" s="100">
        <f t="shared" si="3"/>
        <v>30.450000000000045</v>
      </c>
      <c r="K146" s="101">
        <f t="shared" si="2"/>
        <v>-7.5516000000000076</v>
      </c>
    </row>
    <row r="147" spans="1:11" ht="12.75" x14ac:dyDescent="0.2">
      <c r="A147" s="92">
        <v>45712</v>
      </c>
      <c r="B147" s="93" t="s">
        <v>33</v>
      </c>
      <c r="C147" s="94">
        <v>0.95569999999999999</v>
      </c>
      <c r="D147" s="95" t="s">
        <v>226</v>
      </c>
      <c r="E147" s="96"/>
      <c r="F147" s="96"/>
      <c r="G147" s="97">
        <v>609</v>
      </c>
      <c r="H147" s="98">
        <f t="shared" si="0"/>
        <v>26.978700000000003</v>
      </c>
      <c r="I147" s="99">
        <f t="shared" si="1"/>
        <v>1483.8285000000001</v>
      </c>
      <c r="J147" s="100">
        <f t="shared" si="3"/>
        <v>30.450000000000045</v>
      </c>
      <c r="K147" s="101">
        <f t="shared" si="2"/>
        <v>3.471300000000042</v>
      </c>
    </row>
    <row r="148" spans="1:11" ht="12.75" x14ac:dyDescent="0.2">
      <c r="A148" s="92">
        <v>45713</v>
      </c>
      <c r="B148" s="93" t="s">
        <v>35</v>
      </c>
      <c r="C148" s="94">
        <v>0.97199999999999998</v>
      </c>
      <c r="D148" s="95" t="s">
        <v>225</v>
      </c>
      <c r="E148" s="96"/>
      <c r="F148" s="96"/>
      <c r="G148" s="97">
        <v>607</v>
      </c>
      <c r="H148" s="98">
        <f t="shared" si="0"/>
        <v>16.995999999999981</v>
      </c>
      <c r="I148" s="99">
        <f t="shared" si="1"/>
        <v>934.77999999999895</v>
      </c>
      <c r="J148" s="100">
        <f t="shared" si="3"/>
        <v>30.350000000000023</v>
      </c>
      <c r="K148" s="101">
        <f t="shared" si="2"/>
        <v>13.354000000000042</v>
      </c>
    </row>
    <row r="149" spans="1:11" ht="12.75" x14ac:dyDescent="0.2">
      <c r="A149" s="92">
        <v>45714</v>
      </c>
      <c r="B149" s="93" t="s">
        <v>37</v>
      </c>
      <c r="C149" s="94">
        <v>0.96379999999999999</v>
      </c>
      <c r="D149" s="95" t="s">
        <v>226</v>
      </c>
      <c r="E149" s="96"/>
      <c r="F149" s="96"/>
      <c r="G149" s="97">
        <v>608</v>
      </c>
      <c r="H149" s="98">
        <f t="shared" si="0"/>
        <v>22.009599999999978</v>
      </c>
      <c r="I149" s="99">
        <f t="shared" si="1"/>
        <v>1210.5279999999989</v>
      </c>
      <c r="J149" s="100">
        <f t="shared" si="3"/>
        <v>30.399999999999977</v>
      </c>
      <c r="K149" s="101">
        <f t="shared" si="2"/>
        <v>8.3903999999999996</v>
      </c>
    </row>
    <row r="150" spans="1:11" ht="12.75" x14ac:dyDescent="0.2">
      <c r="A150" s="92">
        <v>45715</v>
      </c>
      <c r="B150" s="93" t="s">
        <v>39</v>
      </c>
      <c r="C150" s="94">
        <v>0.94740000000000002</v>
      </c>
      <c r="D150" s="95" t="s">
        <v>226</v>
      </c>
      <c r="E150" s="96"/>
      <c r="F150" s="96"/>
      <c r="G150" s="97">
        <v>608</v>
      </c>
      <c r="H150" s="98">
        <f t="shared" si="0"/>
        <v>31.980800000000045</v>
      </c>
      <c r="I150" s="99">
        <f t="shared" si="1"/>
        <v>1758.9440000000025</v>
      </c>
      <c r="J150" s="100">
        <f t="shared" si="3"/>
        <v>30.399999999999977</v>
      </c>
      <c r="K150" s="101">
        <f t="shared" si="2"/>
        <v>-1.5808000000000675</v>
      </c>
    </row>
    <row r="151" spans="1:11" ht="12.75" x14ac:dyDescent="0.2">
      <c r="A151" s="92">
        <v>45716</v>
      </c>
      <c r="B151" s="93" t="s">
        <v>41</v>
      </c>
      <c r="C151" s="94">
        <v>0.93569999999999998</v>
      </c>
      <c r="D151" s="95" t="s">
        <v>226</v>
      </c>
      <c r="E151" s="96"/>
      <c r="F151" s="96"/>
      <c r="G151" s="97">
        <v>607</v>
      </c>
      <c r="H151" s="98">
        <f t="shared" si="0"/>
        <v>39.030100000000061</v>
      </c>
      <c r="I151" s="99">
        <f t="shared" si="1"/>
        <v>2146.6555000000035</v>
      </c>
      <c r="J151" s="100">
        <f t="shared" si="3"/>
        <v>30.350000000000023</v>
      </c>
      <c r="K151" s="101">
        <f t="shared" si="2"/>
        <v>-8.6801000000000386</v>
      </c>
    </row>
    <row r="152" spans="1:11" ht="12.75" x14ac:dyDescent="0.2">
      <c r="A152" s="92">
        <v>45719</v>
      </c>
      <c r="B152" s="93" t="s">
        <v>33</v>
      </c>
      <c r="C152" s="94">
        <v>0.94399999999999995</v>
      </c>
      <c r="D152" s="95" t="s">
        <v>225</v>
      </c>
      <c r="E152" s="96"/>
      <c r="F152" s="96"/>
      <c r="G152" s="97">
        <v>607</v>
      </c>
      <c r="H152" s="98">
        <f t="shared" si="0"/>
        <v>33.992000000000075</v>
      </c>
      <c r="I152" s="99">
        <f t="shared" si="1"/>
        <v>1869.560000000004</v>
      </c>
      <c r="J152" s="100">
        <f t="shared" si="3"/>
        <v>30.350000000000023</v>
      </c>
      <c r="K152" s="101">
        <f t="shared" si="2"/>
        <v>-3.6420000000000528</v>
      </c>
    </row>
    <row r="153" spans="1:11" ht="12.75" x14ac:dyDescent="0.2">
      <c r="A153" s="92">
        <v>45720</v>
      </c>
      <c r="B153" s="93" t="s">
        <v>35</v>
      </c>
      <c r="C153" s="94">
        <v>0.95069999999999999</v>
      </c>
      <c r="D153" s="95" t="s">
        <v>225</v>
      </c>
      <c r="E153" s="96"/>
      <c r="F153" s="96"/>
      <c r="G153" s="97">
        <v>608</v>
      </c>
      <c r="H153" s="98">
        <f t="shared" si="0"/>
        <v>29.97440000000006</v>
      </c>
      <c r="I153" s="99">
        <f t="shared" si="1"/>
        <v>1648.5920000000033</v>
      </c>
      <c r="J153" s="100">
        <f t="shared" si="3"/>
        <v>30.399999999999977</v>
      </c>
      <c r="K153" s="101">
        <f t="shared" si="2"/>
        <v>0.4255999999999176</v>
      </c>
    </row>
    <row r="154" spans="1:11" ht="12.75" x14ac:dyDescent="0.2">
      <c r="A154" s="92">
        <v>45721</v>
      </c>
      <c r="B154" s="93" t="s">
        <v>37</v>
      </c>
      <c r="C154" s="94">
        <v>0.95069999999999999</v>
      </c>
      <c r="D154" s="95" t="s">
        <v>225</v>
      </c>
      <c r="E154" s="96"/>
      <c r="F154" s="96"/>
      <c r="G154" s="97">
        <v>608</v>
      </c>
      <c r="H154" s="98">
        <f t="shared" si="0"/>
        <v>29.97440000000006</v>
      </c>
      <c r="I154" s="99">
        <f t="shared" si="1"/>
        <v>1648.5920000000033</v>
      </c>
      <c r="J154" s="100">
        <f t="shared" si="3"/>
        <v>30.399999999999977</v>
      </c>
      <c r="K154" s="101">
        <f t="shared" si="2"/>
        <v>0.4255999999999176</v>
      </c>
    </row>
    <row r="155" spans="1:11" ht="12.75" x14ac:dyDescent="0.2">
      <c r="A155" s="92">
        <v>45722</v>
      </c>
      <c r="B155" s="93" t="s">
        <v>39</v>
      </c>
      <c r="C155" s="94">
        <v>0.97699999999999998</v>
      </c>
      <c r="D155" s="95" t="s">
        <v>226</v>
      </c>
      <c r="E155" s="96"/>
      <c r="F155" s="96"/>
      <c r="G155" s="97">
        <v>608</v>
      </c>
      <c r="H155" s="98">
        <f t="shared" si="0"/>
        <v>13.984000000000037</v>
      </c>
      <c r="I155" s="99">
        <f t="shared" si="1"/>
        <v>769.12000000000205</v>
      </c>
      <c r="J155" s="100">
        <f t="shared" si="3"/>
        <v>30.399999999999977</v>
      </c>
      <c r="K155" s="101">
        <f t="shared" si="2"/>
        <v>16.41599999999994</v>
      </c>
    </row>
    <row r="156" spans="1:11" ht="12.75" x14ac:dyDescent="0.2">
      <c r="A156" s="92">
        <v>45723</v>
      </c>
      <c r="B156" s="93" t="s">
        <v>41</v>
      </c>
      <c r="C156" s="94">
        <v>0.94740000000000002</v>
      </c>
      <c r="D156" s="95" t="s">
        <v>226</v>
      </c>
      <c r="E156" s="96"/>
      <c r="F156" s="96"/>
      <c r="G156" s="97">
        <v>608</v>
      </c>
      <c r="H156" s="98">
        <f t="shared" si="0"/>
        <v>31.980800000000045</v>
      </c>
      <c r="I156" s="99">
        <f t="shared" si="1"/>
        <v>1758.9440000000025</v>
      </c>
      <c r="J156" s="100">
        <f t="shared" si="3"/>
        <v>30.399999999999977</v>
      </c>
      <c r="K156" s="101">
        <f t="shared" si="2"/>
        <v>-1.5808000000000675</v>
      </c>
    </row>
    <row r="157" spans="1:11" ht="12.75" x14ac:dyDescent="0.2">
      <c r="A157" s="123">
        <v>45726</v>
      </c>
      <c r="B157" s="124" t="s">
        <v>33</v>
      </c>
      <c r="C157" s="94">
        <v>0.92449999999999999</v>
      </c>
      <c r="D157" s="95" t="s">
        <v>226</v>
      </c>
      <c r="E157" s="96"/>
      <c r="F157" s="96"/>
      <c r="G157" s="97">
        <v>609</v>
      </c>
      <c r="H157" s="98">
        <f t="shared" si="0"/>
        <v>45.97950000000003</v>
      </c>
      <c r="I157" s="99">
        <f t="shared" si="1"/>
        <v>2528.8725000000018</v>
      </c>
      <c r="J157" s="100">
        <f t="shared" si="3"/>
        <v>30.450000000000045</v>
      </c>
      <c r="K157" s="101">
        <f t="shared" si="2"/>
        <v>-15.529499999999985</v>
      </c>
    </row>
    <row r="158" spans="1:11" ht="12.75" x14ac:dyDescent="0.2">
      <c r="A158" s="123">
        <v>45727</v>
      </c>
      <c r="B158" s="124" t="s">
        <v>35</v>
      </c>
      <c r="C158" s="94">
        <v>0.96389999999999998</v>
      </c>
      <c r="D158" s="95" t="s">
        <v>226</v>
      </c>
      <c r="E158" s="96"/>
      <c r="F158" s="96"/>
      <c r="G158" s="97">
        <v>609</v>
      </c>
      <c r="H158" s="98">
        <f t="shared" si="0"/>
        <v>21.984900000000039</v>
      </c>
      <c r="I158" s="99">
        <f t="shared" si="1"/>
        <v>1209.1695000000022</v>
      </c>
      <c r="J158" s="100">
        <f t="shared" si="3"/>
        <v>30.450000000000045</v>
      </c>
      <c r="K158" s="101">
        <f t="shared" si="2"/>
        <v>8.4651000000000067</v>
      </c>
    </row>
    <row r="159" spans="1:11" ht="12.75" x14ac:dyDescent="0.2">
      <c r="A159" s="123">
        <v>45728</v>
      </c>
      <c r="B159" s="124" t="s">
        <v>37</v>
      </c>
      <c r="C159" s="94"/>
      <c r="D159" s="95"/>
      <c r="E159" s="96"/>
      <c r="F159" s="96"/>
      <c r="H159" s="98">
        <f t="shared" si="0"/>
        <v>0</v>
      </c>
      <c r="I159" s="99">
        <f t="shared" si="1"/>
        <v>0</v>
      </c>
      <c r="J159" s="100">
        <f t="shared" si="3"/>
        <v>0</v>
      </c>
      <c r="K159" s="101">
        <f t="shared" si="2"/>
        <v>0</v>
      </c>
    </row>
    <row r="160" spans="1:11" ht="12.75" x14ac:dyDescent="0.2">
      <c r="A160" s="123">
        <v>45729</v>
      </c>
      <c r="B160" s="124" t="s">
        <v>39</v>
      </c>
      <c r="C160" s="94"/>
      <c r="D160" s="95"/>
      <c r="E160" s="96"/>
      <c r="F160" s="96"/>
      <c r="H160" s="98">
        <f t="shared" si="0"/>
        <v>0</v>
      </c>
      <c r="I160" s="99">
        <f t="shared" si="1"/>
        <v>0</v>
      </c>
      <c r="J160" s="100">
        <f t="shared" si="3"/>
        <v>0</v>
      </c>
      <c r="K160" s="101">
        <f t="shared" si="2"/>
        <v>0</v>
      </c>
    </row>
    <row r="161" spans="1:11" ht="12.75" x14ac:dyDescent="0.2">
      <c r="A161" s="123">
        <v>45730</v>
      </c>
      <c r="B161" s="124" t="s">
        <v>41</v>
      </c>
      <c r="C161" s="94"/>
      <c r="D161" s="95"/>
      <c r="E161" s="96"/>
      <c r="F161" s="96"/>
      <c r="H161" s="98">
        <f t="shared" si="0"/>
        <v>0</v>
      </c>
      <c r="I161" s="99">
        <f t="shared" si="1"/>
        <v>0</v>
      </c>
      <c r="J161" s="100">
        <f t="shared" si="3"/>
        <v>0</v>
      </c>
      <c r="K161" s="101">
        <f t="shared" si="2"/>
        <v>0</v>
      </c>
    </row>
    <row r="162" spans="1:11" ht="12.75" x14ac:dyDescent="0.2">
      <c r="A162" s="103">
        <v>45733</v>
      </c>
      <c r="B162" s="104" t="s">
        <v>33</v>
      </c>
      <c r="C162" s="105"/>
      <c r="D162" s="106"/>
      <c r="E162" s="107"/>
      <c r="F162" s="107"/>
      <c r="G162" s="108"/>
      <c r="H162" s="98">
        <f t="shared" si="0"/>
        <v>0</v>
      </c>
      <c r="I162" s="99">
        <f t="shared" si="1"/>
        <v>0</v>
      </c>
      <c r="J162" s="100">
        <f t="shared" si="3"/>
        <v>0</v>
      </c>
      <c r="K162" s="101">
        <f t="shared" si="2"/>
        <v>0</v>
      </c>
    </row>
    <row r="163" spans="1:11" ht="12.75" x14ac:dyDescent="0.2">
      <c r="A163" s="103">
        <v>45734</v>
      </c>
      <c r="B163" s="104" t="s">
        <v>35</v>
      </c>
      <c r="C163" s="105"/>
      <c r="D163" s="106"/>
      <c r="E163" s="107"/>
      <c r="F163" s="107"/>
      <c r="G163" s="108"/>
      <c r="H163" s="98">
        <f t="shared" si="0"/>
        <v>0</v>
      </c>
      <c r="I163" s="99">
        <f t="shared" si="1"/>
        <v>0</v>
      </c>
      <c r="J163" s="100">
        <f t="shared" si="3"/>
        <v>0</v>
      </c>
      <c r="K163" s="101">
        <f t="shared" si="2"/>
        <v>0</v>
      </c>
    </row>
    <row r="164" spans="1:11" ht="12.75" x14ac:dyDescent="0.2">
      <c r="A164" s="103">
        <v>45735</v>
      </c>
      <c r="B164" s="104" t="s">
        <v>37</v>
      </c>
      <c r="C164" s="105"/>
      <c r="D164" s="106"/>
      <c r="E164" s="107"/>
      <c r="F164" s="107"/>
      <c r="G164" s="108"/>
      <c r="H164" s="98">
        <f t="shared" si="0"/>
        <v>0</v>
      </c>
      <c r="I164" s="99">
        <f t="shared" si="1"/>
        <v>0</v>
      </c>
      <c r="J164" s="100">
        <f t="shared" si="3"/>
        <v>0</v>
      </c>
      <c r="K164" s="101">
        <f t="shared" si="2"/>
        <v>0</v>
      </c>
    </row>
    <row r="165" spans="1:11" ht="12.75" x14ac:dyDescent="0.2">
      <c r="A165" s="103">
        <v>45736</v>
      </c>
      <c r="B165" s="104" t="s">
        <v>39</v>
      </c>
      <c r="C165" s="105"/>
      <c r="D165" s="106"/>
      <c r="E165" s="107"/>
      <c r="F165" s="107"/>
      <c r="G165" s="108"/>
      <c r="H165" s="98">
        <f t="shared" si="0"/>
        <v>0</v>
      </c>
      <c r="I165" s="99">
        <f t="shared" si="1"/>
        <v>0</v>
      </c>
      <c r="J165" s="100">
        <f t="shared" si="3"/>
        <v>0</v>
      </c>
      <c r="K165" s="101">
        <f t="shared" si="2"/>
        <v>0</v>
      </c>
    </row>
    <row r="166" spans="1:11" ht="12.75" x14ac:dyDescent="0.2">
      <c r="A166" s="103">
        <v>45737</v>
      </c>
      <c r="B166" s="104" t="s">
        <v>41</v>
      </c>
      <c r="C166" s="105"/>
      <c r="D166" s="106"/>
      <c r="E166" s="107"/>
      <c r="F166" s="107"/>
      <c r="G166" s="108"/>
      <c r="H166" s="98">
        <f t="shared" si="0"/>
        <v>0</v>
      </c>
      <c r="I166" s="99">
        <f t="shared" si="1"/>
        <v>0</v>
      </c>
      <c r="J166" s="100">
        <f t="shared" si="3"/>
        <v>0</v>
      </c>
      <c r="K166" s="101">
        <f t="shared" si="2"/>
        <v>0</v>
      </c>
    </row>
    <row r="167" spans="1:11" ht="12.75" x14ac:dyDescent="0.2">
      <c r="A167" s="92">
        <v>45740</v>
      </c>
      <c r="B167" s="93" t="s">
        <v>33</v>
      </c>
      <c r="C167" s="94"/>
      <c r="D167" s="95"/>
      <c r="E167" s="96"/>
      <c r="F167" s="96"/>
      <c r="H167" s="98">
        <f t="shared" si="0"/>
        <v>0</v>
      </c>
      <c r="I167" s="99">
        <f t="shared" si="1"/>
        <v>0</v>
      </c>
      <c r="J167" s="100">
        <f t="shared" si="3"/>
        <v>0</v>
      </c>
      <c r="K167" s="101">
        <f t="shared" si="2"/>
        <v>0</v>
      </c>
    </row>
    <row r="168" spans="1:11" ht="12.75" x14ac:dyDescent="0.2">
      <c r="A168" s="92">
        <v>45741</v>
      </c>
      <c r="B168" s="93" t="s">
        <v>35</v>
      </c>
      <c r="C168" s="94"/>
      <c r="D168" s="95"/>
      <c r="E168" s="96"/>
      <c r="F168" s="96"/>
      <c r="H168" s="98">
        <f t="shared" si="0"/>
        <v>0</v>
      </c>
      <c r="I168" s="99">
        <f t="shared" si="1"/>
        <v>0</v>
      </c>
      <c r="J168" s="100">
        <f t="shared" si="3"/>
        <v>0</v>
      </c>
      <c r="K168" s="101">
        <f t="shared" si="2"/>
        <v>0</v>
      </c>
    </row>
    <row r="169" spans="1:11" ht="12.75" x14ac:dyDescent="0.2">
      <c r="A169" s="92">
        <v>45742</v>
      </c>
      <c r="B169" s="93" t="s">
        <v>37</v>
      </c>
      <c r="C169" s="94"/>
      <c r="D169" s="95"/>
      <c r="E169" s="96"/>
      <c r="F169" s="96"/>
      <c r="H169" s="98">
        <f t="shared" si="0"/>
        <v>0</v>
      </c>
      <c r="I169" s="99">
        <f t="shared" si="1"/>
        <v>0</v>
      </c>
      <c r="J169" s="100">
        <f t="shared" si="3"/>
        <v>0</v>
      </c>
      <c r="K169" s="101">
        <f t="shared" si="2"/>
        <v>0</v>
      </c>
    </row>
    <row r="170" spans="1:11" ht="12.75" x14ac:dyDescent="0.2">
      <c r="A170" s="92">
        <v>45743</v>
      </c>
      <c r="B170" s="93" t="s">
        <v>39</v>
      </c>
      <c r="C170" s="94"/>
      <c r="D170" s="95"/>
      <c r="E170" s="96"/>
      <c r="F170" s="96"/>
      <c r="H170" s="98">
        <f t="shared" si="0"/>
        <v>0</v>
      </c>
      <c r="I170" s="99">
        <f t="shared" si="1"/>
        <v>0</v>
      </c>
      <c r="J170" s="100">
        <f t="shared" si="3"/>
        <v>0</v>
      </c>
      <c r="K170" s="101">
        <f t="shared" si="2"/>
        <v>0</v>
      </c>
    </row>
    <row r="171" spans="1:11" ht="12.75" x14ac:dyDescent="0.2">
      <c r="A171" s="92">
        <v>45744</v>
      </c>
      <c r="B171" s="93" t="s">
        <v>41</v>
      </c>
      <c r="C171" s="94"/>
      <c r="D171" s="95"/>
      <c r="E171" s="96"/>
      <c r="F171" s="96"/>
      <c r="H171" s="98">
        <f t="shared" si="0"/>
        <v>0</v>
      </c>
      <c r="I171" s="99">
        <f t="shared" si="1"/>
        <v>0</v>
      </c>
      <c r="J171" s="100">
        <f t="shared" si="3"/>
        <v>0</v>
      </c>
      <c r="K171" s="101">
        <f t="shared" si="2"/>
        <v>0</v>
      </c>
    </row>
    <row r="172" spans="1:11" ht="12.75" x14ac:dyDescent="0.2">
      <c r="A172" s="92">
        <v>45747</v>
      </c>
      <c r="B172" s="93" t="s">
        <v>33</v>
      </c>
      <c r="C172" s="94"/>
      <c r="D172" s="95"/>
      <c r="E172" s="96"/>
      <c r="F172" s="96"/>
      <c r="H172" s="98">
        <f t="shared" si="0"/>
        <v>0</v>
      </c>
      <c r="I172" s="99">
        <f t="shared" si="1"/>
        <v>0</v>
      </c>
      <c r="J172" s="100">
        <f t="shared" si="3"/>
        <v>0</v>
      </c>
      <c r="K172" s="101">
        <f t="shared" si="2"/>
        <v>0</v>
      </c>
    </row>
    <row r="173" spans="1:11" ht="12.75" x14ac:dyDescent="0.2">
      <c r="A173" s="92">
        <v>45748</v>
      </c>
      <c r="B173" s="93" t="s">
        <v>35</v>
      </c>
      <c r="C173" s="94"/>
      <c r="D173" s="95"/>
      <c r="E173" s="96"/>
      <c r="F173" s="96"/>
      <c r="H173" s="98">
        <f t="shared" si="0"/>
        <v>0</v>
      </c>
      <c r="I173" s="99">
        <f t="shared" si="1"/>
        <v>0</v>
      </c>
      <c r="J173" s="100">
        <f t="shared" si="3"/>
        <v>0</v>
      </c>
      <c r="K173" s="101">
        <f t="shared" si="2"/>
        <v>0</v>
      </c>
    </row>
    <row r="174" spans="1:11" ht="12.75" x14ac:dyDescent="0.2">
      <c r="A174" s="92">
        <v>45749</v>
      </c>
      <c r="B174" s="93" t="s">
        <v>37</v>
      </c>
      <c r="C174" s="94"/>
      <c r="D174" s="95"/>
      <c r="E174" s="96"/>
      <c r="F174" s="96"/>
      <c r="H174" s="98">
        <f t="shared" si="0"/>
        <v>0</v>
      </c>
      <c r="I174" s="99">
        <f t="shared" si="1"/>
        <v>0</v>
      </c>
      <c r="J174" s="100">
        <f t="shared" si="3"/>
        <v>0</v>
      </c>
      <c r="K174" s="101">
        <f t="shared" si="2"/>
        <v>0</v>
      </c>
    </row>
    <row r="175" spans="1:11" ht="12.75" x14ac:dyDescent="0.2">
      <c r="A175" s="92">
        <v>45750</v>
      </c>
      <c r="B175" s="93" t="s">
        <v>39</v>
      </c>
      <c r="C175" s="94"/>
      <c r="D175" s="95"/>
      <c r="E175" s="96"/>
      <c r="F175" s="96"/>
      <c r="H175" s="98">
        <f t="shared" si="0"/>
        <v>0</v>
      </c>
      <c r="I175" s="99">
        <f t="shared" si="1"/>
        <v>0</v>
      </c>
      <c r="J175" s="100">
        <f t="shared" si="3"/>
        <v>0</v>
      </c>
      <c r="K175" s="101">
        <f t="shared" si="2"/>
        <v>0</v>
      </c>
    </row>
    <row r="176" spans="1:11" ht="12.75" x14ac:dyDescent="0.2">
      <c r="A176" s="92">
        <v>45751</v>
      </c>
      <c r="B176" s="93" t="s">
        <v>41</v>
      </c>
      <c r="C176" s="94"/>
      <c r="D176" s="95"/>
      <c r="E176" s="96"/>
      <c r="F176" s="96"/>
      <c r="H176" s="98">
        <f t="shared" si="0"/>
        <v>0</v>
      </c>
      <c r="I176" s="99">
        <f t="shared" si="1"/>
        <v>0</v>
      </c>
      <c r="J176" s="100">
        <f t="shared" si="3"/>
        <v>0</v>
      </c>
      <c r="K176" s="101">
        <f t="shared" si="2"/>
        <v>0</v>
      </c>
    </row>
    <row r="177" spans="1:11" ht="12.75" x14ac:dyDescent="0.2">
      <c r="A177" s="92">
        <v>45754</v>
      </c>
      <c r="B177" s="93" t="s">
        <v>33</v>
      </c>
      <c r="C177" s="94"/>
      <c r="D177" s="95"/>
      <c r="E177" s="96"/>
      <c r="F177" s="96"/>
      <c r="H177" s="98">
        <f t="shared" si="0"/>
        <v>0</v>
      </c>
      <c r="I177" s="99">
        <f t="shared" si="1"/>
        <v>0</v>
      </c>
      <c r="J177" s="100">
        <f t="shared" si="3"/>
        <v>0</v>
      </c>
      <c r="K177" s="101">
        <f t="shared" si="2"/>
        <v>0</v>
      </c>
    </row>
    <row r="178" spans="1:11" ht="12.75" x14ac:dyDescent="0.2">
      <c r="A178" s="92">
        <v>45755</v>
      </c>
      <c r="B178" s="93" t="s">
        <v>35</v>
      </c>
      <c r="C178" s="94"/>
      <c r="D178" s="95"/>
      <c r="E178" s="96"/>
      <c r="F178" s="96"/>
      <c r="H178" s="98">
        <f t="shared" si="0"/>
        <v>0</v>
      </c>
      <c r="I178" s="99">
        <f t="shared" si="1"/>
        <v>0</v>
      </c>
      <c r="J178" s="100">
        <f t="shared" si="3"/>
        <v>0</v>
      </c>
      <c r="K178" s="101">
        <f t="shared" si="2"/>
        <v>0</v>
      </c>
    </row>
    <row r="179" spans="1:11" ht="12.75" x14ac:dyDescent="0.2">
      <c r="A179" s="92">
        <v>45756</v>
      </c>
      <c r="B179" s="93" t="s">
        <v>37</v>
      </c>
      <c r="C179" s="94"/>
      <c r="D179" s="95"/>
      <c r="E179" s="96"/>
      <c r="F179" s="96"/>
      <c r="H179" s="98">
        <f t="shared" si="0"/>
        <v>0</v>
      </c>
      <c r="I179" s="99">
        <f t="shared" si="1"/>
        <v>0</v>
      </c>
      <c r="J179" s="100">
        <f t="shared" si="3"/>
        <v>0</v>
      </c>
      <c r="K179" s="101">
        <f t="shared" si="2"/>
        <v>0</v>
      </c>
    </row>
    <row r="180" spans="1:11" ht="12.75" x14ac:dyDescent="0.2">
      <c r="A180" s="92">
        <v>45757</v>
      </c>
      <c r="B180" s="93" t="s">
        <v>39</v>
      </c>
      <c r="C180" s="94"/>
      <c r="D180" s="95"/>
      <c r="E180" s="96"/>
      <c r="F180" s="96"/>
      <c r="H180" s="98">
        <f t="shared" si="0"/>
        <v>0</v>
      </c>
      <c r="I180" s="99">
        <f t="shared" si="1"/>
        <v>0</v>
      </c>
      <c r="J180" s="100">
        <f t="shared" si="3"/>
        <v>0</v>
      </c>
      <c r="K180" s="101">
        <f t="shared" si="2"/>
        <v>0</v>
      </c>
    </row>
    <row r="181" spans="1:11" ht="12.75" x14ac:dyDescent="0.2">
      <c r="A181" s="92">
        <v>45758</v>
      </c>
      <c r="B181" s="93" t="s">
        <v>41</v>
      </c>
      <c r="C181" s="94"/>
      <c r="D181" s="95"/>
      <c r="E181" s="96"/>
      <c r="F181" s="96"/>
      <c r="H181" s="98">
        <f t="shared" si="0"/>
        <v>0</v>
      </c>
      <c r="I181" s="99">
        <f t="shared" si="1"/>
        <v>0</v>
      </c>
      <c r="J181" s="100">
        <f t="shared" si="3"/>
        <v>0</v>
      </c>
      <c r="K181" s="101">
        <f t="shared" si="2"/>
        <v>0</v>
      </c>
    </row>
    <row r="182" spans="1:11" ht="12.75" x14ac:dyDescent="0.2">
      <c r="A182" s="92">
        <v>45761</v>
      </c>
      <c r="B182" s="93" t="s">
        <v>33</v>
      </c>
      <c r="C182" s="94"/>
      <c r="D182" s="95"/>
      <c r="E182" s="96"/>
      <c r="F182" s="96"/>
      <c r="H182" s="98">
        <f t="shared" si="0"/>
        <v>0</v>
      </c>
      <c r="I182" s="99">
        <f t="shared" si="1"/>
        <v>0</v>
      </c>
      <c r="J182" s="100">
        <f t="shared" si="3"/>
        <v>0</v>
      </c>
      <c r="K182" s="101">
        <f t="shared" si="2"/>
        <v>0</v>
      </c>
    </row>
    <row r="183" spans="1:11" ht="12.75" x14ac:dyDescent="0.2">
      <c r="A183" s="92">
        <v>45762</v>
      </c>
      <c r="B183" s="93" t="s">
        <v>35</v>
      </c>
      <c r="C183" s="94"/>
      <c r="D183" s="95"/>
      <c r="E183" s="96"/>
      <c r="F183" s="96"/>
      <c r="H183" s="98">
        <f t="shared" si="0"/>
        <v>0</v>
      </c>
      <c r="I183" s="99">
        <f t="shared" si="1"/>
        <v>0</v>
      </c>
      <c r="J183" s="100">
        <f t="shared" si="3"/>
        <v>0</v>
      </c>
      <c r="K183" s="101">
        <f t="shared" si="2"/>
        <v>0</v>
      </c>
    </row>
    <row r="184" spans="1:11" ht="12.75" x14ac:dyDescent="0.2">
      <c r="A184" s="92">
        <v>45763</v>
      </c>
      <c r="B184" s="93" t="s">
        <v>37</v>
      </c>
      <c r="C184" s="94"/>
      <c r="D184" s="95"/>
      <c r="E184" s="96"/>
      <c r="F184" s="96"/>
      <c r="H184" s="98">
        <f t="shared" si="0"/>
        <v>0</v>
      </c>
      <c r="I184" s="99">
        <f t="shared" si="1"/>
        <v>0</v>
      </c>
      <c r="J184" s="100">
        <f t="shared" si="3"/>
        <v>0</v>
      </c>
      <c r="K184" s="101">
        <f t="shared" si="2"/>
        <v>0</v>
      </c>
    </row>
    <row r="185" spans="1:11" ht="12.75" x14ac:dyDescent="0.2">
      <c r="A185" s="92">
        <v>45764</v>
      </c>
      <c r="B185" s="93" t="s">
        <v>39</v>
      </c>
      <c r="C185" s="94"/>
      <c r="D185" s="95"/>
      <c r="E185" s="96"/>
      <c r="F185" s="96"/>
      <c r="H185" s="98">
        <f t="shared" si="0"/>
        <v>0</v>
      </c>
      <c r="I185" s="99">
        <f t="shared" si="1"/>
        <v>0</v>
      </c>
      <c r="J185" s="100">
        <f t="shared" si="3"/>
        <v>0</v>
      </c>
      <c r="K185" s="101">
        <f t="shared" si="2"/>
        <v>0</v>
      </c>
    </row>
    <row r="186" spans="1:11" ht="12.75" x14ac:dyDescent="0.2">
      <c r="A186" s="103">
        <v>45765</v>
      </c>
      <c r="B186" s="104" t="s">
        <v>41</v>
      </c>
      <c r="C186" s="105"/>
      <c r="D186" s="106"/>
      <c r="E186" s="107"/>
      <c r="F186" s="107"/>
      <c r="G186" s="108"/>
      <c r="H186" s="98">
        <f t="shared" si="0"/>
        <v>0</v>
      </c>
      <c r="I186" s="99">
        <f t="shared" si="1"/>
        <v>0</v>
      </c>
      <c r="J186" s="100">
        <f t="shared" si="3"/>
        <v>0</v>
      </c>
      <c r="K186" s="101">
        <f t="shared" si="2"/>
        <v>0</v>
      </c>
    </row>
    <row r="187" spans="1:11" ht="12.75" x14ac:dyDescent="0.2">
      <c r="A187" s="103">
        <v>45768</v>
      </c>
      <c r="B187" s="104" t="s">
        <v>33</v>
      </c>
      <c r="C187" s="105"/>
      <c r="D187" s="106"/>
      <c r="E187" s="107"/>
      <c r="F187" s="107"/>
      <c r="G187" s="108"/>
      <c r="H187" s="98">
        <f t="shared" si="0"/>
        <v>0</v>
      </c>
      <c r="I187" s="99">
        <f t="shared" si="1"/>
        <v>0</v>
      </c>
      <c r="J187" s="100">
        <f t="shared" si="3"/>
        <v>0</v>
      </c>
      <c r="K187" s="101">
        <f t="shared" si="2"/>
        <v>0</v>
      </c>
    </row>
    <row r="188" spans="1:11" ht="12.75" x14ac:dyDescent="0.2">
      <c r="A188" s="92">
        <v>45769</v>
      </c>
      <c r="B188" s="93" t="s">
        <v>35</v>
      </c>
      <c r="C188" s="94"/>
      <c r="D188" s="95"/>
      <c r="E188" s="96"/>
      <c r="F188" s="96"/>
      <c r="H188" s="98">
        <f t="shared" si="0"/>
        <v>0</v>
      </c>
      <c r="I188" s="99">
        <f t="shared" si="1"/>
        <v>0</v>
      </c>
      <c r="J188" s="100">
        <f t="shared" si="3"/>
        <v>0</v>
      </c>
      <c r="K188" s="101">
        <f t="shared" si="2"/>
        <v>0</v>
      </c>
    </row>
    <row r="189" spans="1:11" ht="12.75" x14ac:dyDescent="0.2">
      <c r="A189" s="92">
        <v>45770</v>
      </c>
      <c r="B189" s="93" t="s">
        <v>37</v>
      </c>
      <c r="C189" s="94"/>
      <c r="D189" s="95"/>
      <c r="E189" s="96"/>
      <c r="F189" s="96"/>
      <c r="H189" s="98">
        <f t="shared" si="0"/>
        <v>0</v>
      </c>
      <c r="I189" s="99">
        <f t="shared" si="1"/>
        <v>0</v>
      </c>
      <c r="J189" s="100">
        <f t="shared" si="3"/>
        <v>0</v>
      </c>
      <c r="K189" s="101">
        <f t="shared" si="2"/>
        <v>0</v>
      </c>
    </row>
    <row r="190" spans="1:11" ht="12.75" x14ac:dyDescent="0.2">
      <c r="A190" s="92">
        <v>45771</v>
      </c>
      <c r="B190" s="93" t="s">
        <v>39</v>
      </c>
      <c r="C190" s="94"/>
      <c r="D190" s="95"/>
      <c r="E190" s="96"/>
      <c r="F190" s="96"/>
      <c r="H190" s="98">
        <f t="shared" si="0"/>
        <v>0</v>
      </c>
      <c r="I190" s="99">
        <f t="shared" si="1"/>
        <v>0</v>
      </c>
      <c r="J190" s="100">
        <f t="shared" si="3"/>
        <v>0</v>
      </c>
      <c r="K190" s="101">
        <f t="shared" si="2"/>
        <v>0</v>
      </c>
    </row>
    <row r="191" spans="1:11" ht="12.75" x14ac:dyDescent="0.2">
      <c r="A191" s="92">
        <v>45772</v>
      </c>
      <c r="B191" s="93" t="s">
        <v>41</v>
      </c>
      <c r="C191" s="94"/>
      <c r="D191" s="95"/>
      <c r="E191" s="96"/>
      <c r="F191" s="96"/>
      <c r="H191" s="98">
        <f t="shared" si="0"/>
        <v>0</v>
      </c>
      <c r="I191" s="99">
        <f t="shared" si="1"/>
        <v>0</v>
      </c>
      <c r="J191" s="100">
        <f t="shared" si="3"/>
        <v>0</v>
      </c>
      <c r="K191" s="101">
        <f t="shared" si="2"/>
        <v>0</v>
      </c>
    </row>
    <row r="192" spans="1:11" ht="12.75" x14ac:dyDescent="0.2">
      <c r="A192" s="92">
        <v>45775</v>
      </c>
      <c r="B192" s="93" t="s">
        <v>33</v>
      </c>
      <c r="C192" s="94"/>
      <c r="D192" s="95"/>
      <c r="E192" s="96"/>
      <c r="F192" s="96"/>
      <c r="H192" s="98">
        <f t="shared" si="0"/>
        <v>0</v>
      </c>
      <c r="I192" s="99">
        <f t="shared" si="1"/>
        <v>0</v>
      </c>
      <c r="J192" s="100">
        <f t="shared" si="3"/>
        <v>0</v>
      </c>
      <c r="K192" s="101">
        <f t="shared" si="2"/>
        <v>0</v>
      </c>
    </row>
    <row r="193" spans="1:11" ht="12.75" x14ac:dyDescent="0.2">
      <c r="A193" s="92">
        <v>45776</v>
      </c>
      <c r="B193" s="93" t="s">
        <v>35</v>
      </c>
      <c r="C193" s="94"/>
      <c r="D193" s="95"/>
      <c r="E193" s="96"/>
      <c r="F193" s="96"/>
      <c r="H193" s="98">
        <f t="shared" si="0"/>
        <v>0</v>
      </c>
      <c r="I193" s="99">
        <f t="shared" si="1"/>
        <v>0</v>
      </c>
      <c r="J193" s="100">
        <f t="shared" si="3"/>
        <v>0</v>
      </c>
      <c r="K193" s="101">
        <f t="shared" si="2"/>
        <v>0</v>
      </c>
    </row>
    <row r="194" spans="1:11" ht="12.75" x14ac:dyDescent="0.2">
      <c r="A194" s="92">
        <v>45777</v>
      </c>
      <c r="B194" s="93" t="s">
        <v>37</v>
      </c>
      <c r="C194" s="94"/>
      <c r="D194" s="95"/>
      <c r="E194" s="96"/>
      <c r="F194" s="96"/>
      <c r="H194" s="98">
        <f t="shared" si="0"/>
        <v>0</v>
      </c>
      <c r="I194" s="99">
        <f t="shared" si="1"/>
        <v>0</v>
      </c>
      <c r="J194" s="100">
        <f t="shared" si="3"/>
        <v>0</v>
      </c>
      <c r="K194" s="101">
        <f t="shared" si="2"/>
        <v>0</v>
      </c>
    </row>
    <row r="195" spans="1:11" ht="12.75" x14ac:dyDescent="0.2">
      <c r="A195" s="92">
        <v>45778</v>
      </c>
      <c r="B195" s="93" t="s">
        <v>39</v>
      </c>
      <c r="C195" s="94"/>
      <c r="D195" s="95"/>
      <c r="E195" s="96"/>
      <c r="F195" s="96"/>
      <c r="H195" s="98">
        <f t="shared" si="0"/>
        <v>0</v>
      </c>
      <c r="I195" s="99">
        <f t="shared" si="1"/>
        <v>0</v>
      </c>
      <c r="J195" s="100">
        <f t="shared" si="3"/>
        <v>0</v>
      </c>
      <c r="K195" s="101">
        <f t="shared" si="2"/>
        <v>0</v>
      </c>
    </row>
    <row r="196" spans="1:11" ht="12.75" x14ac:dyDescent="0.2">
      <c r="A196" s="92">
        <v>45779</v>
      </c>
      <c r="B196" s="93" t="s">
        <v>41</v>
      </c>
      <c r="C196" s="94"/>
      <c r="D196" s="95"/>
      <c r="E196" s="96"/>
      <c r="F196" s="96"/>
      <c r="H196" s="98">
        <f t="shared" si="0"/>
        <v>0</v>
      </c>
      <c r="I196" s="99">
        <f t="shared" si="1"/>
        <v>0</v>
      </c>
      <c r="J196" s="100">
        <f t="shared" si="3"/>
        <v>0</v>
      </c>
      <c r="K196" s="101">
        <f t="shared" si="2"/>
        <v>0</v>
      </c>
    </row>
    <row r="197" spans="1:11" ht="12.75" x14ac:dyDescent="0.2">
      <c r="A197" s="92">
        <v>45782</v>
      </c>
      <c r="B197" s="93" t="s">
        <v>33</v>
      </c>
      <c r="C197" s="94"/>
      <c r="D197" s="95"/>
      <c r="E197" s="96"/>
      <c r="F197" s="96"/>
      <c r="H197" s="98">
        <f t="shared" si="0"/>
        <v>0</v>
      </c>
      <c r="I197" s="99">
        <f t="shared" si="1"/>
        <v>0</v>
      </c>
      <c r="J197" s="100">
        <f t="shared" si="3"/>
        <v>0</v>
      </c>
      <c r="K197" s="101">
        <f t="shared" si="2"/>
        <v>0</v>
      </c>
    </row>
    <row r="198" spans="1:11" ht="12.75" x14ac:dyDescent="0.2">
      <c r="A198" s="92">
        <v>45783</v>
      </c>
      <c r="B198" s="93" t="s">
        <v>35</v>
      </c>
      <c r="C198" s="94"/>
      <c r="D198" s="95"/>
      <c r="E198" s="96"/>
      <c r="F198" s="96"/>
      <c r="H198" s="98">
        <f t="shared" si="0"/>
        <v>0</v>
      </c>
      <c r="I198" s="99">
        <f t="shared" si="1"/>
        <v>0</v>
      </c>
      <c r="J198" s="100">
        <f t="shared" si="3"/>
        <v>0</v>
      </c>
      <c r="K198" s="101">
        <f t="shared" si="2"/>
        <v>0</v>
      </c>
    </row>
    <row r="199" spans="1:11" ht="12.75" x14ac:dyDescent="0.2">
      <c r="A199" s="92">
        <v>45784</v>
      </c>
      <c r="B199" s="93" t="s">
        <v>37</v>
      </c>
      <c r="C199" s="94"/>
      <c r="D199" s="95"/>
      <c r="E199" s="96"/>
      <c r="F199" s="96"/>
      <c r="H199" s="98">
        <f t="shared" si="0"/>
        <v>0</v>
      </c>
      <c r="I199" s="99">
        <f t="shared" si="1"/>
        <v>0</v>
      </c>
      <c r="J199" s="100">
        <f t="shared" si="3"/>
        <v>0</v>
      </c>
      <c r="K199" s="101">
        <f t="shared" si="2"/>
        <v>0</v>
      </c>
    </row>
    <row r="200" spans="1:11" ht="12.75" x14ac:dyDescent="0.2">
      <c r="A200" s="92">
        <v>45785</v>
      </c>
      <c r="B200" s="93" t="s">
        <v>39</v>
      </c>
      <c r="C200" s="94"/>
      <c r="D200" s="95"/>
      <c r="E200" s="96"/>
      <c r="F200" s="96"/>
      <c r="H200" s="98">
        <f t="shared" si="0"/>
        <v>0</v>
      </c>
      <c r="I200" s="99">
        <f t="shared" si="1"/>
        <v>0</v>
      </c>
      <c r="J200" s="100">
        <f t="shared" si="3"/>
        <v>0</v>
      </c>
      <c r="K200" s="101">
        <f t="shared" si="2"/>
        <v>0</v>
      </c>
    </row>
    <row r="201" spans="1:11" ht="12.75" x14ac:dyDescent="0.2">
      <c r="A201" s="92">
        <v>45786</v>
      </c>
      <c r="B201" s="93" t="s">
        <v>41</v>
      </c>
      <c r="C201" s="94"/>
      <c r="D201" s="95"/>
      <c r="E201" s="96"/>
      <c r="F201" s="96"/>
      <c r="H201" s="98">
        <f t="shared" si="0"/>
        <v>0</v>
      </c>
      <c r="I201" s="99">
        <f t="shared" si="1"/>
        <v>0</v>
      </c>
      <c r="J201" s="100">
        <f t="shared" si="3"/>
        <v>0</v>
      </c>
      <c r="K201" s="101">
        <f t="shared" si="2"/>
        <v>0</v>
      </c>
    </row>
    <row r="202" spans="1:11" ht="12.75" x14ac:dyDescent="0.2">
      <c r="A202" s="92">
        <v>45789</v>
      </c>
      <c r="B202" s="93" t="s">
        <v>33</v>
      </c>
      <c r="C202" s="94"/>
      <c r="D202" s="95"/>
      <c r="E202" s="96"/>
      <c r="F202" s="96"/>
      <c r="H202" s="98">
        <f t="shared" si="0"/>
        <v>0</v>
      </c>
      <c r="I202" s="99">
        <f t="shared" si="1"/>
        <v>0</v>
      </c>
      <c r="J202" s="100">
        <f t="shared" si="3"/>
        <v>0</v>
      </c>
      <c r="K202" s="101">
        <f t="shared" si="2"/>
        <v>0</v>
      </c>
    </row>
    <row r="203" spans="1:11" ht="12.75" x14ac:dyDescent="0.2">
      <c r="A203" s="92">
        <v>45790</v>
      </c>
      <c r="B203" s="93" t="s">
        <v>35</v>
      </c>
      <c r="C203" s="94"/>
      <c r="D203" s="95"/>
      <c r="E203" s="96"/>
      <c r="F203" s="96"/>
      <c r="H203" s="98">
        <f t="shared" si="0"/>
        <v>0</v>
      </c>
      <c r="I203" s="99">
        <f t="shared" si="1"/>
        <v>0</v>
      </c>
      <c r="J203" s="100">
        <f t="shared" si="3"/>
        <v>0</v>
      </c>
      <c r="K203" s="101">
        <f t="shared" si="2"/>
        <v>0</v>
      </c>
    </row>
    <row r="204" spans="1:11" ht="12.75" x14ac:dyDescent="0.2">
      <c r="A204" s="92">
        <v>45791</v>
      </c>
      <c r="B204" s="93" t="s">
        <v>37</v>
      </c>
      <c r="C204" s="94"/>
      <c r="D204" s="95"/>
      <c r="E204" s="96"/>
      <c r="F204" s="96"/>
      <c r="H204" s="98">
        <f t="shared" si="0"/>
        <v>0</v>
      </c>
      <c r="I204" s="99">
        <f t="shared" si="1"/>
        <v>0</v>
      </c>
      <c r="J204" s="100">
        <f t="shared" si="3"/>
        <v>0</v>
      </c>
      <c r="K204" s="101">
        <f t="shared" si="2"/>
        <v>0</v>
      </c>
    </row>
    <row r="205" spans="1:11" ht="12.75" x14ac:dyDescent="0.2">
      <c r="A205" s="92">
        <v>45792</v>
      </c>
      <c r="B205" s="93" t="s">
        <v>39</v>
      </c>
      <c r="C205" s="94"/>
      <c r="D205" s="95"/>
      <c r="E205" s="96"/>
      <c r="F205" s="96"/>
      <c r="H205" s="98">
        <f t="shared" si="0"/>
        <v>0</v>
      </c>
      <c r="I205" s="99">
        <f t="shared" si="1"/>
        <v>0</v>
      </c>
      <c r="J205" s="100">
        <f t="shared" si="3"/>
        <v>0</v>
      </c>
      <c r="K205" s="101">
        <f t="shared" si="2"/>
        <v>0</v>
      </c>
    </row>
    <row r="206" spans="1:11" ht="12.75" x14ac:dyDescent="0.2">
      <c r="A206" s="92">
        <v>45793</v>
      </c>
      <c r="B206" s="93" t="s">
        <v>41</v>
      </c>
      <c r="C206" s="94"/>
      <c r="D206" s="95"/>
      <c r="E206" s="96"/>
      <c r="F206" s="96"/>
      <c r="H206" s="98">
        <f t="shared" si="0"/>
        <v>0</v>
      </c>
      <c r="I206" s="99">
        <f t="shared" si="1"/>
        <v>0</v>
      </c>
      <c r="J206" s="100">
        <f t="shared" si="3"/>
        <v>0</v>
      </c>
      <c r="K206" s="101">
        <f t="shared" si="2"/>
        <v>0</v>
      </c>
    </row>
    <row r="207" spans="1:11" ht="12.75" x14ac:dyDescent="0.2">
      <c r="A207" s="92">
        <v>45796</v>
      </c>
      <c r="B207" s="93" t="s">
        <v>33</v>
      </c>
      <c r="C207" s="94"/>
      <c r="D207" s="95"/>
      <c r="E207" s="96"/>
      <c r="F207" s="96"/>
      <c r="H207" s="98">
        <f t="shared" si="0"/>
        <v>0</v>
      </c>
      <c r="I207" s="99">
        <f t="shared" si="1"/>
        <v>0</v>
      </c>
      <c r="J207" s="100">
        <f t="shared" si="3"/>
        <v>0</v>
      </c>
      <c r="K207" s="101">
        <f t="shared" si="2"/>
        <v>0</v>
      </c>
    </row>
    <row r="208" spans="1:11" ht="12.75" x14ac:dyDescent="0.2">
      <c r="A208" s="92">
        <v>45797</v>
      </c>
      <c r="B208" s="93" t="s">
        <v>35</v>
      </c>
      <c r="C208" s="94"/>
      <c r="D208" s="95"/>
      <c r="E208" s="96"/>
      <c r="F208" s="96"/>
      <c r="H208" s="98">
        <f t="shared" si="0"/>
        <v>0</v>
      </c>
      <c r="I208" s="99">
        <f t="shared" si="1"/>
        <v>0</v>
      </c>
      <c r="J208" s="100">
        <f t="shared" si="3"/>
        <v>0</v>
      </c>
      <c r="K208" s="101">
        <f t="shared" si="2"/>
        <v>0</v>
      </c>
    </row>
    <row r="209" spans="1:11" ht="12.75" x14ac:dyDescent="0.2">
      <c r="A209" s="92">
        <v>45798</v>
      </c>
      <c r="B209" s="93" t="s">
        <v>37</v>
      </c>
      <c r="C209" s="94"/>
      <c r="D209" s="95"/>
      <c r="E209" s="96"/>
      <c r="F209" s="96"/>
      <c r="H209" s="98">
        <f t="shared" si="0"/>
        <v>0</v>
      </c>
      <c r="I209" s="99">
        <f t="shared" si="1"/>
        <v>0</v>
      </c>
      <c r="J209" s="100">
        <f t="shared" si="3"/>
        <v>0</v>
      </c>
      <c r="K209" s="101">
        <f t="shared" si="2"/>
        <v>0</v>
      </c>
    </row>
    <row r="210" spans="1:11" ht="12.75" x14ac:dyDescent="0.2">
      <c r="A210" s="92">
        <v>45799</v>
      </c>
      <c r="B210" s="93" t="s">
        <v>39</v>
      </c>
      <c r="C210" s="94"/>
      <c r="D210" s="95"/>
      <c r="E210" s="96"/>
      <c r="F210" s="96"/>
      <c r="H210" s="98">
        <f t="shared" si="0"/>
        <v>0</v>
      </c>
      <c r="I210" s="99">
        <f t="shared" si="1"/>
        <v>0</v>
      </c>
      <c r="J210" s="100">
        <f t="shared" si="3"/>
        <v>0</v>
      </c>
      <c r="K210" s="101">
        <f t="shared" si="2"/>
        <v>0</v>
      </c>
    </row>
    <row r="211" spans="1:11" ht="12.75" x14ac:dyDescent="0.2">
      <c r="A211" s="92">
        <v>45800</v>
      </c>
      <c r="B211" s="93" t="s">
        <v>41</v>
      </c>
      <c r="C211" s="94"/>
      <c r="D211" s="95"/>
      <c r="E211" s="96"/>
      <c r="F211" s="96"/>
      <c r="H211" s="98">
        <f t="shared" si="0"/>
        <v>0</v>
      </c>
      <c r="I211" s="99">
        <f t="shared" si="1"/>
        <v>0</v>
      </c>
      <c r="J211" s="100">
        <f t="shared" si="3"/>
        <v>0</v>
      </c>
      <c r="K211" s="101">
        <f t="shared" si="2"/>
        <v>0</v>
      </c>
    </row>
    <row r="212" spans="1:11" ht="12.75" x14ac:dyDescent="0.2">
      <c r="A212" s="103">
        <v>45803</v>
      </c>
      <c r="B212" s="104" t="s">
        <v>33</v>
      </c>
      <c r="C212" s="105"/>
      <c r="D212" s="106"/>
      <c r="E212" s="107"/>
      <c r="F212" s="107"/>
      <c r="G212" s="108"/>
      <c r="H212" s="98">
        <f t="shared" si="0"/>
        <v>0</v>
      </c>
      <c r="I212" s="99">
        <f t="shared" si="1"/>
        <v>0</v>
      </c>
      <c r="J212" s="100">
        <f t="shared" si="3"/>
        <v>0</v>
      </c>
      <c r="K212" s="101">
        <f t="shared" si="2"/>
        <v>0</v>
      </c>
    </row>
    <row r="213" spans="1:11" ht="12.75" x14ac:dyDescent="0.2">
      <c r="A213" s="92">
        <v>45804</v>
      </c>
      <c r="B213" s="93" t="s">
        <v>35</v>
      </c>
      <c r="C213" s="94"/>
      <c r="D213" s="95"/>
      <c r="E213" s="96"/>
      <c r="F213" s="96"/>
      <c r="H213" s="98">
        <f t="shared" si="0"/>
        <v>0</v>
      </c>
      <c r="I213" s="99">
        <f t="shared" si="1"/>
        <v>0</v>
      </c>
      <c r="J213" s="100">
        <f t="shared" si="3"/>
        <v>0</v>
      </c>
      <c r="K213" s="101">
        <f t="shared" si="2"/>
        <v>0</v>
      </c>
    </row>
    <row r="214" spans="1:11" ht="12.75" x14ac:dyDescent="0.2">
      <c r="A214" s="92">
        <v>45805</v>
      </c>
      <c r="B214" s="93" t="s">
        <v>37</v>
      </c>
      <c r="C214" s="94"/>
      <c r="D214" s="95"/>
      <c r="E214" s="96"/>
      <c r="F214" s="96"/>
      <c r="H214" s="98">
        <f t="shared" si="0"/>
        <v>0</v>
      </c>
      <c r="I214" s="99">
        <f t="shared" si="1"/>
        <v>0</v>
      </c>
      <c r="J214" s="100">
        <f t="shared" si="3"/>
        <v>0</v>
      </c>
      <c r="K214" s="101">
        <f t="shared" si="2"/>
        <v>0</v>
      </c>
    </row>
    <row r="215" spans="1:11" ht="12.75" x14ac:dyDescent="0.2">
      <c r="A215" s="92">
        <v>45806</v>
      </c>
      <c r="B215" s="125" t="s">
        <v>39</v>
      </c>
      <c r="C215" s="94"/>
      <c r="D215" s="95"/>
      <c r="E215" s="96"/>
      <c r="F215" s="96"/>
      <c r="H215" s="98">
        <f t="shared" si="0"/>
        <v>0</v>
      </c>
      <c r="I215" s="99">
        <f t="shared" si="1"/>
        <v>0</v>
      </c>
      <c r="J215" s="100">
        <f t="shared" si="3"/>
        <v>0</v>
      </c>
      <c r="K215" s="101">
        <f t="shared" si="2"/>
        <v>0</v>
      </c>
    </row>
    <row r="216" spans="1:11" ht="12.75" hidden="1" x14ac:dyDescent="0.2">
      <c r="A216" s="95"/>
      <c r="B216" s="95"/>
      <c r="C216" s="94"/>
      <c r="D216" s="95"/>
      <c r="E216" s="96"/>
      <c r="F216" s="96"/>
      <c r="H216" s="98"/>
      <c r="I216" s="126"/>
      <c r="J216" s="127"/>
      <c r="K216" s="128"/>
    </row>
    <row r="217" spans="1:11" ht="12.75" hidden="1" x14ac:dyDescent="0.2">
      <c r="A217" s="95"/>
      <c r="B217" s="95"/>
      <c r="C217" s="94"/>
      <c r="D217" s="95"/>
      <c r="E217" s="96"/>
      <c r="F217" s="96"/>
      <c r="H217" s="98"/>
      <c r="I217" s="126"/>
      <c r="J217" s="127"/>
      <c r="K217" s="128"/>
    </row>
    <row r="218" spans="1:11" ht="12.75" hidden="1" x14ac:dyDescent="0.2">
      <c r="A218" s="95"/>
      <c r="B218" s="95"/>
      <c r="C218" s="94"/>
      <c r="D218" s="95"/>
      <c r="E218" s="96"/>
      <c r="F218" s="96"/>
      <c r="H218" s="98"/>
      <c r="I218" s="126"/>
      <c r="J218" s="127"/>
      <c r="K218" s="128"/>
    </row>
    <row r="219" spans="1:11" ht="12.75" hidden="1" x14ac:dyDescent="0.2">
      <c r="A219" s="95"/>
      <c r="B219" s="95"/>
      <c r="C219" s="94"/>
      <c r="D219" s="95"/>
      <c r="E219" s="96"/>
      <c r="F219" s="96"/>
      <c r="H219" s="98"/>
      <c r="I219" s="126"/>
      <c r="J219" s="127"/>
      <c r="K219" s="128"/>
    </row>
    <row r="220" spans="1:11" ht="12.75" hidden="1" x14ac:dyDescent="0.2">
      <c r="A220" s="95"/>
      <c r="B220" s="95"/>
      <c r="C220" s="94"/>
      <c r="D220" s="95"/>
      <c r="E220" s="96"/>
      <c r="F220" s="96"/>
      <c r="H220" s="98"/>
      <c r="I220" s="126"/>
      <c r="J220" s="127"/>
      <c r="K220" s="128"/>
    </row>
    <row r="221" spans="1:11" ht="12.75" hidden="1" x14ac:dyDescent="0.2">
      <c r="A221" s="95"/>
      <c r="B221" s="95"/>
      <c r="C221" s="94"/>
      <c r="D221" s="95"/>
      <c r="E221" s="96"/>
      <c r="F221" s="96"/>
      <c r="H221" s="98"/>
      <c r="I221" s="126"/>
      <c r="J221" s="127"/>
      <c r="K221" s="128"/>
    </row>
    <row r="222" spans="1:11" ht="12.75" hidden="1" x14ac:dyDescent="0.2">
      <c r="A222" s="95"/>
      <c r="B222" s="95"/>
      <c r="C222" s="94"/>
      <c r="D222" s="95"/>
      <c r="E222" s="96"/>
      <c r="F222" s="96"/>
      <c r="H222" s="98"/>
      <c r="I222" s="126"/>
      <c r="J222" s="127"/>
      <c r="K222" s="128"/>
    </row>
    <row r="223" spans="1:11" ht="12.75" hidden="1" x14ac:dyDescent="0.2">
      <c r="A223" s="95"/>
      <c r="B223" s="95"/>
      <c r="C223" s="94"/>
      <c r="D223" s="95"/>
      <c r="E223" s="96"/>
      <c r="F223" s="96"/>
      <c r="H223" s="98"/>
      <c r="I223" s="126"/>
      <c r="J223" s="127"/>
      <c r="K223" s="128"/>
    </row>
    <row r="224" spans="1:11" ht="12.75" hidden="1" x14ac:dyDescent="0.2">
      <c r="A224" s="95"/>
      <c r="B224" s="95"/>
      <c r="C224" s="94"/>
      <c r="D224" s="95"/>
      <c r="E224" s="96"/>
      <c r="F224" s="96"/>
      <c r="H224" s="98"/>
      <c r="I224" s="126"/>
      <c r="J224" s="127"/>
      <c r="K224" s="128"/>
    </row>
    <row r="225" spans="1:11" ht="12.75" hidden="1" x14ac:dyDescent="0.2">
      <c r="A225" s="95"/>
      <c r="B225" s="95"/>
      <c r="C225" s="94"/>
      <c r="D225" s="95"/>
      <c r="E225" s="96"/>
      <c r="F225" s="96"/>
      <c r="H225" s="98"/>
      <c r="I225" s="126"/>
      <c r="J225" s="127"/>
      <c r="K225" s="128"/>
    </row>
    <row r="226" spans="1:11" ht="12.75" hidden="1" x14ac:dyDescent="0.2">
      <c r="A226" s="95"/>
      <c r="B226" s="95"/>
      <c r="C226" s="94"/>
      <c r="D226" s="95"/>
      <c r="E226" s="96"/>
      <c r="F226" s="96"/>
      <c r="H226" s="98"/>
      <c r="I226" s="126"/>
      <c r="J226" s="127"/>
      <c r="K226" s="128"/>
    </row>
    <row r="227" spans="1:11" ht="12.75" hidden="1" x14ac:dyDescent="0.2">
      <c r="A227" s="95"/>
      <c r="B227" s="95"/>
      <c r="C227" s="94"/>
      <c r="D227" s="95"/>
      <c r="E227" s="96"/>
      <c r="F227" s="96"/>
      <c r="H227" s="98"/>
      <c r="I227" s="126"/>
      <c r="J227" s="127"/>
      <c r="K227" s="128"/>
    </row>
    <row r="228" spans="1:11" ht="12.75" hidden="1" x14ac:dyDescent="0.2">
      <c r="A228" s="95"/>
      <c r="B228" s="95"/>
      <c r="C228" s="94"/>
      <c r="D228" s="95"/>
      <c r="E228" s="96"/>
      <c r="F228" s="96"/>
      <c r="H228" s="98"/>
      <c r="I228" s="126"/>
      <c r="J228" s="127"/>
      <c r="K228" s="128"/>
    </row>
    <row r="229" spans="1:11" ht="12.75" hidden="1" x14ac:dyDescent="0.2">
      <c r="A229" s="95"/>
      <c r="B229" s="95"/>
      <c r="C229" s="94"/>
      <c r="D229" s="95"/>
      <c r="E229" s="96"/>
      <c r="F229" s="96"/>
      <c r="H229" s="98"/>
      <c r="I229" s="126"/>
      <c r="J229" s="127"/>
      <c r="K229" s="128"/>
    </row>
    <row r="230" spans="1:11" ht="12.75" hidden="1" x14ac:dyDescent="0.2">
      <c r="A230" s="95"/>
      <c r="B230" s="95"/>
      <c r="C230" s="94"/>
      <c r="D230" s="95"/>
      <c r="E230" s="96"/>
      <c r="F230" s="96"/>
      <c r="H230" s="98"/>
      <c r="I230" s="126"/>
      <c r="J230" s="127"/>
      <c r="K230" s="128"/>
    </row>
    <row r="231" spans="1:11" ht="12.75" hidden="1" x14ac:dyDescent="0.2">
      <c r="A231" s="95"/>
      <c r="B231" s="95"/>
      <c r="C231" s="94"/>
      <c r="D231" s="95"/>
      <c r="E231" s="96"/>
      <c r="F231" s="96"/>
      <c r="H231" s="98"/>
      <c r="I231" s="126"/>
      <c r="J231" s="127"/>
      <c r="K231" s="128"/>
    </row>
    <row r="232" spans="1:11" ht="12.75" hidden="1" x14ac:dyDescent="0.2">
      <c r="A232" s="95"/>
      <c r="B232" s="95"/>
      <c r="C232" s="94"/>
      <c r="D232" s="95"/>
      <c r="E232" s="96"/>
      <c r="F232" s="96"/>
      <c r="H232" s="98"/>
      <c r="I232" s="126"/>
      <c r="J232" s="127"/>
      <c r="K232" s="128"/>
    </row>
    <row r="233" spans="1:11" ht="12.75" hidden="1" x14ac:dyDescent="0.2">
      <c r="A233" s="95"/>
      <c r="B233" s="95"/>
      <c r="C233" s="94"/>
      <c r="D233" s="95"/>
      <c r="E233" s="96"/>
      <c r="F233" s="96"/>
      <c r="H233" s="98"/>
      <c r="I233" s="126"/>
      <c r="J233" s="127"/>
      <c r="K233" s="128"/>
    </row>
    <row r="234" spans="1:11" ht="12.75" hidden="1" x14ac:dyDescent="0.2">
      <c r="A234" s="95"/>
      <c r="B234" s="95"/>
      <c r="C234" s="94"/>
      <c r="D234" s="95"/>
      <c r="E234" s="96"/>
      <c r="F234" s="96"/>
      <c r="H234" s="98"/>
      <c r="I234" s="126"/>
      <c r="J234" s="127"/>
      <c r="K234" s="128"/>
    </row>
    <row r="235" spans="1:11" ht="12.75" hidden="1" x14ac:dyDescent="0.2">
      <c r="A235" s="95"/>
      <c r="B235" s="95"/>
      <c r="C235" s="94"/>
      <c r="D235" s="95"/>
      <c r="E235" s="96"/>
      <c r="F235" s="96"/>
      <c r="H235" s="98"/>
      <c r="I235" s="126"/>
      <c r="J235" s="127"/>
      <c r="K235" s="128"/>
    </row>
    <row r="236" spans="1:11" ht="12.75" hidden="1" x14ac:dyDescent="0.2">
      <c r="A236" s="95"/>
      <c r="B236" s="95"/>
      <c r="C236" s="94"/>
      <c r="D236" s="95"/>
      <c r="E236" s="96"/>
      <c r="F236" s="96"/>
      <c r="H236" s="98"/>
      <c r="I236" s="126"/>
      <c r="J236" s="127"/>
      <c r="K236" s="128"/>
    </row>
    <row r="237" spans="1:11" ht="12.75" hidden="1" x14ac:dyDescent="0.2">
      <c r="A237" s="95"/>
      <c r="B237" s="95"/>
      <c r="C237" s="94"/>
      <c r="D237" s="95"/>
      <c r="E237" s="96"/>
      <c r="F237" s="96"/>
      <c r="H237" s="98"/>
      <c r="I237" s="126"/>
      <c r="J237" s="127"/>
      <c r="K237" s="128"/>
    </row>
    <row r="238" spans="1:11" ht="12.75" hidden="1" x14ac:dyDescent="0.2">
      <c r="A238" s="95"/>
      <c r="B238" s="95"/>
      <c r="C238" s="94"/>
      <c r="D238" s="95"/>
      <c r="E238" s="96"/>
      <c r="F238" s="96"/>
      <c r="H238" s="98"/>
      <c r="I238" s="126"/>
      <c r="J238" s="127"/>
      <c r="K238" s="128"/>
    </row>
    <row r="239" spans="1:11" ht="12.75" hidden="1" x14ac:dyDescent="0.2">
      <c r="A239" s="95"/>
      <c r="B239" s="95"/>
      <c r="C239" s="94"/>
      <c r="D239" s="95"/>
      <c r="E239" s="96"/>
      <c r="F239" s="96"/>
      <c r="H239" s="98"/>
      <c r="I239" s="126"/>
      <c r="J239" s="127"/>
      <c r="K239" s="128"/>
    </row>
    <row r="240" spans="1:11" ht="12.75" hidden="1" x14ac:dyDescent="0.2">
      <c r="A240" s="95"/>
      <c r="B240" s="95"/>
      <c r="C240" s="94"/>
      <c r="D240" s="95"/>
      <c r="E240" s="96"/>
      <c r="F240" s="96"/>
      <c r="H240" s="98"/>
      <c r="I240" s="126"/>
      <c r="J240" s="127"/>
      <c r="K240" s="128"/>
    </row>
    <row r="241" spans="1:11" ht="12.75" hidden="1" x14ac:dyDescent="0.2">
      <c r="A241" s="95"/>
      <c r="B241" s="95"/>
      <c r="C241" s="94"/>
      <c r="D241" s="95"/>
      <c r="E241" s="96"/>
      <c r="F241" s="96"/>
      <c r="H241" s="98"/>
      <c r="I241" s="126"/>
      <c r="J241" s="127"/>
      <c r="K241" s="128"/>
    </row>
    <row r="242" spans="1:11" ht="12.75" hidden="1" x14ac:dyDescent="0.2">
      <c r="A242" s="95"/>
      <c r="B242" s="95"/>
      <c r="C242" s="94"/>
      <c r="D242" s="95"/>
      <c r="E242" s="96"/>
      <c r="F242" s="96"/>
      <c r="H242" s="98"/>
      <c r="I242" s="126"/>
      <c r="J242" s="127"/>
      <c r="K242" s="128"/>
    </row>
    <row r="243" spans="1:11" ht="12.75" hidden="1" x14ac:dyDescent="0.2">
      <c r="A243" s="95"/>
      <c r="B243" s="95"/>
      <c r="C243" s="94"/>
      <c r="D243" s="95"/>
      <c r="E243" s="96"/>
      <c r="F243" s="96"/>
      <c r="H243" s="98"/>
      <c r="I243" s="126"/>
      <c r="J243" s="127"/>
      <c r="K243" s="128"/>
    </row>
    <row r="244" spans="1:11" ht="12.75" hidden="1" x14ac:dyDescent="0.2">
      <c r="A244" s="95"/>
      <c r="B244" s="95"/>
      <c r="C244" s="94"/>
      <c r="D244" s="95"/>
      <c r="E244" s="96"/>
      <c r="F244" s="96"/>
      <c r="H244" s="98"/>
      <c r="I244" s="126"/>
      <c r="J244" s="127"/>
      <c r="K244" s="128"/>
    </row>
    <row r="245" spans="1:11" ht="12.75" hidden="1" x14ac:dyDescent="0.2">
      <c r="A245" s="95"/>
      <c r="B245" s="95"/>
      <c r="C245" s="94"/>
      <c r="D245" s="95"/>
      <c r="E245" s="96"/>
      <c r="F245" s="96"/>
      <c r="H245" s="98"/>
      <c r="I245" s="126"/>
      <c r="J245" s="127"/>
      <c r="K245" s="128"/>
    </row>
    <row r="246" spans="1:11" ht="12.75" hidden="1" x14ac:dyDescent="0.2">
      <c r="A246" s="95"/>
      <c r="B246" s="95"/>
      <c r="C246" s="94"/>
      <c r="D246" s="95"/>
      <c r="E246" s="96"/>
      <c r="F246" s="96"/>
      <c r="H246" s="98"/>
      <c r="I246" s="126"/>
      <c r="J246" s="127"/>
      <c r="K246" s="128"/>
    </row>
    <row r="247" spans="1:11" ht="12.75" hidden="1" x14ac:dyDescent="0.2">
      <c r="A247" s="95"/>
      <c r="B247" s="95"/>
      <c r="C247" s="94"/>
      <c r="D247" s="95"/>
      <c r="E247" s="96"/>
      <c r="F247" s="96"/>
      <c r="H247" s="98"/>
      <c r="I247" s="126"/>
      <c r="J247" s="127"/>
      <c r="K247" s="128"/>
    </row>
    <row r="248" spans="1:11" ht="12.75" hidden="1" x14ac:dyDescent="0.2">
      <c r="A248" s="95"/>
      <c r="B248" s="95"/>
      <c r="C248" s="94"/>
      <c r="D248" s="95"/>
      <c r="E248" s="96"/>
      <c r="F248" s="96"/>
      <c r="H248" s="98"/>
      <c r="I248" s="126"/>
      <c r="J248" s="127"/>
      <c r="K248" s="128"/>
    </row>
    <row r="249" spans="1:11" ht="12.75" hidden="1" x14ac:dyDescent="0.2">
      <c r="A249" s="95"/>
      <c r="B249" s="95"/>
      <c r="C249" s="94"/>
      <c r="D249" s="95"/>
      <c r="E249" s="96"/>
      <c r="F249" s="96"/>
      <c r="H249" s="98"/>
      <c r="I249" s="126"/>
      <c r="J249" s="127"/>
      <c r="K249" s="128"/>
    </row>
    <row r="250" spans="1:11" ht="12.75" hidden="1" x14ac:dyDescent="0.2">
      <c r="A250" s="95"/>
      <c r="B250" s="95"/>
      <c r="C250" s="94"/>
      <c r="D250" s="95"/>
      <c r="E250" s="96"/>
      <c r="F250" s="96"/>
      <c r="H250" s="98"/>
      <c r="I250" s="126"/>
      <c r="J250" s="127"/>
      <c r="K250" s="128"/>
    </row>
    <row r="251" spans="1:11" ht="12.75" hidden="1" x14ac:dyDescent="0.2">
      <c r="A251" s="95"/>
      <c r="B251" s="95"/>
      <c r="C251" s="94"/>
      <c r="D251" s="95"/>
      <c r="E251" s="96"/>
      <c r="F251" s="96"/>
      <c r="H251" s="98"/>
      <c r="I251" s="126"/>
      <c r="J251" s="127"/>
      <c r="K251" s="128"/>
    </row>
    <row r="252" spans="1:11" ht="12.75" hidden="1" x14ac:dyDescent="0.2">
      <c r="A252" s="95"/>
      <c r="B252" s="95"/>
      <c r="C252" s="94"/>
      <c r="D252" s="95"/>
      <c r="E252" s="96"/>
      <c r="F252" s="96"/>
      <c r="H252" s="98"/>
      <c r="I252" s="126"/>
      <c r="J252" s="127"/>
      <c r="K252" s="128"/>
    </row>
    <row r="253" spans="1:11" ht="12.75" hidden="1" x14ac:dyDescent="0.2">
      <c r="A253" s="95"/>
      <c r="B253" s="95"/>
      <c r="C253" s="94"/>
      <c r="D253" s="95"/>
      <c r="E253" s="96"/>
      <c r="F253" s="96"/>
      <c r="H253" s="98"/>
      <c r="I253" s="126"/>
      <c r="J253" s="127"/>
      <c r="K253" s="128"/>
    </row>
    <row r="254" spans="1:11" ht="12.75" hidden="1" x14ac:dyDescent="0.2">
      <c r="A254" s="95"/>
      <c r="B254" s="95"/>
      <c r="C254" s="94"/>
      <c r="D254" s="95"/>
      <c r="E254" s="96"/>
      <c r="F254" s="96"/>
      <c r="H254" s="98"/>
      <c r="I254" s="126"/>
      <c r="J254" s="127"/>
      <c r="K254" s="128"/>
    </row>
    <row r="255" spans="1:11" ht="12.75" hidden="1" x14ac:dyDescent="0.2">
      <c r="A255" s="95"/>
      <c r="B255" s="95"/>
      <c r="C255" s="94"/>
      <c r="D255" s="95"/>
      <c r="E255" s="96"/>
      <c r="F255" s="96"/>
      <c r="H255" s="98"/>
      <c r="I255" s="126"/>
      <c r="J255" s="127"/>
      <c r="K255" s="128"/>
    </row>
    <row r="256" spans="1:11" ht="12.75" hidden="1" x14ac:dyDescent="0.2">
      <c r="A256" s="95"/>
      <c r="B256" s="95"/>
      <c r="C256" s="94"/>
      <c r="D256" s="95"/>
      <c r="E256" s="96"/>
      <c r="F256" s="96"/>
      <c r="H256" s="98"/>
      <c r="I256" s="126"/>
      <c r="J256" s="127"/>
      <c r="K256" s="128"/>
    </row>
    <row r="257" spans="1:11" ht="12.75" hidden="1" x14ac:dyDescent="0.2">
      <c r="A257" s="95"/>
      <c r="B257" s="95"/>
      <c r="C257" s="94"/>
      <c r="D257" s="95"/>
      <c r="E257" s="96"/>
      <c r="F257" s="96"/>
      <c r="H257" s="98"/>
      <c r="I257" s="126"/>
      <c r="J257" s="127"/>
      <c r="K257" s="128"/>
    </row>
    <row r="258" spans="1:11" ht="12.75" hidden="1" x14ac:dyDescent="0.2">
      <c r="A258" s="95"/>
      <c r="B258" s="95"/>
      <c r="C258" s="94"/>
      <c r="D258" s="95"/>
      <c r="E258" s="96"/>
      <c r="F258" s="96"/>
      <c r="H258" s="98"/>
      <c r="I258" s="126"/>
      <c r="J258" s="127"/>
      <c r="K258" s="128"/>
    </row>
    <row r="259" spans="1:11" ht="12.75" hidden="1" x14ac:dyDescent="0.2">
      <c r="A259" s="95"/>
      <c r="B259" s="95"/>
      <c r="C259" s="94"/>
      <c r="D259" s="95"/>
      <c r="E259" s="96"/>
      <c r="F259" s="96"/>
      <c r="H259" s="98"/>
      <c r="I259" s="126"/>
      <c r="J259" s="127"/>
      <c r="K259" s="128"/>
    </row>
    <row r="260" spans="1:11" ht="12.75" hidden="1" x14ac:dyDescent="0.2">
      <c r="A260" s="95"/>
      <c r="B260" s="95"/>
      <c r="C260" s="94"/>
      <c r="D260" s="95"/>
      <c r="E260" s="96"/>
      <c r="F260" s="96"/>
      <c r="H260" s="98"/>
      <c r="I260" s="126"/>
      <c r="J260" s="127"/>
      <c r="K260" s="128"/>
    </row>
    <row r="261" spans="1:11" ht="12.75" hidden="1" x14ac:dyDescent="0.2">
      <c r="A261" s="95"/>
      <c r="B261" s="95"/>
      <c r="C261" s="94"/>
      <c r="D261" s="95"/>
      <c r="E261" s="96"/>
      <c r="F261" s="96"/>
      <c r="H261" s="98"/>
      <c r="I261" s="126"/>
      <c r="J261" s="127"/>
      <c r="K261" s="128"/>
    </row>
    <row r="262" spans="1:11" ht="12.75" hidden="1" x14ac:dyDescent="0.2">
      <c r="A262" s="95"/>
      <c r="B262" s="95"/>
      <c r="C262" s="94"/>
      <c r="D262" s="95"/>
      <c r="E262" s="96"/>
      <c r="F262" s="96"/>
      <c r="H262" s="98"/>
      <c r="I262" s="126"/>
      <c r="J262" s="127"/>
      <c r="K262" s="128"/>
    </row>
    <row r="263" spans="1:11" ht="12.75" hidden="1" x14ac:dyDescent="0.2">
      <c r="A263" s="95"/>
      <c r="B263" s="95"/>
      <c r="C263" s="94"/>
      <c r="D263" s="95"/>
      <c r="E263" s="96"/>
      <c r="F263" s="96"/>
      <c r="H263" s="98"/>
      <c r="I263" s="126"/>
      <c r="J263" s="127"/>
      <c r="K263" s="128"/>
    </row>
    <row r="264" spans="1:11" ht="12.75" hidden="1" x14ac:dyDescent="0.2">
      <c r="A264" s="95"/>
      <c r="B264" s="95"/>
      <c r="C264" s="94"/>
      <c r="D264" s="95"/>
      <c r="E264" s="96"/>
      <c r="F264" s="96"/>
      <c r="H264" s="98"/>
      <c r="I264" s="126"/>
      <c r="J264" s="127"/>
      <c r="K264" s="128"/>
    </row>
    <row r="265" spans="1:11" ht="12.75" hidden="1" x14ac:dyDescent="0.2">
      <c r="A265" s="95"/>
      <c r="B265" s="95"/>
      <c r="C265" s="94"/>
      <c r="D265" s="95"/>
      <c r="E265" s="96"/>
      <c r="F265" s="96"/>
      <c r="H265" s="98"/>
      <c r="I265" s="126"/>
      <c r="J265" s="127"/>
      <c r="K265" s="128"/>
    </row>
    <row r="266" spans="1:11" ht="12.75" hidden="1" x14ac:dyDescent="0.2">
      <c r="A266" s="95"/>
      <c r="B266" s="95"/>
      <c r="C266" s="94"/>
      <c r="D266" s="95"/>
      <c r="E266" s="96"/>
      <c r="F266" s="96"/>
      <c r="H266" s="98"/>
      <c r="I266" s="126"/>
      <c r="J266" s="127"/>
      <c r="K266" s="128"/>
    </row>
    <row r="267" spans="1:11" ht="12.75" hidden="1" x14ac:dyDescent="0.2">
      <c r="A267" s="95"/>
      <c r="B267" s="95"/>
      <c r="C267" s="94"/>
      <c r="D267" s="95"/>
      <c r="E267" s="96"/>
      <c r="F267" s="96"/>
      <c r="H267" s="98"/>
      <c r="I267" s="126"/>
      <c r="J267" s="127"/>
      <c r="K267" s="128"/>
    </row>
    <row r="268" spans="1:11" ht="12.75" hidden="1" x14ac:dyDescent="0.2">
      <c r="A268" s="95"/>
      <c r="B268" s="95"/>
      <c r="C268" s="94"/>
      <c r="D268" s="95"/>
      <c r="E268" s="96"/>
      <c r="F268" s="96"/>
      <c r="H268" s="98"/>
      <c r="I268" s="126"/>
      <c r="J268" s="127"/>
      <c r="K268" s="128"/>
    </row>
    <row r="269" spans="1:11" ht="12.75" hidden="1" x14ac:dyDescent="0.2">
      <c r="A269" s="95"/>
      <c r="B269" s="95"/>
      <c r="C269" s="94"/>
      <c r="D269" s="95"/>
      <c r="E269" s="96"/>
      <c r="F269" s="96"/>
      <c r="H269" s="98"/>
      <c r="I269" s="126"/>
      <c r="J269" s="127"/>
      <c r="K269" s="128"/>
    </row>
    <row r="270" spans="1:11" ht="12.75" hidden="1" x14ac:dyDescent="0.2">
      <c r="A270" s="95"/>
      <c r="B270" s="95"/>
      <c r="C270" s="94"/>
      <c r="D270" s="95"/>
      <c r="E270" s="96"/>
      <c r="F270" s="96"/>
      <c r="H270" s="98"/>
      <c r="I270" s="126"/>
      <c r="J270" s="127"/>
      <c r="K270" s="128"/>
    </row>
    <row r="271" spans="1:11" ht="12.75" hidden="1" x14ac:dyDescent="0.2">
      <c r="A271" s="95"/>
      <c r="B271" s="95"/>
      <c r="C271" s="94"/>
      <c r="D271" s="95"/>
      <c r="E271" s="96"/>
      <c r="F271" s="96"/>
      <c r="H271" s="98"/>
      <c r="I271" s="126"/>
      <c r="J271" s="127"/>
      <c r="K271" s="128"/>
    </row>
    <row r="272" spans="1:11" ht="12.75" hidden="1" x14ac:dyDescent="0.2">
      <c r="A272" s="95"/>
      <c r="B272" s="95"/>
      <c r="C272" s="94"/>
      <c r="D272" s="95"/>
      <c r="E272" s="96"/>
      <c r="F272" s="96"/>
      <c r="H272" s="98"/>
      <c r="I272" s="126"/>
      <c r="J272" s="127"/>
      <c r="K272" s="128"/>
    </row>
    <row r="273" spans="1:11" ht="12.75" hidden="1" x14ac:dyDescent="0.2">
      <c r="A273" s="95"/>
      <c r="B273" s="95"/>
      <c r="C273" s="94"/>
      <c r="D273" s="95"/>
      <c r="E273" s="96"/>
      <c r="F273" s="96"/>
      <c r="H273" s="98"/>
      <c r="I273" s="126"/>
      <c r="J273" s="127"/>
      <c r="K273" s="128"/>
    </row>
    <row r="274" spans="1:11" ht="12.75" hidden="1" x14ac:dyDescent="0.2">
      <c r="A274" s="95"/>
      <c r="B274" s="95"/>
      <c r="C274" s="94"/>
      <c r="D274" s="95"/>
      <c r="E274" s="96"/>
      <c r="F274" s="96"/>
      <c r="H274" s="98"/>
      <c r="I274" s="126"/>
      <c r="J274" s="127"/>
      <c r="K274" s="128"/>
    </row>
    <row r="275" spans="1:11" ht="12.75" hidden="1" x14ac:dyDescent="0.2">
      <c r="A275" s="95"/>
      <c r="B275" s="95"/>
      <c r="C275" s="94"/>
      <c r="D275" s="95"/>
      <c r="E275" s="96"/>
      <c r="F275" s="96"/>
      <c r="H275" s="98"/>
      <c r="I275" s="126"/>
      <c r="J275" s="127"/>
      <c r="K275" s="128"/>
    </row>
    <row r="276" spans="1:11" ht="12.75" hidden="1" x14ac:dyDescent="0.2">
      <c r="A276" s="95"/>
      <c r="B276" s="95"/>
      <c r="C276" s="94"/>
      <c r="D276" s="95"/>
      <c r="E276" s="96"/>
      <c r="F276" s="96"/>
      <c r="H276" s="98"/>
      <c r="I276" s="126"/>
      <c r="J276" s="127"/>
      <c r="K276" s="128"/>
    </row>
    <row r="277" spans="1:11" ht="12.75" hidden="1" x14ac:dyDescent="0.2">
      <c r="A277" s="95"/>
      <c r="B277" s="95"/>
      <c r="C277" s="94"/>
      <c r="D277" s="95"/>
      <c r="E277" s="96"/>
      <c r="F277" s="96"/>
      <c r="H277" s="98"/>
      <c r="I277" s="126"/>
      <c r="J277" s="127"/>
      <c r="K277" s="128"/>
    </row>
    <row r="278" spans="1:11" ht="12.75" hidden="1" x14ac:dyDescent="0.2">
      <c r="A278" s="95"/>
      <c r="B278" s="95"/>
      <c r="C278" s="94"/>
      <c r="D278" s="95"/>
      <c r="E278" s="96"/>
      <c r="F278" s="96"/>
      <c r="H278" s="98"/>
      <c r="I278" s="126"/>
      <c r="J278" s="127"/>
      <c r="K278" s="128"/>
    </row>
    <row r="279" spans="1:11" ht="12.75" hidden="1" x14ac:dyDescent="0.2">
      <c r="A279" s="95"/>
      <c r="B279" s="95"/>
      <c r="C279" s="94"/>
      <c r="D279" s="95"/>
      <c r="E279" s="96"/>
      <c r="F279" s="96"/>
      <c r="H279" s="98"/>
      <c r="I279" s="126"/>
      <c r="J279" s="127"/>
      <c r="K279" s="128"/>
    </row>
    <row r="280" spans="1:11" ht="12.75" hidden="1" x14ac:dyDescent="0.2">
      <c r="A280" s="95"/>
      <c r="B280" s="95"/>
      <c r="C280" s="94"/>
      <c r="D280" s="95"/>
      <c r="E280" s="96"/>
      <c r="F280" s="96"/>
      <c r="H280" s="98"/>
      <c r="I280" s="126"/>
      <c r="J280" s="127"/>
      <c r="K280" s="128"/>
    </row>
    <row r="281" spans="1:11" ht="12.75" hidden="1" x14ac:dyDescent="0.2">
      <c r="A281" s="95"/>
      <c r="B281" s="95"/>
      <c r="C281" s="94"/>
      <c r="D281" s="95"/>
      <c r="E281" s="96"/>
      <c r="F281" s="96"/>
      <c r="H281" s="98"/>
      <c r="I281" s="126"/>
      <c r="J281" s="127"/>
      <c r="K281" s="128"/>
    </row>
    <row r="282" spans="1:11" ht="12.75" hidden="1" x14ac:dyDescent="0.2">
      <c r="A282" s="95"/>
      <c r="B282" s="95"/>
      <c r="C282" s="94"/>
      <c r="D282" s="95"/>
      <c r="E282" s="96"/>
      <c r="F282" s="96"/>
      <c r="H282" s="98"/>
      <c r="I282" s="126"/>
      <c r="J282" s="127"/>
      <c r="K282" s="128"/>
    </row>
    <row r="283" spans="1:11" ht="12.75" hidden="1" x14ac:dyDescent="0.2">
      <c r="A283" s="95"/>
      <c r="B283" s="95"/>
      <c r="C283" s="94"/>
      <c r="D283" s="95"/>
      <c r="E283" s="96"/>
      <c r="F283" s="96"/>
      <c r="H283" s="98"/>
      <c r="I283" s="126"/>
      <c r="J283" s="127"/>
      <c r="K283" s="128"/>
    </row>
    <row r="284" spans="1:11" ht="12.75" hidden="1" x14ac:dyDescent="0.2">
      <c r="A284" s="95"/>
      <c r="B284" s="95"/>
      <c r="C284" s="94"/>
      <c r="D284" s="95"/>
      <c r="E284" s="96"/>
      <c r="F284" s="96"/>
      <c r="H284" s="98"/>
      <c r="I284" s="126"/>
      <c r="J284" s="127"/>
      <c r="K284" s="128"/>
    </row>
    <row r="285" spans="1:11" ht="12.75" hidden="1" x14ac:dyDescent="0.2">
      <c r="A285" s="95"/>
      <c r="B285" s="95"/>
      <c r="C285" s="94"/>
      <c r="D285" s="95"/>
      <c r="E285" s="96"/>
      <c r="F285" s="96"/>
      <c r="H285" s="98"/>
      <c r="I285" s="126"/>
      <c r="J285" s="127"/>
      <c r="K285" s="128"/>
    </row>
    <row r="286" spans="1:11" ht="12.75" hidden="1" x14ac:dyDescent="0.2">
      <c r="A286" s="95"/>
      <c r="B286" s="95"/>
      <c r="C286" s="94"/>
      <c r="D286" s="95"/>
      <c r="E286" s="96"/>
      <c r="F286" s="96"/>
      <c r="H286" s="98"/>
      <c r="I286" s="126"/>
      <c r="J286" s="127"/>
      <c r="K286" s="128"/>
    </row>
    <row r="287" spans="1:11" ht="12.75" hidden="1" x14ac:dyDescent="0.2">
      <c r="A287" s="95"/>
      <c r="B287" s="95"/>
      <c r="C287" s="94"/>
      <c r="D287" s="95"/>
      <c r="E287" s="96"/>
      <c r="F287" s="96"/>
      <c r="H287" s="98"/>
      <c r="I287" s="126"/>
      <c r="J287" s="127"/>
      <c r="K287" s="128"/>
    </row>
    <row r="288" spans="1:11" ht="12.75" hidden="1" x14ac:dyDescent="0.2">
      <c r="A288" s="95"/>
      <c r="B288" s="95"/>
      <c r="C288" s="94"/>
      <c r="D288" s="95"/>
      <c r="E288" s="96"/>
      <c r="F288" s="96"/>
      <c r="H288" s="98"/>
      <c r="I288" s="126"/>
      <c r="J288" s="127"/>
      <c r="K288" s="128"/>
    </row>
    <row r="289" spans="1:11" ht="12.75" hidden="1" x14ac:dyDescent="0.2">
      <c r="A289" s="95"/>
      <c r="B289" s="95"/>
      <c r="C289" s="94"/>
      <c r="D289" s="95"/>
      <c r="E289" s="96"/>
      <c r="F289" s="96"/>
      <c r="H289" s="98"/>
      <c r="I289" s="126"/>
      <c r="J289" s="127"/>
      <c r="K289" s="128"/>
    </row>
    <row r="290" spans="1:11" ht="12.75" hidden="1" x14ac:dyDescent="0.2">
      <c r="A290" s="95"/>
      <c r="B290" s="95"/>
      <c r="C290" s="94"/>
      <c r="D290" s="95"/>
      <c r="E290" s="96"/>
      <c r="F290" s="96"/>
      <c r="H290" s="98"/>
      <c r="I290" s="126"/>
      <c r="J290" s="127"/>
      <c r="K290" s="128"/>
    </row>
    <row r="291" spans="1:11" ht="12.75" hidden="1" x14ac:dyDescent="0.2">
      <c r="A291" s="95"/>
      <c r="B291" s="95"/>
      <c r="C291" s="94"/>
      <c r="D291" s="95"/>
      <c r="E291" s="96"/>
      <c r="F291" s="96"/>
      <c r="H291" s="98"/>
      <c r="I291" s="126"/>
      <c r="J291" s="127"/>
      <c r="K291" s="128"/>
    </row>
    <row r="292" spans="1:11" ht="12.75" hidden="1" x14ac:dyDescent="0.2">
      <c r="A292" s="95"/>
      <c r="B292" s="95"/>
      <c r="C292" s="94"/>
      <c r="D292" s="95"/>
      <c r="E292" s="96"/>
      <c r="F292" s="96"/>
      <c r="H292" s="98"/>
      <c r="I292" s="126"/>
      <c r="J292" s="127"/>
      <c r="K292" s="128"/>
    </row>
    <row r="293" spans="1:11" ht="12.75" hidden="1" x14ac:dyDescent="0.2">
      <c r="A293" s="95"/>
      <c r="B293" s="95"/>
      <c r="C293" s="94"/>
      <c r="D293" s="95"/>
      <c r="E293" s="96"/>
      <c r="F293" s="96"/>
      <c r="H293" s="98"/>
      <c r="I293" s="126"/>
      <c r="J293" s="127"/>
      <c r="K293" s="128"/>
    </row>
    <row r="294" spans="1:11" ht="12.75" hidden="1" x14ac:dyDescent="0.2">
      <c r="A294" s="95"/>
      <c r="B294" s="95"/>
      <c r="C294" s="94"/>
      <c r="D294" s="95"/>
      <c r="E294" s="96"/>
      <c r="F294" s="96"/>
      <c r="H294" s="98"/>
      <c r="I294" s="126"/>
      <c r="J294" s="127"/>
      <c r="K294" s="128"/>
    </row>
    <row r="295" spans="1:11" ht="12.75" hidden="1" x14ac:dyDescent="0.2">
      <c r="A295" s="95"/>
      <c r="B295" s="95"/>
      <c r="C295" s="94"/>
      <c r="D295" s="95"/>
      <c r="E295" s="96"/>
      <c r="F295" s="96"/>
      <c r="H295" s="98"/>
      <c r="I295" s="126"/>
      <c r="J295" s="127"/>
      <c r="K295" s="128"/>
    </row>
    <row r="296" spans="1:11" ht="12.75" hidden="1" x14ac:dyDescent="0.2">
      <c r="A296" s="95"/>
      <c r="B296" s="95"/>
      <c r="C296" s="94"/>
      <c r="D296" s="95"/>
      <c r="E296" s="96"/>
      <c r="F296" s="96"/>
      <c r="H296" s="98"/>
      <c r="I296" s="126"/>
      <c r="J296" s="127"/>
      <c r="K296" s="128"/>
    </row>
    <row r="297" spans="1:11" ht="12.75" hidden="1" x14ac:dyDescent="0.2">
      <c r="A297" s="95"/>
      <c r="B297" s="95"/>
      <c r="C297" s="94"/>
      <c r="D297" s="95"/>
      <c r="E297" s="96"/>
      <c r="F297" s="96"/>
      <c r="H297" s="98"/>
      <c r="I297" s="126"/>
      <c r="J297" s="127"/>
      <c r="K297" s="128"/>
    </row>
    <row r="298" spans="1:11" ht="12.75" hidden="1" x14ac:dyDescent="0.2">
      <c r="A298" s="95"/>
      <c r="B298" s="95"/>
      <c r="C298" s="94"/>
      <c r="D298" s="95"/>
      <c r="E298" s="96"/>
      <c r="F298" s="96"/>
      <c r="H298" s="98"/>
      <c r="I298" s="126"/>
      <c r="J298" s="127"/>
      <c r="K298" s="128"/>
    </row>
    <row r="299" spans="1:11" ht="12.75" hidden="1" x14ac:dyDescent="0.2">
      <c r="A299" s="95"/>
      <c r="B299" s="95"/>
      <c r="C299" s="94"/>
      <c r="D299" s="95"/>
      <c r="E299" s="96"/>
      <c r="F299" s="96"/>
      <c r="H299" s="98"/>
      <c r="I299" s="126"/>
      <c r="J299" s="127"/>
      <c r="K299" s="128"/>
    </row>
    <row r="300" spans="1:11" ht="12.75" hidden="1" x14ac:dyDescent="0.2">
      <c r="A300" s="95"/>
      <c r="B300" s="95"/>
      <c r="C300" s="94"/>
      <c r="D300" s="95"/>
      <c r="E300" s="96"/>
      <c r="F300" s="96"/>
      <c r="H300" s="98"/>
      <c r="I300" s="126"/>
      <c r="J300" s="127"/>
      <c r="K300" s="128"/>
    </row>
    <row r="301" spans="1:11" ht="12.75" hidden="1" x14ac:dyDescent="0.2">
      <c r="A301" s="95"/>
      <c r="B301" s="95"/>
      <c r="C301" s="94"/>
      <c r="D301" s="95"/>
      <c r="E301" s="96"/>
      <c r="F301" s="96"/>
      <c r="H301" s="98"/>
      <c r="I301" s="126"/>
      <c r="J301" s="127"/>
      <c r="K301" s="128"/>
    </row>
    <row r="302" spans="1:11" ht="12.75" hidden="1" x14ac:dyDescent="0.2">
      <c r="A302" s="95"/>
      <c r="B302" s="95"/>
      <c r="C302" s="94"/>
      <c r="D302" s="95"/>
      <c r="E302" s="96"/>
      <c r="F302" s="96"/>
      <c r="H302" s="98"/>
      <c r="I302" s="126"/>
      <c r="J302" s="127"/>
      <c r="K302" s="128"/>
    </row>
    <row r="303" spans="1:11" ht="12.75" hidden="1" x14ac:dyDescent="0.2">
      <c r="A303" s="95"/>
      <c r="B303" s="95"/>
      <c r="C303" s="94"/>
      <c r="D303" s="95"/>
      <c r="E303" s="96"/>
      <c r="F303" s="96"/>
      <c r="H303" s="98"/>
      <c r="I303" s="126"/>
      <c r="J303" s="127"/>
      <c r="K303" s="128"/>
    </row>
    <row r="304" spans="1:11" ht="12.75" hidden="1" x14ac:dyDescent="0.2">
      <c r="A304" s="95"/>
      <c r="B304" s="95"/>
      <c r="C304" s="94"/>
      <c r="D304" s="95"/>
      <c r="E304" s="96"/>
      <c r="F304" s="96"/>
      <c r="H304" s="98"/>
      <c r="I304" s="126"/>
      <c r="J304" s="127"/>
      <c r="K304" s="128"/>
    </row>
    <row r="305" spans="1:11" ht="12.75" hidden="1" x14ac:dyDescent="0.2">
      <c r="A305" s="95"/>
      <c r="B305" s="95"/>
      <c r="C305" s="94"/>
      <c r="D305" s="95"/>
      <c r="E305" s="96"/>
      <c r="F305" s="96"/>
      <c r="H305" s="98"/>
      <c r="I305" s="126"/>
      <c r="J305" s="127"/>
      <c r="K305" s="128"/>
    </row>
    <row r="306" spans="1:11" ht="12.75" hidden="1" x14ac:dyDescent="0.2">
      <c r="A306" s="95"/>
      <c r="B306" s="95"/>
      <c r="C306" s="94"/>
      <c r="D306" s="95"/>
      <c r="E306" s="96"/>
      <c r="F306" s="96"/>
      <c r="H306" s="98"/>
      <c r="I306" s="126"/>
      <c r="J306" s="127"/>
      <c r="K306" s="128"/>
    </row>
    <row r="307" spans="1:11" ht="12.75" hidden="1" x14ac:dyDescent="0.2">
      <c r="A307" s="95"/>
      <c r="B307" s="95"/>
      <c r="C307" s="94"/>
      <c r="D307" s="95"/>
      <c r="E307" s="96"/>
      <c r="F307" s="96"/>
      <c r="H307" s="98"/>
      <c r="I307" s="126"/>
      <c r="J307" s="127"/>
      <c r="K307" s="128"/>
    </row>
    <row r="308" spans="1:11" ht="12.75" hidden="1" x14ac:dyDescent="0.2">
      <c r="A308" s="95"/>
      <c r="B308" s="95"/>
      <c r="C308" s="94"/>
      <c r="D308" s="95"/>
      <c r="E308" s="96"/>
      <c r="F308" s="96"/>
      <c r="H308" s="98"/>
      <c r="I308" s="126"/>
      <c r="J308" s="127"/>
      <c r="K308" s="128"/>
    </row>
    <row r="309" spans="1:11" ht="12.75" hidden="1" x14ac:dyDescent="0.2">
      <c r="A309" s="95"/>
      <c r="B309" s="95"/>
      <c r="C309" s="94"/>
      <c r="D309" s="95"/>
      <c r="E309" s="96"/>
      <c r="F309" s="96"/>
      <c r="H309" s="98"/>
      <c r="I309" s="126"/>
      <c r="J309" s="127"/>
      <c r="K309" s="128"/>
    </row>
    <row r="310" spans="1:11" ht="12.75" hidden="1" x14ac:dyDescent="0.2">
      <c r="A310" s="95"/>
      <c r="B310" s="95"/>
      <c r="C310" s="94"/>
      <c r="D310" s="95"/>
      <c r="E310" s="96"/>
      <c r="F310" s="96"/>
      <c r="H310" s="98"/>
      <c r="I310" s="126"/>
      <c r="J310" s="127"/>
      <c r="K310" s="128"/>
    </row>
    <row r="311" spans="1:11" ht="12.75" hidden="1" x14ac:dyDescent="0.2">
      <c r="A311" s="95"/>
      <c r="B311" s="95"/>
      <c r="C311" s="94"/>
      <c r="D311" s="95"/>
      <c r="E311" s="96"/>
      <c r="F311" s="96"/>
      <c r="H311" s="98"/>
      <c r="I311" s="126"/>
      <c r="J311" s="127"/>
      <c r="K311" s="128"/>
    </row>
    <row r="312" spans="1:11" ht="12.75" hidden="1" x14ac:dyDescent="0.2">
      <c r="A312" s="95"/>
      <c r="B312" s="95"/>
      <c r="C312" s="94"/>
      <c r="D312" s="95"/>
      <c r="E312" s="96"/>
      <c r="F312" s="96"/>
      <c r="H312" s="98"/>
      <c r="I312" s="126"/>
      <c r="J312" s="127"/>
      <c r="K312" s="128"/>
    </row>
    <row r="313" spans="1:11" ht="12.75" hidden="1" x14ac:dyDescent="0.2">
      <c r="A313" s="95"/>
      <c r="B313" s="95"/>
      <c r="C313" s="94"/>
      <c r="D313" s="95"/>
      <c r="E313" s="96"/>
      <c r="F313" s="96"/>
      <c r="H313" s="98"/>
      <c r="I313" s="126"/>
      <c r="J313" s="127"/>
      <c r="K313" s="128"/>
    </row>
    <row r="314" spans="1:11" ht="12.75" hidden="1" x14ac:dyDescent="0.2">
      <c r="A314" s="95"/>
      <c r="B314" s="95"/>
      <c r="C314" s="94"/>
      <c r="D314" s="95"/>
      <c r="E314" s="96"/>
      <c r="F314" s="96"/>
      <c r="H314" s="98"/>
      <c r="I314" s="126"/>
      <c r="J314" s="127"/>
      <c r="K314" s="128"/>
    </row>
    <row r="315" spans="1:11" ht="12.75" hidden="1" x14ac:dyDescent="0.2">
      <c r="A315" s="95"/>
      <c r="B315" s="95"/>
      <c r="C315" s="94"/>
      <c r="D315" s="95"/>
      <c r="E315" s="96"/>
      <c r="F315" s="96"/>
      <c r="H315" s="98"/>
      <c r="I315" s="126"/>
      <c r="J315" s="127"/>
      <c r="K315" s="128"/>
    </row>
    <row r="316" spans="1:11" ht="12.75" hidden="1" x14ac:dyDescent="0.2">
      <c r="A316" s="95"/>
      <c r="B316" s="95"/>
      <c r="C316" s="94"/>
      <c r="D316" s="95"/>
      <c r="E316" s="96"/>
      <c r="F316" s="96"/>
      <c r="H316" s="98"/>
      <c r="I316" s="126"/>
      <c r="J316" s="127"/>
      <c r="K316" s="128"/>
    </row>
    <row r="317" spans="1:11" ht="12.75" hidden="1" x14ac:dyDescent="0.2">
      <c r="A317" s="95"/>
      <c r="B317" s="95"/>
      <c r="C317" s="94"/>
      <c r="D317" s="95"/>
      <c r="E317" s="96"/>
      <c r="F317" s="96"/>
      <c r="H317" s="98"/>
      <c r="I317" s="126"/>
      <c r="J317" s="127"/>
      <c r="K317" s="128"/>
    </row>
    <row r="318" spans="1:11" ht="12.75" hidden="1" x14ac:dyDescent="0.2">
      <c r="A318" s="95"/>
      <c r="B318" s="95"/>
      <c r="C318" s="94"/>
      <c r="D318" s="95"/>
      <c r="E318" s="96"/>
      <c r="F318" s="96"/>
      <c r="H318" s="98"/>
      <c r="I318" s="126"/>
      <c r="J318" s="127"/>
      <c r="K318" s="128"/>
    </row>
    <row r="319" spans="1:11" ht="12.75" hidden="1" x14ac:dyDescent="0.2">
      <c r="A319" s="95"/>
      <c r="B319" s="95"/>
      <c r="C319" s="94"/>
      <c r="D319" s="95"/>
      <c r="E319" s="96"/>
      <c r="F319" s="96"/>
      <c r="H319" s="98"/>
      <c r="I319" s="126"/>
      <c r="J319" s="127"/>
      <c r="K319" s="128"/>
    </row>
    <row r="320" spans="1:11" ht="12.75" hidden="1" x14ac:dyDescent="0.2">
      <c r="A320" s="95"/>
      <c r="B320" s="95"/>
      <c r="C320" s="94"/>
      <c r="D320" s="95"/>
      <c r="E320" s="96"/>
      <c r="F320" s="96"/>
      <c r="H320" s="98"/>
      <c r="I320" s="126"/>
      <c r="J320" s="127"/>
      <c r="K320" s="128"/>
    </row>
    <row r="321" spans="1:11" ht="12.75" hidden="1" x14ac:dyDescent="0.2">
      <c r="A321" s="95"/>
      <c r="B321" s="95"/>
      <c r="C321" s="94"/>
      <c r="D321" s="95"/>
      <c r="E321" s="96"/>
      <c r="F321" s="96"/>
      <c r="H321" s="98"/>
      <c r="I321" s="126"/>
      <c r="J321" s="127"/>
      <c r="K321" s="128"/>
    </row>
    <row r="322" spans="1:11" ht="12.75" hidden="1" x14ac:dyDescent="0.2">
      <c r="A322" s="95"/>
      <c r="B322" s="95"/>
      <c r="C322" s="94"/>
      <c r="D322" s="95"/>
      <c r="E322" s="96"/>
      <c r="F322" s="96"/>
      <c r="H322" s="98"/>
      <c r="I322" s="126"/>
      <c r="J322" s="127"/>
      <c r="K322" s="128"/>
    </row>
    <row r="323" spans="1:11" ht="12.75" hidden="1" x14ac:dyDescent="0.2">
      <c r="A323" s="95"/>
      <c r="B323" s="95"/>
      <c r="C323" s="94"/>
      <c r="D323" s="95"/>
      <c r="E323" s="96"/>
      <c r="F323" s="96"/>
      <c r="H323" s="98"/>
      <c r="I323" s="126"/>
      <c r="J323" s="127"/>
      <c r="K323" s="128"/>
    </row>
    <row r="324" spans="1:11" ht="12.75" hidden="1" x14ac:dyDescent="0.2">
      <c r="A324" s="95"/>
      <c r="B324" s="95"/>
      <c r="C324" s="94"/>
      <c r="D324" s="95"/>
      <c r="E324" s="96"/>
      <c r="F324" s="96"/>
      <c r="H324" s="98"/>
      <c r="I324" s="126"/>
      <c r="J324" s="127"/>
      <c r="K324" s="128"/>
    </row>
    <row r="325" spans="1:11" ht="12.75" hidden="1" x14ac:dyDescent="0.2">
      <c r="A325" s="95"/>
      <c r="B325" s="95"/>
      <c r="C325" s="94"/>
      <c r="D325" s="95"/>
      <c r="E325" s="96"/>
      <c r="F325" s="96"/>
      <c r="H325" s="98"/>
      <c r="I325" s="126"/>
      <c r="J325" s="127"/>
      <c r="K325" s="128"/>
    </row>
    <row r="326" spans="1:11" ht="12.75" hidden="1" x14ac:dyDescent="0.2">
      <c r="A326" s="95"/>
      <c r="B326" s="95"/>
      <c r="C326" s="94"/>
      <c r="D326" s="95"/>
      <c r="E326" s="96"/>
      <c r="F326" s="96"/>
      <c r="H326" s="98"/>
      <c r="I326" s="126"/>
      <c r="J326" s="127"/>
      <c r="K326" s="128"/>
    </row>
    <row r="327" spans="1:11" ht="12.75" hidden="1" x14ac:dyDescent="0.2">
      <c r="A327" s="95"/>
      <c r="B327" s="95"/>
      <c r="C327" s="94"/>
      <c r="D327" s="95"/>
      <c r="E327" s="96"/>
      <c r="F327" s="96"/>
      <c r="H327" s="98"/>
      <c r="I327" s="126"/>
      <c r="J327" s="127"/>
      <c r="K327" s="128"/>
    </row>
    <row r="328" spans="1:11" ht="12.75" hidden="1" x14ac:dyDescent="0.2">
      <c r="A328" s="95"/>
      <c r="B328" s="95"/>
      <c r="C328" s="94"/>
      <c r="D328" s="95"/>
      <c r="E328" s="96"/>
      <c r="F328" s="96"/>
      <c r="H328" s="98"/>
      <c r="I328" s="126"/>
      <c r="J328" s="127"/>
      <c r="K328" s="128"/>
    </row>
    <row r="329" spans="1:11" ht="12.75" hidden="1" x14ac:dyDescent="0.2">
      <c r="A329" s="95"/>
      <c r="B329" s="95"/>
      <c r="C329" s="94"/>
      <c r="D329" s="95"/>
      <c r="E329" s="96"/>
      <c r="F329" s="96"/>
      <c r="H329" s="98"/>
      <c r="I329" s="126"/>
      <c r="J329" s="127"/>
      <c r="K329" s="128"/>
    </row>
    <row r="330" spans="1:11" ht="12.75" hidden="1" x14ac:dyDescent="0.2">
      <c r="A330" s="95"/>
      <c r="B330" s="95"/>
      <c r="C330" s="94"/>
      <c r="D330" s="95"/>
      <c r="E330" s="96"/>
      <c r="F330" s="96"/>
      <c r="H330" s="98"/>
      <c r="I330" s="126"/>
      <c r="J330" s="127"/>
      <c r="K330" s="128"/>
    </row>
    <row r="331" spans="1:11" ht="12.75" hidden="1" x14ac:dyDescent="0.2">
      <c r="A331" s="95"/>
      <c r="B331" s="95"/>
      <c r="C331" s="94"/>
      <c r="D331" s="95"/>
      <c r="E331" s="96"/>
      <c r="F331" s="96"/>
      <c r="H331" s="98"/>
      <c r="I331" s="126"/>
      <c r="J331" s="127"/>
      <c r="K331" s="128"/>
    </row>
    <row r="332" spans="1:11" ht="12.75" hidden="1" x14ac:dyDescent="0.2">
      <c r="A332" s="95"/>
      <c r="B332" s="95"/>
      <c r="C332" s="94"/>
      <c r="D332" s="95"/>
      <c r="E332" s="96"/>
      <c r="F332" s="96"/>
      <c r="H332" s="98"/>
      <c r="I332" s="126"/>
      <c r="J332" s="127"/>
      <c r="K332" s="128"/>
    </row>
    <row r="333" spans="1:11" ht="12.75" hidden="1" x14ac:dyDescent="0.2">
      <c r="A333" s="95"/>
      <c r="B333" s="95"/>
      <c r="C333" s="94"/>
      <c r="D333" s="95"/>
      <c r="E333" s="96"/>
      <c r="F333" s="96"/>
      <c r="H333" s="98"/>
      <c r="I333" s="126"/>
      <c r="J333" s="127"/>
      <c r="K333" s="128"/>
    </row>
    <row r="334" spans="1:11" ht="12.75" hidden="1" x14ac:dyDescent="0.2">
      <c r="A334" s="95"/>
      <c r="B334" s="95"/>
      <c r="C334" s="94"/>
      <c r="D334" s="95"/>
      <c r="E334" s="96"/>
      <c r="F334" s="96"/>
      <c r="H334" s="98"/>
      <c r="I334" s="126"/>
      <c r="J334" s="127"/>
      <c r="K334" s="128"/>
    </row>
    <row r="335" spans="1:11" ht="12.75" hidden="1" x14ac:dyDescent="0.2">
      <c r="A335" s="95"/>
      <c r="B335" s="95"/>
      <c r="C335" s="94"/>
      <c r="D335" s="95"/>
      <c r="E335" s="96"/>
      <c r="F335" s="96"/>
      <c r="H335" s="98"/>
      <c r="I335" s="126"/>
      <c r="J335" s="127"/>
      <c r="K335" s="128"/>
    </row>
    <row r="336" spans="1:11" ht="12.75" hidden="1" x14ac:dyDescent="0.2">
      <c r="A336" s="95"/>
      <c r="B336" s="95"/>
      <c r="C336" s="94"/>
      <c r="D336" s="95"/>
      <c r="E336" s="96"/>
      <c r="F336" s="96"/>
      <c r="H336" s="98"/>
      <c r="I336" s="126"/>
      <c r="J336" s="127"/>
      <c r="K336" s="128"/>
    </row>
    <row r="337" spans="1:11" ht="12.75" hidden="1" x14ac:dyDescent="0.2">
      <c r="A337" s="95"/>
      <c r="B337" s="95"/>
      <c r="C337" s="94"/>
      <c r="D337" s="95"/>
      <c r="E337" s="96"/>
      <c r="F337" s="96"/>
      <c r="H337" s="98"/>
      <c r="I337" s="126"/>
      <c r="J337" s="127"/>
      <c r="K337" s="128"/>
    </row>
    <row r="338" spans="1:11" ht="12.75" hidden="1" x14ac:dyDescent="0.2">
      <c r="A338" s="95"/>
      <c r="B338" s="95"/>
      <c r="C338" s="94"/>
      <c r="D338" s="95"/>
      <c r="E338" s="96"/>
      <c r="F338" s="96"/>
      <c r="H338" s="98"/>
      <c r="I338" s="126"/>
      <c r="J338" s="127"/>
      <c r="K338" s="128"/>
    </row>
    <row r="339" spans="1:11" ht="12.75" hidden="1" x14ac:dyDescent="0.2">
      <c r="A339" s="95"/>
      <c r="B339" s="95"/>
      <c r="C339" s="94"/>
      <c r="D339" s="95"/>
      <c r="E339" s="96"/>
      <c r="F339" s="96"/>
      <c r="H339" s="98"/>
      <c r="I339" s="126"/>
      <c r="J339" s="127"/>
      <c r="K339" s="128"/>
    </row>
    <row r="340" spans="1:11" ht="12.75" hidden="1" x14ac:dyDescent="0.2">
      <c r="A340" s="95"/>
      <c r="B340" s="95"/>
      <c r="C340" s="94"/>
      <c r="D340" s="95"/>
      <c r="E340" s="96"/>
      <c r="F340" s="96"/>
      <c r="H340" s="98"/>
      <c r="I340" s="126"/>
      <c r="J340" s="127"/>
      <c r="K340" s="128"/>
    </row>
    <row r="341" spans="1:11" ht="12.75" hidden="1" x14ac:dyDescent="0.2">
      <c r="A341" s="95"/>
      <c r="B341" s="95"/>
      <c r="C341" s="94"/>
      <c r="D341" s="95"/>
      <c r="E341" s="96"/>
      <c r="F341" s="96"/>
      <c r="H341" s="98"/>
      <c r="I341" s="126"/>
      <c r="J341" s="127"/>
      <c r="K341" s="128"/>
    </row>
    <row r="342" spans="1:11" ht="12.75" hidden="1" x14ac:dyDescent="0.2">
      <c r="A342" s="95"/>
      <c r="B342" s="95"/>
      <c r="C342" s="94"/>
      <c r="D342" s="95"/>
      <c r="E342" s="96"/>
      <c r="F342" s="96"/>
      <c r="H342" s="98"/>
      <c r="I342" s="126"/>
      <c r="J342" s="127"/>
      <c r="K342" s="128"/>
    </row>
    <row r="343" spans="1:11" ht="12.75" hidden="1" x14ac:dyDescent="0.2">
      <c r="A343" s="95"/>
      <c r="B343" s="95"/>
      <c r="C343" s="94"/>
      <c r="D343" s="95"/>
      <c r="E343" s="96"/>
      <c r="F343" s="96"/>
      <c r="H343" s="98"/>
      <c r="I343" s="126"/>
      <c r="J343" s="127"/>
      <c r="K343" s="128"/>
    </row>
    <row r="344" spans="1:11" ht="12.75" hidden="1" x14ac:dyDescent="0.2">
      <c r="A344" s="95"/>
      <c r="B344" s="95"/>
      <c r="C344" s="94"/>
      <c r="D344" s="95"/>
      <c r="E344" s="96"/>
      <c r="F344" s="96"/>
      <c r="H344" s="98"/>
      <c r="I344" s="126"/>
      <c r="J344" s="127"/>
      <c r="K344" s="128"/>
    </row>
    <row r="345" spans="1:11" ht="12.75" hidden="1" x14ac:dyDescent="0.2">
      <c r="A345" s="95"/>
      <c r="B345" s="95"/>
      <c r="C345" s="94"/>
      <c r="D345" s="95"/>
      <c r="E345" s="96"/>
      <c r="F345" s="96"/>
      <c r="H345" s="98"/>
      <c r="I345" s="126"/>
      <c r="J345" s="127"/>
      <c r="K345" s="128"/>
    </row>
    <row r="346" spans="1:11" ht="12.75" hidden="1" x14ac:dyDescent="0.2">
      <c r="A346" s="95"/>
      <c r="B346" s="95"/>
      <c r="C346" s="94"/>
      <c r="D346" s="95"/>
      <c r="E346" s="96"/>
      <c r="F346" s="96"/>
      <c r="H346" s="98"/>
      <c r="I346" s="126"/>
      <c r="J346" s="127"/>
      <c r="K346" s="128"/>
    </row>
    <row r="347" spans="1:11" ht="12.75" hidden="1" x14ac:dyDescent="0.2">
      <c r="A347" s="95"/>
      <c r="B347" s="95"/>
      <c r="C347" s="94"/>
      <c r="D347" s="95"/>
      <c r="E347" s="96"/>
      <c r="F347" s="96"/>
      <c r="H347" s="98"/>
      <c r="I347" s="126"/>
      <c r="J347" s="127"/>
      <c r="K347" s="128"/>
    </row>
    <row r="348" spans="1:11" ht="12.75" hidden="1" x14ac:dyDescent="0.2">
      <c r="A348" s="95"/>
      <c r="B348" s="95"/>
      <c r="C348" s="94"/>
      <c r="D348" s="95"/>
      <c r="E348" s="96"/>
      <c r="F348" s="96"/>
      <c r="H348" s="98"/>
      <c r="I348" s="126"/>
      <c r="J348" s="127"/>
      <c r="K348" s="128"/>
    </row>
    <row r="349" spans="1:11" ht="12.75" hidden="1" x14ac:dyDescent="0.2">
      <c r="A349" s="95"/>
      <c r="B349" s="95"/>
      <c r="C349" s="94"/>
      <c r="D349" s="95"/>
      <c r="E349" s="96"/>
      <c r="F349" s="96"/>
      <c r="H349" s="98"/>
      <c r="I349" s="126"/>
      <c r="J349" s="127"/>
      <c r="K349" s="128"/>
    </row>
    <row r="350" spans="1:11" ht="12.75" hidden="1" x14ac:dyDescent="0.2">
      <c r="A350" s="95"/>
      <c r="B350" s="95"/>
      <c r="C350" s="94"/>
      <c r="D350" s="95"/>
      <c r="E350" s="96"/>
      <c r="F350" s="96"/>
      <c r="H350" s="98"/>
      <c r="I350" s="126"/>
      <c r="J350" s="127"/>
      <c r="K350" s="128"/>
    </row>
    <row r="351" spans="1:11" ht="12.75" hidden="1" x14ac:dyDescent="0.2">
      <c r="A351" s="95"/>
      <c r="B351" s="95"/>
      <c r="C351" s="94"/>
      <c r="D351" s="95"/>
      <c r="E351" s="96"/>
      <c r="F351" s="96"/>
      <c r="H351" s="98"/>
      <c r="I351" s="126"/>
      <c r="J351" s="127"/>
      <c r="K351" s="128"/>
    </row>
    <row r="352" spans="1:11" ht="12.75" hidden="1" x14ac:dyDescent="0.2">
      <c r="A352" s="95"/>
      <c r="B352" s="95"/>
      <c r="C352" s="94"/>
      <c r="D352" s="95"/>
      <c r="E352" s="96"/>
      <c r="F352" s="96"/>
      <c r="H352" s="98"/>
      <c r="I352" s="126"/>
      <c r="J352" s="127"/>
      <c r="K352" s="128"/>
    </row>
    <row r="353" spans="1:11" ht="12.75" hidden="1" x14ac:dyDescent="0.2">
      <c r="A353" s="95"/>
      <c r="B353" s="95"/>
      <c r="C353" s="94"/>
      <c r="D353" s="95"/>
      <c r="E353" s="96"/>
      <c r="F353" s="96"/>
      <c r="H353" s="98"/>
      <c r="I353" s="126"/>
      <c r="J353" s="127"/>
      <c r="K353" s="128"/>
    </row>
    <row r="354" spans="1:11" ht="12.75" hidden="1" x14ac:dyDescent="0.2">
      <c r="A354" s="95"/>
      <c r="B354" s="95"/>
      <c r="C354" s="94"/>
      <c r="D354" s="95"/>
      <c r="E354" s="96"/>
      <c r="F354" s="96"/>
      <c r="H354" s="98"/>
      <c r="I354" s="126"/>
      <c r="J354" s="127"/>
      <c r="K354" s="128"/>
    </row>
    <row r="355" spans="1:11" ht="12.75" hidden="1" x14ac:dyDescent="0.2">
      <c r="A355" s="95"/>
      <c r="B355" s="95"/>
      <c r="C355" s="94"/>
      <c r="D355" s="95"/>
      <c r="E355" s="96"/>
      <c r="F355" s="96"/>
      <c r="H355" s="98"/>
      <c r="I355" s="126"/>
      <c r="J355" s="127"/>
      <c r="K355" s="128"/>
    </row>
    <row r="356" spans="1:11" ht="12.75" hidden="1" x14ac:dyDescent="0.2">
      <c r="A356" s="95"/>
      <c r="B356" s="95"/>
      <c r="C356" s="94"/>
      <c r="D356" s="95"/>
      <c r="E356" s="96"/>
      <c r="F356" s="96"/>
      <c r="H356" s="98"/>
      <c r="I356" s="126"/>
      <c r="J356" s="127"/>
      <c r="K356" s="128"/>
    </row>
    <row r="357" spans="1:11" ht="12.75" hidden="1" x14ac:dyDescent="0.2">
      <c r="A357" s="95"/>
      <c r="B357" s="95"/>
      <c r="C357" s="94"/>
      <c r="D357" s="95"/>
      <c r="E357" s="96"/>
      <c r="F357" s="96"/>
      <c r="H357" s="98"/>
      <c r="I357" s="126"/>
      <c r="J357" s="127"/>
      <c r="K357" s="128"/>
    </row>
    <row r="358" spans="1:11" ht="12.75" hidden="1" x14ac:dyDescent="0.2">
      <c r="A358" s="95"/>
      <c r="B358" s="95"/>
      <c r="C358" s="94"/>
      <c r="D358" s="95"/>
      <c r="E358" s="96"/>
      <c r="F358" s="96"/>
      <c r="H358" s="98"/>
      <c r="I358" s="126"/>
      <c r="J358" s="127"/>
      <c r="K358" s="128"/>
    </row>
    <row r="359" spans="1:11" ht="12.75" hidden="1" x14ac:dyDescent="0.2">
      <c r="A359" s="95"/>
      <c r="B359" s="95"/>
      <c r="C359" s="94"/>
      <c r="D359" s="95"/>
      <c r="E359" s="96"/>
      <c r="F359" s="96"/>
      <c r="H359" s="98"/>
      <c r="I359" s="126"/>
      <c r="J359" s="127"/>
      <c r="K359" s="128"/>
    </row>
    <row r="360" spans="1:11" ht="12.75" hidden="1" x14ac:dyDescent="0.2">
      <c r="A360" s="95"/>
      <c r="B360" s="95"/>
      <c r="C360" s="94"/>
      <c r="D360" s="95"/>
      <c r="E360" s="96"/>
      <c r="F360" s="96"/>
      <c r="H360" s="98"/>
      <c r="I360" s="126"/>
      <c r="J360" s="127"/>
      <c r="K360" s="128"/>
    </row>
    <row r="361" spans="1:11" ht="12.75" hidden="1" x14ac:dyDescent="0.2">
      <c r="A361" s="95"/>
      <c r="B361" s="95"/>
      <c r="C361" s="94"/>
      <c r="D361" s="95"/>
      <c r="E361" s="96"/>
      <c r="F361" s="96"/>
      <c r="H361" s="98"/>
      <c r="I361" s="126"/>
      <c r="J361" s="127"/>
      <c r="K361" s="128"/>
    </row>
    <row r="362" spans="1:11" ht="12.75" hidden="1" x14ac:dyDescent="0.2">
      <c r="A362" s="95"/>
      <c r="B362" s="95"/>
      <c r="C362" s="94"/>
      <c r="D362" s="95"/>
      <c r="E362" s="96"/>
      <c r="F362" s="96"/>
      <c r="H362" s="98"/>
      <c r="I362" s="126"/>
      <c r="J362" s="127"/>
      <c r="K362" s="128"/>
    </row>
    <row r="363" spans="1:11" ht="12.75" hidden="1" x14ac:dyDescent="0.2">
      <c r="A363" s="95"/>
      <c r="B363" s="95"/>
      <c r="C363" s="94"/>
      <c r="D363" s="95"/>
      <c r="E363" s="96"/>
      <c r="F363" s="96"/>
      <c r="H363" s="98"/>
      <c r="I363" s="126"/>
      <c r="J363" s="127"/>
      <c r="K363" s="128"/>
    </row>
    <row r="364" spans="1:11" ht="12.75" hidden="1" x14ac:dyDescent="0.2">
      <c r="A364" s="95"/>
      <c r="B364" s="95"/>
      <c r="C364" s="94"/>
      <c r="D364" s="95"/>
      <c r="E364" s="96"/>
      <c r="F364" s="96"/>
      <c r="H364" s="98"/>
      <c r="I364" s="126"/>
      <c r="J364" s="127"/>
      <c r="K364" s="128"/>
    </row>
    <row r="365" spans="1:11" ht="12.75" hidden="1" x14ac:dyDescent="0.2">
      <c r="A365" s="95"/>
      <c r="B365" s="95"/>
      <c r="C365" s="94"/>
      <c r="D365" s="95"/>
      <c r="E365" s="96"/>
      <c r="F365" s="96"/>
      <c r="H365" s="98"/>
      <c r="I365" s="126"/>
      <c r="J365" s="127"/>
      <c r="K365" s="128"/>
    </row>
    <row r="366" spans="1:11" ht="12.75" hidden="1" x14ac:dyDescent="0.2">
      <c r="A366" s="95"/>
      <c r="B366" s="95"/>
      <c r="C366" s="94"/>
      <c r="D366" s="95"/>
      <c r="E366" s="96"/>
      <c r="F366" s="96"/>
      <c r="H366" s="98"/>
      <c r="I366" s="126"/>
      <c r="J366" s="127"/>
      <c r="K366" s="128"/>
    </row>
    <row r="367" spans="1:11" ht="12.75" hidden="1" x14ac:dyDescent="0.2">
      <c r="A367" s="95"/>
      <c r="B367" s="95"/>
      <c r="C367" s="94"/>
      <c r="D367" s="95"/>
      <c r="E367" s="96"/>
      <c r="F367" s="96"/>
      <c r="H367" s="98"/>
      <c r="I367" s="126"/>
      <c r="J367" s="127"/>
      <c r="K367" s="128"/>
    </row>
    <row r="368" spans="1:11" ht="12.75" hidden="1" x14ac:dyDescent="0.2">
      <c r="A368" s="95"/>
      <c r="B368" s="95"/>
      <c r="C368" s="94"/>
      <c r="D368" s="95"/>
      <c r="E368" s="96"/>
      <c r="F368" s="96"/>
      <c r="H368" s="98"/>
      <c r="I368" s="126"/>
      <c r="J368" s="127"/>
      <c r="K368" s="128"/>
    </row>
    <row r="369" spans="1:11" ht="12.75" hidden="1" x14ac:dyDescent="0.2">
      <c r="A369" s="95"/>
      <c r="B369" s="95"/>
      <c r="C369" s="94"/>
      <c r="D369" s="95"/>
      <c r="E369" s="96"/>
      <c r="F369" s="96"/>
      <c r="H369" s="98"/>
      <c r="I369" s="126"/>
      <c r="J369" s="127"/>
      <c r="K369" s="128"/>
    </row>
    <row r="370" spans="1:11" ht="12.75" hidden="1" x14ac:dyDescent="0.2">
      <c r="A370" s="95"/>
      <c r="B370" s="95"/>
      <c r="C370" s="94"/>
      <c r="D370" s="95"/>
      <c r="E370" s="96"/>
      <c r="F370" s="96"/>
      <c r="H370" s="98"/>
      <c r="I370" s="126"/>
      <c r="J370" s="127"/>
      <c r="K370" s="128"/>
    </row>
    <row r="371" spans="1:11" ht="12.75" hidden="1" x14ac:dyDescent="0.2">
      <c r="A371" s="95"/>
      <c r="B371" s="95"/>
      <c r="C371" s="94"/>
      <c r="D371" s="95"/>
      <c r="E371" s="96"/>
      <c r="F371" s="96"/>
      <c r="H371" s="98"/>
      <c r="I371" s="126"/>
      <c r="J371" s="127"/>
      <c r="K371" s="128"/>
    </row>
    <row r="372" spans="1:11" ht="12.75" hidden="1" x14ac:dyDescent="0.2">
      <c r="A372" s="95"/>
      <c r="B372" s="95"/>
      <c r="C372" s="94"/>
      <c r="D372" s="95"/>
      <c r="E372" s="96"/>
      <c r="F372" s="96"/>
      <c r="H372" s="98"/>
      <c r="I372" s="126"/>
      <c r="J372" s="127"/>
      <c r="K372" s="128"/>
    </row>
    <row r="373" spans="1:11" ht="12.75" hidden="1" x14ac:dyDescent="0.2">
      <c r="A373" s="95"/>
      <c r="B373" s="95"/>
      <c r="C373" s="94"/>
      <c r="D373" s="95"/>
      <c r="E373" s="96"/>
      <c r="F373" s="96"/>
      <c r="H373" s="98"/>
      <c r="I373" s="126"/>
      <c r="J373" s="127"/>
      <c r="K373" s="128"/>
    </row>
    <row r="374" spans="1:11" ht="12.75" hidden="1" x14ac:dyDescent="0.2">
      <c r="A374" s="95"/>
      <c r="B374" s="95"/>
      <c r="C374" s="94"/>
      <c r="D374" s="95"/>
      <c r="E374" s="96"/>
      <c r="F374" s="96"/>
      <c r="H374" s="98"/>
      <c r="I374" s="126"/>
      <c r="J374" s="127"/>
      <c r="K374" s="128"/>
    </row>
    <row r="375" spans="1:11" ht="12.75" hidden="1" x14ac:dyDescent="0.2">
      <c r="A375" s="95"/>
      <c r="B375" s="95"/>
      <c r="C375" s="94"/>
      <c r="D375" s="95"/>
      <c r="E375" s="96"/>
      <c r="F375" s="96"/>
      <c r="H375" s="98"/>
      <c r="I375" s="126"/>
      <c r="J375" s="127"/>
      <c r="K375" s="128"/>
    </row>
    <row r="376" spans="1:11" ht="12.75" hidden="1" x14ac:dyDescent="0.2">
      <c r="A376" s="95"/>
      <c r="B376" s="95"/>
      <c r="C376" s="94"/>
      <c r="D376" s="95"/>
      <c r="E376" s="96"/>
      <c r="F376" s="96"/>
      <c r="H376" s="98"/>
      <c r="I376" s="126"/>
      <c r="J376" s="127"/>
      <c r="K376" s="128"/>
    </row>
    <row r="377" spans="1:11" ht="12.75" hidden="1" x14ac:dyDescent="0.2">
      <c r="A377" s="95"/>
      <c r="B377" s="95"/>
      <c r="C377" s="94"/>
      <c r="D377" s="95"/>
      <c r="E377" s="96"/>
      <c r="F377" s="96"/>
      <c r="H377" s="98"/>
      <c r="I377" s="126"/>
      <c r="J377" s="127"/>
      <c r="K377" s="128"/>
    </row>
    <row r="378" spans="1:11" ht="12.75" hidden="1" x14ac:dyDescent="0.2">
      <c r="A378" s="95"/>
      <c r="B378" s="95"/>
      <c r="C378" s="94"/>
      <c r="D378" s="95"/>
      <c r="E378" s="96"/>
      <c r="F378" s="96"/>
      <c r="H378" s="98"/>
      <c r="I378" s="126"/>
      <c r="J378" s="127"/>
      <c r="K378" s="128"/>
    </row>
    <row r="379" spans="1:11" ht="12.75" hidden="1" x14ac:dyDescent="0.2">
      <c r="A379" s="95"/>
      <c r="B379" s="95"/>
      <c r="C379" s="94"/>
      <c r="D379" s="95"/>
      <c r="E379" s="96"/>
      <c r="F379" s="96"/>
      <c r="H379" s="98"/>
      <c r="I379" s="126"/>
      <c r="J379" s="127"/>
      <c r="K379" s="128"/>
    </row>
    <row r="380" spans="1:11" ht="12.75" hidden="1" x14ac:dyDescent="0.2">
      <c r="A380" s="95"/>
      <c r="B380" s="95"/>
      <c r="C380" s="94"/>
      <c r="D380" s="95"/>
      <c r="E380" s="96"/>
      <c r="F380" s="96"/>
      <c r="H380" s="98"/>
      <c r="I380" s="126"/>
      <c r="J380" s="127"/>
      <c r="K380" s="128"/>
    </row>
    <row r="381" spans="1:11" ht="12.75" hidden="1" x14ac:dyDescent="0.2">
      <c r="A381" s="95"/>
      <c r="B381" s="95"/>
      <c r="C381" s="94"/>
      <c r="D381" s="95"/>
      <c r="E381" s="96"/>
      <c r="F381" s="96"/>
      <c r="H381" s="98"/>
      <c r="I381" s="126"/>
      <c r="J381" s="127"/>
      <c r="K381" s="128"/>
    </row>
    <row r="382" spans="1:11" ht="12.75" hidden="1" x14ac:dyDescent="0.2">
      <c r="A382" s="95"/>
      <c r="B382" s="95"/>
      <c r="C382" s="94"/>
      <c r="D382" s="95"/>
      <c r="E382" s="96"/>
      <c r="F382" s="96"/>
      <c r="H382" s="98"/>
      <c r="I382" s="126"/>
      <c r="J382" s="127"/>
      <c r="K382" s="128"/>
    </row>
    <row r="383" spans="1:11" ht="12.75" hidden="1" x14ac:dyDescent="0.2">
      <c r="A383" s="95"/>
      <c r="B383" s="95"/>
      <c r="C383" s="94"/>
      <c r="D383" s="95"/>
      <c r="E383" s="96"/>
      <c r="F383" s="96"/>
      <c r="H383" s="98"/>
      <c r="I383" s="126"/>
      <c r="J383" s="127"/>
      <c r="K383" s="128"/>
    </row>
    <row r="384" spans="1:11" ht="12.75" hidden="1" x14ac:dyDescent="0.2">
      <c r="A384" s="95"/>
      <c r="B384" s="95"/>
      <c r="C384" s="94"/>
      <c r="D384" s="95"/>
      <c r="E384" s="96"/>
      <c r="F384" s="96"/>
      <c r="H384" s="98"/>
      <c r="I384" s="126"/>
      <c r="J384" s="127"/>
      <c r="K384" s="128"/>
    </row>
    <row r="385" spans="1:11" ht="12.75" hidden="1" x14ac:dyDescent="0.2">
      <c r="A385" s="95"/>
      <c r="B385" s="95"/>
      <c r="C385" s="94"/>
      <c r="D385" s="95"/>
      <c r="E385" s="96"/>
      <c r="F385" s="96"/>
      <c r="H385" s="98"/>
      <c r="I385" s="126"/>
      <c r="J385" s="127"/>
      <c r="K385" s="128"/>
    </row>
    <row r="386" spans="1:11" ht="12.75" hidden="1" x14ac:dyDescent="0.2">
      <c r="A386" s="95"/>
      <c r="B386" s="95"/>
      <c r="C386" s="94"/>
      <c r="D386" s="95"/>
      <c r="E386" s="96"/>
      <c r="F386" s="96"/>
      <c r="H386" s="98"/>
      <c r="I386" s="126"/>
      <c r="J386" s="127"/>
      <c r="K386" s="128"/>
    </row>
    <row r="387" spans="1:11" ht="12.75" hidden="1" x14ac:dyDescent="0.2">
      <c r="A387" s="95"/>
      <c r="B387" s="95"/>
      <c r="C387" s="94"/>
      <c r="D387" s="95"/>
      <c r="E387" s="96"/>
      <c r="F387" s="96"/>
      <c r="H387" s="98"/>
      <c r="I387" s="126"/>
      <c r="J387" s="127"/>
      <c r="K387" s="128"/>
    </row>
    <row r="388" spans="1:11" ht="12.75" hidden="1" x14ac:dyDescent="0.2">
      <c r="A388" s="95"/>
      <c r="B388" s="95"/>
      <c r="C388" s="94"/>
      <c r="D388" s="95"/>
      <c r="E388" s="96"/>
      <c r="F388" s="96"/>
      <c r="H388" s="98"/>
      <c r="I388" s="126"/>
      <c r="J388" s="127"/>
      <c r="K388" s="128"/>
    </row>
    <row r="389" spans="1:11" ht="12.75" hidden="1" x14ac:dyDescent="0.2">
      <c r="A389" s="95"/>
      <c r="B389" s="95"/>
      <c r="C389" s="94"/>
      <c r="D389" s="95"/>
      <c r="E389" s="96"/>
      <c r="F389" s="96"/>
      <c r="H389" s="98"/>
      <c r="I389" s="126"/>
      <c r="J389" s="127"/>
      <c r="K389" s="128"/>
    </row>
    <row r="390" spans="1:11" ht="12.75" hidden="1" x14ac:dyDescent="0.2">
      <c r="A390" s="95"/>
      <c r="B390" s="95"/>
      <c r="C390" s="94"/>
      <c r="D390" s="95"/>
      <c r="E390" s="96"/>
      <c r="F390" s="96"/>
      <c r="H390" s="98"/>
      <c r="I390" s="126"/>
      <c r="J390" s="127"/>
      <c r="K390" s="128"/>
    </row>
    <row r="391" spans="1:11" ht="12.75" hidden="1" x14ac:dyDescent="0.2">
      <c r="A391" s="95"/>
      <c r="B391" s="95"/>
      <c r="C391" s="94"/>
      <c r="D391" s="95"/>
      <c r="E391" s="96"/>
      <c r="F391" s="96"/>
      <c r="H391" s="98"/>
      <c r="I391" s="126"/>
      <c r="J391" s="127"/>
      <c r="K391" s="128"/>
    </row>
    <row r="392" spans="1:11" ht="12.75" hidden="1" x14ac:dyDescent="0.2">
      <c r="A392" s="95"/>
      <c r="B392" s="95"/>
      <c r="C392" s="94"/>
      <c r="D392" s="95"/>
      <c r="E392" s="96"/>
      <c r="F392" s="96"/>
      <c r="H392" s="98"/>
      <c r="I392" s="126"/>
      <c r="J392" s="127"/>
      <c r="K392" s="128"/>
    </row>
    <row r="393" spans="1:11" ht="12.75" hidden="1" x14ac:dyDescent="0.2">
      <c r="A393" s="95"/>
      <c r="B393" s="95"/>
      <c r="C393" s="94"/>
      <c r="D393" s="95"/>
      <c r="E393" s="96"/>
      <c r="F393" s="96"/>
      <c r="H393" s="98"/>
      <c r="I393" s="126"/>
      <c r="J393" s="127"/>
      <c r="K393" s="128"/>
    </row>
    <row r="394" spans="1:11" ht="12.75" hidden="1" x14ac:dyDescent="0.2">
      <c r="A394" s="95"/>
      <c r="B394" s="95"/>
      <c r="C394" s="94"/>
      <c r="D394" s="95"/>
      <c r="E394" s="96"/>
      <c r="F394" s="96"/>
      <c r="H394" s="98"/>
      <c r="I394" s="126"/>
      <c r="J394" s="127"/>
      <c r="K394" s="128"/>
    </row>
    <row r="395" spans="1:11" ht="12.75" hidden="1" x14ac:dyDescent="0.2">
      <c r="A395" s="95"/>
      <c r="B395" s="95"/>
      <c r="C395" s="94"/>
      <c r="D395" s="95"/>
      <c r="E395" s="96"/>
      <c r="F395" s="96"/>
      <c r="H395" s="98"/>
      <c r="I395" s="126"/>
      <c r="J395" s="127"/>
      <c r="K395" s="128"/>
    </row>
    <row r="396" spans="1:11" ht="12.75" hidden="1" x14ac:dyDescent="0.2">
      <c r="A396" s="95"/>
      <c r="B396" s="95"/>
      <c r="C396" s="94"/>
      <c r="D396" s="95"/>
      <c r="E396" s="96"/>
      <c r="F396" s="96"/>
      <c r="H396" s="98"/>
      <c r="I396" s="126"/>
      <c r="J396" s="127"/>
      <c r="K396" s="128"/>
    </row>
    <row r="397" spans="1:11" ht="12.75" hidden="1" x14ac:dyDescent="0.2">
      <c r="A397" s="95"/>
      <c r="B397" s="95"/>
      <c r="C397" s="94"/>
      <c r="D397" s="95"/>
      <c r="E397" s="96"/>
      <c r="F397" s="96"/>
      <c r="H397" s="98"/>
      <c r="I397" s="126"/>
      <c r="J397" s="127"/>
      <c r="K397" s="128"/>
    </row>
    <row r="398" spans="1:11" ht="12.75" hidden="1" x14ac:dyDescent="0.2">
      <c r="A398" s="95"/>
      <c r="B398" s="95"/>
      <c r="C398" s="94"/>
      <c r="D398" s="95"/>
      <c r="E398" s="96"/>
      <c r="F398" s="96"/>
      <c r="H398" s="98"/>
      <c r="I398" s="126"/>
      <c r="J398" s="127"/>
      <c r="K398" s="128"/>
    </row>
    <row r="399" spans="1:11" ht="12.75" hidden="1" x14ac:dyDescent="0.2">
      <c r="A399" s="95"/>
      <c r="B399" s="95"/>
      <c r="C399" s="94"/>
      <c r="D399" s="95"/>
      <c r="E399" s="96"/>
      <c r="F399" s="96"/>
      <c r="H399" s="98"/>
      <c r="I399" s="126"/>
      <c r="J399" s="127"/>
      <c r="K399" s="128"/>
    </row>
    <row r="400" spans="1:11" ht="12.75" hidden="1" x14ac:dyDescent="0.2">
      <c r="A400" s="95"/>
      <c r="B400" s="95"/>
      <c r="C400" s="94"/>
      <c r="D400" s="95"/>
      <c r="E400" s="96"/>
      <c r="F400" s="96"/>
      <c r="H400" s="98"/>
      <c r="I400" s="126"/>
      <c r="J400" s="127"/>
      <c r="K400" s="128"/>
    </row>
    <row r="401" spans="1:11" ht="12.75" hidden="1" x14ac:dyDescent="0.2">
      <c r="A401" s="95"/>
      <c r="B401" s="95"/>
      <c r="C401" s="94"/>
      <c r="D401" s="95"/>
      <c r="E401" s="96"/>
      <c r="F401" s="96"/>
      <c r="H401" s="98"/>
      <c r="I401" s="126"/>
      <c r="J401" s="127"/>
      <c r="K401" s="128"/>
    </row>
    <row r="402" spans="1:11" ht="12.75" hidden="1" x14ac:dyDescent="0.2">
      <c r="A402" s="95"/>
      <c r="B402" s="95"/>
      <c r="C402" s="94"/>
      <c r="D402" s="95"/>
      <c r="E402" s="96"/>
      <c r="F402" s="96"/>
      <c r="H402" s="98"/>
      <c r="I402" s="126"/>
      <c r="J402" s="127"/>
      <c r="K402" s="128"/>
    </row>
    <row r="403" spans="1:11" ht="12.75" hidden="1" x14ac:dyDescent="0.2">
      <c r="A403" s="95"/>
      <c r="B403" s="95"/>
      <c r="C403" s="94"/>
      <c r="D403" s="95"/>
      <c r="E403" s="96"/>
      <c r="F403" s="96"/>
      <c r="H403" s="98"/>
      <c r="I403" s="126"/>
      <c r="J403" s="127"/>
      <c r="K403" s="128"/>
    </row>
    <row r="404" spans="1:11" ht="12.75" hidden="1" x14ac:dyDescent="0.2">
      <c r="A404" s="95"/>
      <c r="B404" s="95"/>
      <c r="C404" s="94"/>
      <c r="D404" s="95"/>
      <c r="E404" s="96"/>
      <c r="F404" s="96"/>
      <c r="H404" s="98"/>
      <c r="I404" s="126"/>
      <c r="J404" s="127"/>
      <c r="K404" s="128"/>
    </row>
    <row r="405" spans="1:11" ht="12.75" hidden="1" x14ac:dyDescent="0.2">
      <c r="A405" s="95"/>
      <c r="B405" s="95"/>
      <c r="C405" s="94"/>
      <c r="D405" s="95"/>
      <c r="E405" s="96"/>
      <c r="F405" s="96"/>
      <c r="H405" s="98"/>
      <c r="I405" s="126"/>
      <c r="J405" s="127"/>
      <c r="K405" s="128"/>
    </row>
    <row r="406" spans="1:11" ht="12.75" hidden="1" x14ac:dyDescent="0.2">
      <c r="A406" s="95"/>
      <c r="B406" s="95"/>
      <c r="C406" s="94"/>
      <c r="D406" s="95"/>
      <c r="E406" s="96"/>
      <c r="F406" s="96"/>
      <c r="H406" s="98"/>
      <c r="I406" s="126"/>
      <c r="J406" s="127"/>
      <c r="K406" s="128"/>
    </row>
    <row r="407" spans="1:11" ht="12.75" hidden="1" x14ac:dyDescent="0.2">
      <c r="A407" s="95"/>
      <c r="B407" s="95"/>
      <c r="C407" s="94"/>
      <c r="D407" s="95"/>
      <c r="E407" s="96"/>
      <c r="F407" s="96"/>
      <c r="H407" s="98"/>
      <c r="I407" s="126"/>
      <c r="J407" s="127"/>
      <c r="K407" s="128"/>
    </row>
    <row r="408" spans="1:11" ht="12.75" hidden="1" x14ac:dyDescent="0.2">
      <c r="A408" s="95"/>
      <c r="B408" s="95"/>
      <c r="C408" s="94"/>
      <c r="D408" s="95"/>
      <c r="E408" s="96"/>
      <c r="F408" s="96"/>
      <c r="H408" s="98"/>
      <c r="I408" s="126"/>
      <c r="J408" s="127"/>
      <c r="K408" s="128"/>
    </row>
    <row r="409" spans="1:11" ht="12.75" hidden="1" x14ac:dyDescent="0.2">
      <c r="A409" s="95"/>
      <c r="B409" s="95"/>
      <c r="C409" s="94"/>
      <c r="D409" s="95"/>
      <c r="E409" s="96"/>
      <c r="F409" s="96"/>
      <c r="H409" s="98"/>
      <c r="I409" s="126"/>
      <c r="J409" s="127"/>
      <c r="K409" s="128"/>
    </row>
    <row r="410" spans="1:11" ht="12.75" hidden="1" x14ac:dyDescent="0.2">
      <c r="A410" s="95"/>
      <c r="B410" s="95"/>
      <c r="C410" s="94"/>
      <c r="D410" s="95"/>
      <c r="E410" s="96"/>
      <c r="F410" s="96"/>
      <c r="H410" s="98"/>
      <c r="I410" s="126"/>
      <c r="J410" s="127"/>
      <c r="K410" s="128"/>
    </row>
    <row r="411" spans="1:11" ht="12.75" hidden="1" x14ac:dyDescent="0.2">
      <c r="A411" s="95"/>
      <c r="B411" s="95"/>
      <c r="C411" s="94"/>
      <c r="D411" s="95"/>
      <c r="E411" s="96"/>
      <c r="F411" s="96"/>
      <c r="H411" s="98"/>
      <c r="I411" s="126"/>
      <c r="J411" s="127"/>
      <c r="K411" s="128"/>
    </row>
    <row r="412" spans="1:11" ht="12.75" hidden="1" x14ac:dyDescent="0.2">
      <c r="A412" s="95"/>
      <c r="B412" s="95"/>
      <c r="C412" s="94"/>
      <c r="D412" s="95"/>
      <c r="E412" s="96"/>
      <c r="F412" s="96"/>
      <c r="H412" s="98"/>
      <c r="I412" s="126"/>
      <c r="J412" s="127"/>
      <c r="K412" s="128"/>
    </row>
    <row r="413" spans="1:11" ht="12.75" hidden="1" x14ac:dyDescent="0.2">
      <c r="A413" s="95"/>
      <c r="B413" s="95"/>
      <c r="C413" s="94"/>
      <c r="D413" s="95"/>
      <c r="E413" s="96"/>
      <c r="F413" s="96"/>
      <c r="H413" s="98"/>
      <c r="I413" s="126"/>
      <c r="J413" s="127"/>
      <c r="K413" s="128"/>
    </row>
    <row r="414" spans="1:11" ht="12.75" hidden="1" x14ac:dyDescent="0.2">
      <c r="A414" s="95"/>
      <c r="B414" s="95"/>
      <c r="C414" s="94"/>
      <c r="D414" s="95"/>
      <c r="E414" s="96"/>
      <c r="F414" s="96"/>
      <c r="H414" s="98"/>
      <c r="I414" s="126"/>
      <c r="J414" s="127"/>
      <c r="K414" s="128"/>
    </row>
    <row r="415" spans="1:11" ht="12.75" hidden="1" x14ac:dyDescent="0.2">
      <c r="A415" s="95"/>
      <c r="B415" s="95"/>
      <c r="C415" s="94"/>
      <c r="D415" s="95"/>
      <c r="E415" s="96"/>
      <c r="F415" s="96"/>
      <c r="H415" s="98"/>
      <c r="I415" s="126"/>
      <c r="J415" s="127"/>
      <c r="K415" s="128"/>
    </row>
    <row r="416" spans="1:11" ht="12.75" hidden="1" x14ac:dyDescent="0.2">
      <c r="A416" s="95"/>
      <c r="B416" s="95"/>
      <c r="C416" s="94"/>
      <c r="D416" s="95"/>
      <c r="E416" s="96"/>
      <c r="F416" s="96"/>
      <c r="H416" s="98"/>
      <c r="I416" s="126"/>
      <c r="J416" s="127"/>
      <c r="K416" s="128"/>
    </row>
    <row r="417" spans="1:11" ht="12.75" hidden="1" x14ac:dyDescent="0.2">
      <c r="A417" s="95"/>
      <c r="B417" s="95"/>
      <c r="C417" s="94"/>
      <c r="D417" s="95"/>
      <c r="E417" s="96"/>
      <c r="F417" s="96"/>
      <c r="H417" s="98"/>
      <c r="I417" s="126"/>
      <c r="J417" s="127"/>
      <c r="K417" s="128"/>
    </row>
    <row r="418" spans="1:11" ht="12.75" hidden="1" x14ac:dyDescent="0.2">
      <c r="A418" s="95"/>
      <c r="B418" s="95"/>
      <c r="C418" s="94"/>
      <c r="D418" s="95"/>
      <c r="E418" s="96"/>
      <c r="F418" s="96"/>
      <c r="H418" s="98"/>
      <c r="I418" s="126"/>
      <c r="J418" s="127"/>
      <c r="K418" s="128"/>
    </row>
    <row r="419" spans="1:11" ht="12.75" hidden="1" x14ac:dyDescent="0.2">
      <c r="A419" s="95"/>
      <c r="B419" s="95"/>
      <c r="C419" s="94"/>
      <c r="D419" s="95"/>
      <c r="E419" s="96"/>
      <c r="F419" s="96"/>
      <c r="H419" s="98"/>
      <c r="I419" s="126"/>
      <c r="J419" s="127"/>
      <c r="K419" s="128"/>
    </row>
    <row r="420" spans="1:11" ht="12.75" hidden="1" x14ac:dyDescent="0.2">
      <c r="A420" s="95"/>
      <c r="B420" s="95"/>
      <c r="C420" s="94"/>
      <c r="D420" s="95"/>
      <c r="E420" s="96"/>
      <c r="F420" s="96"/>
      <c r="H420" s="98"/>
      <c r="I420" s="126"/>
      <c r="J420" s="127"/>
      <c r="K420" s="128"/>
    </row>
    <row r="421" spans="1:11" ht="12.75" hidden="1" x14ac:dyDescent="0.2">
      <c r="A421" s="95"/>
      <c r="B421" s="95"/>
      <c r="C421" s="94"/>
      <c r="D421" s="95"/>
      <c r="E421" s="96"/>
      <c r="F421" s="96"/>
      <c r="H421" s="98"/>
      <c r="I421" s="126"/>
      <c r="J421" s="127"/>
      <c r="K421" s="128"/>
    </row>
    <row r="422" spans="1:11" ht="12.75" hidden="1" x14ac:dyDescent="0.2">
      <c r="A422" s="95"/>
      <c r="B422" s="95"/>
      <c r="C422" s="94"/>
      <c r="D422" s="95"/>
      <c r="E422" s="96"/>
      <c r="F422" s="96"/>
      <c r="H422" s="98"/>
      <c r="I422" s="126"/>
      <c r="J422" s="127"/>
      <c r="K422" s="128"/>
    </row>
    <row r="423" spans="1:11" ht="12.75" hidden="1" x14ac:dyDescent="0.2">
      <c r="A423" s="95"/>
      <c r="B423" s="95"/>
      <c r="C423" s="94"/>
      <c r="D423" s="95"/>
      <c r="E423" s="96"/>
      <c r="F423" s="96"/>
      <c r="H423" s="98"/>
      <c r="I423" s="126"/>
      <c r="J423" s="127"/>
      <c r="K423" s="128"/>
    </row>
    <row r="424" spans="1:11" ht="12.75" hidden="1" x14ac:dyDescent="0.2">
      <c r="A424" s="95"/>
      <c r="B424" s="95"/>
      <c r="C424" s="94"/>
      <c r="D424" s="95"/>
      <c r="E424" s="96"/>
      <c r="F424" s="96"/>
      <c r="H424" s="98"/>
      <c r="I424" s="126"/>
      <c r="J424" s="127"/>
      <c r="K424" s="128"/>
    </row>
    <row r="425" spans="1:11" ht="12.75" hidden="1" x14ac:dyDescent="0.2">
      <c r="A425" s="95"/>
      <c r="B425" s="95"/>
      <c r="C425" s="94"/>
      <c r="D425" s="95"/>
      <c r="E425" s="96"/>
      <c r="F425" s="96"/>
      <c r="H425" s="98"/>
      <c r="I425" s="126"/>
      <c r="J425" s="127"/>
      <c r="K425" s="128"/>
    </row>
    <row r="426" spans="1:11" ht="12.75" hidden="1" x14ac:dyDescent="0.2">
      <c r="A426" s="95"/>
      <c r="B426" s="95"/>
      <c r="C426" s="94"/>
      <c r="D426" s="95"/>
      <c r="E426" s="96"/>
      <c r="F426" s="96"/>
      <c r="H426" s="98"/>
      <c r="I426" s="126"/>
      <c r="J426" s="127"/>
      <c r="K426" s="128"/>
    </row>
    <row r="427" spans="1:11" ht="12.75" hidden="1" x14ac:dyDescent="0.2">
      <c r="A427" s="95"/>
      <c r="B427" s="95"/>
      <c r="C427" s="94"/>
      <c r="D427" s="95"/>
      <c r="E427" s="96"/>
      <c r="F427" s="96"/>
      <c r="H427" s="98"/>
      <c r="I427" s="126"/>
      <c r="J427" s="127"/>
      <c r="K427" s="128"/>
    </row>
    <row r="428" spans="1:11" ht="12.75" hidden="1" x14ac:dyDescent="0.2">
      <c r="A428" s="95"/>
      <c r="B428" s="95"/>
      <c r="C428" s="94"/>
      <c r="D428" s="95"/>
      <c r="E428" s="96"/>
      <c r="F428" s="96"/>
      <c r="H428" s="98"/>
      <c r="I428" s="126"/>
      <c r="J428" s="127"/>
      <c r="K428" s="128"/>
    </row>
    <row r="429" spans="1:11" ht="12.75" hidden="1" x14ac:dyDescent="0.2">
      <c r="A429" s="95"/>
      <c r="B429" s="95"/>
      <c r="C429" s="94"/>
      <c r="D429" s="95"/>
      <c r="E429" s="96"/>
      <c r="F429" s="96"/>
      <c r="H429" s="98"/>
      <c r="I429" s="126"/>
      <c r="J429" s="127"/>
      <c r="K429" s="128"/>
    </row>
    <row r="430" spans="1:11" ht="12.75" hidden="1" x14ac:dyDescent="0.2">
      <c r="A430" s="95"/>
      <c r="B430" s="95"/>
      <c r="C430" s="94"/>
      <c r="D430" s="95"/>
      <c r="E430" s="96"/>
      <c r="F430" s="96"/>
      <c r="H430" s="98"/>
      <c r="I430" s="126"/>
      <c r="J430" s="127"/>
      <c r="K430" s="128"/>
    </row>
    <row r="431" spans="1:11" ht="12.75" hidden="1" x14ac:dyDescent="0.2">
      <c r="A431" s="95"/>
      <c r="B431" s="95"/>
      <c r="C431" s="94"/>
      <c r="D431" s="95"/>
      <c r="E431" s="96"/>
      <c r="F431" s="96"/>
      <c r="H431" s="98"/>
      <c r="I431" s="126"/>
      <c r="J431" s="127"/>
      <c r="K431" s="128"/>
    </row>
    <row r="432" spans="1:11" ht="12.75" hidden="1" x14ac:dyDescent="0.2">
      <c r="A432" s="95"/>
      <c r="B432" s="95"/>
      <c r="C432" s="94"/>
      <c r="D432" s="95"/>
      <c r="E432" s="96"/>
      <c r="F432" s="96"/>
      <c r="H432" s="98"/>
      <c r="I432" s="126"/>
      <c r="J432" s="127"/>
      <c r="K432" s="128"/>
    </row>
    <row r="433" spans="1:11" ht="12.75" hidden="1" x14ac:dyDescent="0.2">
      <c r="A433" s="95"/>
      <c r="B433" s="95"/>
      <c r="C433" s="94"/>
      <c r="D433" s="95"/>
      <c r="E433" s="96"/>
      <c r="F433" s="96"/>
      <c r="H433" s="98"/>
      <c r="I433" s="126"/>
      <c r="J433" s="127"/>
      <c r="K433" s="128"/>
    </row>
    <row r="434" spans="1:11" ht="12.75" hidden="1" x14ac:dyDescent="0.2">
      <c r="A434" s="95"/>
      <c r="B434" s="95"/>
      <c r="C434" s="94"/>
      <c r="D434" s="95"/>
      <c r="E434" s="96"/>
      <c r="F434" s="96"/>
      <c r="H434" s="98"/>
      <c r="I434" s="126"/>
      <c r="J434" s="127"/>
      <c r="K434" s="128"/>
    </row>
    <row r="435" spans="1:11" ht="12.75" hidden="1" x14ac:dyDescent="0.2">
      <c r="A435" s="95"/>
      <c r="B435" s="95"/>
      <c r="C435" s="94"/>
      <c r="D435" s="95"/>
      <c r="E435" s="96"/>
      <c r="F435" s="96"/>
      <c r="H435" s="98"/>
      <c r="I435" s="126"/>
      <c r="J435" s="127"/>
      <c r="K435" s="128"/>
    </row>
    <row r="436" spans="1:11" ht="12.75" hidden="1" x14ac:dyDescent="0.2">
      <c r="A436" s="95"/>
      <c r="B436" s="95"/>
      <c r="C436" s="94"/>
      <c r="D436" s="95"/>
      <c r="E436" s="96"/>
      <c r="F436" s="96"/>
      <c r="H436" s="98"/>
      <c r="I436" s="126"/>
      <c r="J436" s="127"/>
      <c r="K436" s="128"/>
    </row>
    <row r="437" spans="1:11" ht="12.75" hidden="1" x14ac:dyDescent="0.2">
      <c r="A437" s="95"/>
      <c r="B437" s="95"/>
      <c r="C437" s="94"/>
      <c r="D437" s="95"/>
      <c r="E437" s="96"/>
      <c r="F437" s="96"/>
      <c r="H437" s="98"/>
      <c r="I437" s="126"/>
      <c r="J437" s="127"/>
      <c r="K437" s="128"/>
    </row>
    <row r="438" spans="1:11" ht="12.75" hidden="1" x14ac:dyDescent="0.2">
      <c r="A438" s="95"/>
      <c r="B438" s="95"/>
      <c r="C438" s="94"/>
      <c r="D438" s="95"/>
      <c r="E438" s="96"/>
      <c r="F438" s="96"/>
      <c r="H438" s="98"/>
      <c r="I438" s="126"/>
      <c r="J438" s="127"/>
      <c r="K438" s="128"/>
    </row>
    <row r="439" spans="1:11" ht="12.75" hidden="1" x14ac:dyDescent="0.2">
      <c r="A439" s="95"/>
      <c r="B439" s="95"/>
      <c r="C439" s="94"/>
      <c r="D439" s="95"/>
      <c r="E439" s="96"/>
      <c r="F439" s="96"/>
      <c r="H439" s="98"/>
      <c r="I439" s="126"/>
      <c r="J439" s="127"/>
      <c r="K439" s="128"/>
    </row>
    <row r="440" spans="1:11" ht="12.75" hidden="1" x14ac:dyDescent="0.2">
      <c r="A440" s="95"/>
      <c r="B440" s="95"/>
      <c r="C440" s="94"/>
      <c r="D440" s="95"/>
      <c r="E440" s="96"/>
      <c r="F440" s="96"/>
      <c r="H440" s="98"/>
      <c r="I440" s="126"/>
      <c r="J440" s="127"/>
      <c r="K440" s="128"/>
    </row>
    <row r="441" spans="1:11" ht="12.75" hidden="1" x14ac:dyDescent="0.2">
      <c r="A441" s="95"/>
      <c r="B441" s="95"/>
      <c r="C441" s="94"/>
      <c r="D441" s="95"/>
      <c r="E441" s="96"/>
      <c r="F441" s="96"/>
      <c r="H441" s="98"/>
      <c r="I441" s="126"/>
      <c r="J441" s="127"/>
      <c r="K441" s="128"/>
    </row>
    <row r="442" spans="1:11" ht="12.75" hidden="1" x14ac:dyDescent="0.2">
      <c r="A442" s="95"/>
      <c r="B442" s="95"/>
      <c r="C442" s="94"/>
      <c r="D442" s="95"/>
      <c r="E442" s="96"/>
      <c r="F442" s="96"/>
      <c r="H442" s="98"/>
      <c r="I442" s="126"/>
      <c r="J442" s="127"/>
      <c r="K442" s="128"/>
    </row>
    <row r="443" spans="1:11" ht="12.75" hidden="1" x14ac:dyDescent="0.2">
      <c r="A443" s="95"/>
      <c r="B443" s="95"/>
      <c r="C443" s="94"/>
      <c r="D443" s="95"/>
      <c r="E443" s="96"/>
      <c r="F443" s="96"/>
      <c r="H443" s="98"/>
      <c r="I443" s="126"/>
      <c r="J443" s="127"/>
      <c r="K443" s="128"/>
    </row>
    <row r="444" spans="1:11" ht="12.75" hidden="1" x14ac:dyDescent="0.2">
      <c r="A444" s="95"/>
      <c r="B444" s="95"/>
      <c r="C444" s="94"/>
      <c r="D444" s="95"/>
      <c r="E444" s="96"/>
      <c r="F444" s="96"/>
      <c r="H444" s="98"/>
      <c r="I444" s="126"/>
      <c r="J444" s="127"/>
      <c r="K444" s="128"/>
    </row>
    <row r="445" spans="1:11" ht="12.75" hidden="1" x14ac:dyDescent="0.2">
      <c r="A445" s="95"/>
      <c r="B445" s="95"/>
      <c r="C445" s="94"/>
      <c r="D445" s="95"/>
      <c r="E445" s="96"/>
      <c r="F445" s="96"/>
      <c r="H445" s="98"/>
      <c r="I445" s="126"/>
      <c r="J445" s="127"/>
      <c r="K445" s="128"/>
    </row>
    <row r="446" spans="1:11" ht="12.75" hidden="1" x14ac:dyDescent="0.2">
      <c r="A446" s="95"/>
      <c r="B446" s="95"/>
      <c r="C446" s="94"/>
      <c r="D446" s="95"/>
      <c r="E446" s="96"/>
      <c r="F446" s="96"/>
      <c r="H446" s="98"/>
      <c r="I446" s="126"/>
      <c r="J446" s="127"/>
      <c r="K446" s="128"/>
    </row>
    <row r="447" spans="1:11" ht="12.75" hidden="1" x14ac:dyDescent="0.2">
      <c r="A447" s="95"/>
      <c r="B447" s="95"/>
      <c r="C447" s="94"/>
      <c r="D447" s="95"/>
      <c r="E447" s="96"/>
      <c r="F447" s="96"/>
      <c r="H447" s="98"/>
      <c r="I447" s="126"/>
      <c r="J447" s="127"/>
      <c r="K447" s="128"/>
    </row>
    <row r="448" spans="1:11" ht="12.75" hidden="1" x14ac:dyDescent="0.2">
      <c r="A448" s="95"/>
      <c r="B448" s="95"/>
      <c r="C448" s="94"/>
      <c r="D448" s="95"/>
      <c r="E448" s="96"/>
      <c r="F448" s="96"/>
      <c r="H448" s="98"/>
      <c r="I448" s="126"/>
      <c r="J448" s="127"/>
      <c r="K448" s="128"/>
    </row>
    <row r="449" spans="1:11" ht="12.75" hidden="1" x14ac:dyDescent="0.2">
      <c r="A449" s="95"/>
      <c r="B449" s="95"/>
      <c r="C449" s="94"/>
      <c r="D449" s="95"/>
      <c r="E449" s="96"/>
      <c r="F449" s="96"/>
      <c r="H449" s="98"/>
      <c r="I449" s="126"/>
      <c r="J449" s="127"/>
      <c r="K449" s="128"/>
    </row>
    <row r="450" spans="1:11" ht="12.75" hidden="1" x14ac:dyDescent="0.2">
      <c r="A450" s="95"/>
      <c r="B450" s="95"/>
      <c r="C450" s="94"/>
      <c r="D450" s="95"/>
      <c r="E450" s="96"/>
      <c r="F450" s="96"/>
      <c r="H450" s="98"/>
      <c r="I450" s="126"/>
      <c r="J450" s="127"/>
      <c r="K450" s="128"/>
    </row>
    <row r="451" spans="1:11" ht="12.75" hidden="1" x14ac:dyDescent="0.2">
      <c r="A451" s="95"/>
      <c r="B451" s="95"/>
      <c r="C451" s="94"/>
      <c r="D451" s="95"/>
      <c r="E451" s="96"/>
      <c r="F451" s="96"/>
      <c r="H451" s="98"/>
      <c r="I451" s="126"/>
      <c r="J451" s="127"/>
      <c r="K451" s="128"/>
    </row>
    <row r="452" spans="1:11" ht="12.75" hidden="1" x14ac:dyDescent="0.2">
      <c r="A452" s="95"/>
      <c r="B452" s="95"/>
      <c r="C452" s="94"/>
      <c r="D452" s="95"/>
      <c r="E452" s="96"/>
      <c r="F452" s="96"/>
      <c r="H452" s="98"/>
      <c r="I452" s="126"/>
      <c r="J452" s="127"/>
      <c r="K452" s="128"/>
    </row>
    <row r="453" spans="1:11" ht="12.75" hidden="1" x14ac:dyDescent="0.2">
      <c r="A453" s="95"/>
      <c r="B453" s="95"/>
      <c r="C453" s="94"/>
      <c r="D453" s="95"/>
      <c r="E453" s="96"/>
      <c r="F453" s="96"/>
      <c r="H453" s="98"/>
      <c r="I453" s="126"/>
      <c r="J453" s="127"/>
      <c r="K453" s="128"/>
    </row>
    <row r="454" spans="1:11" ht="12.75" hidden="1" x14ac:dyDescent="0.2">
      <c r="A454" s="95"/>
      <c r="B454" s="95"/>
      <c r="C454" s="94"/>
      <c r="D454" s="95"/>
      <c r="E454" s="96"/>
      <c r="F454" s="96"/>
      <c r="H454" s="98"/>
      <c r="I454" s="126"/>
      <c r="J454" s="127"/>
      <c r="K454" s="128"/>
    </row>
    <row r="455" spans="1:11" ht="12.75" hidden="1" x14ac:dyDescent="0.2">
      <c r="A455" s="95"/>
      <c r="B455" s="95"/>
      <c r="C455" s="94"/>
      <c r="D455" s="95"/>
      <c r="E455" s="96"/>
      <c r="F455" s="96"/>
      <c r="H455" s="98"/>
      <c r="I455" s="126"/>
      <c r="J455" s="127"/>
      <c r="K455" s="128"/>
    </row>
    <row r="456" spans="1:11" ht="12.75" hidden="1" x14ac:dyDescent="0.2">
      <c r="A456" s="95"/>
      <c r="B456" s="95"/>
      <c r="C456" s="94"/>
      <c r="D456" s="95"/>
      <c r="E456" s="96"/>
      <c r="F456" s="96"/>
      <c r="H456" s="98"/>
      <c r="I456" s="126"/>
      <c r="J456" s="127"/>
      <c r="K456" s="128"/>
    </row>
    <row r="457" spans="1:11" ht="12.75" hidden="1" x14ac:dyDescent="0.2">
      <c r="A457" s="95"/>
      <c r="B457" s="95"/>
      <c r="C457" s="94"/>
      <c r="D457" s="95"/>
      <c r="E457" s="96"/>
      <c r="F457" s="96"/>
      <c r="H457" s="98"/>
      <c r="I457" s="126"/>
      <c r="J457" s="127"/>
      <c r="K457" s="128"/>
    </row>
    <row r="458" spans="1:11" ht="12.75" hidden="1" x14ac:dyDescent="0.2">
      <c r="A458" s="95"/>
      <c r="B458" s="95"/>
      <c r="C458" s="94"/>
      <c r="D458" s="95"/>
      <c r="E458" s="96"/>
      <c r="F458" s="96"/>
      <c r="H458" s="98"/>
      <c r="I458" s="126"/>
      <c r="J458" s="127"/>
      <c r="K458" s="128"/>
    </row>
    <row r="459" spans="1:11" ht="12.75" hidden="1" x14ac:dyDescent="0.2">
      <c r="A459" s="95"/>
      <c r="B459" s="95"/>
      <c r="C459" s="94"/>
      <c r="D459" s="95"/>
      <c r="E459" s="96"/>
      <c r="F459" s="96"/>
      <c r="H459" s="98"/>
      <c r="I459" s="126"/>
      <c r="J459" s="127"/>
      <c r="K459" s="128"/>
    </row>
    <row r="460" spans="1:11" ht="12.75" hidden="1" x14ac:dyDescent="0.2">
      <c r="A460" s="95"/>
      <c r="B460" s="95"/>
      <c r="C460" s="94"/>
      <c r="D460" s="95"/>
      <c r="E460" s="96"/>
      <c r="F460" s="96"/>
      <c r="H460" s="98"/>
      <c r="I460" s="126"/>
      <c r="J460" s="127"/>
      <c r="K460" s="128"/>
    </row>
    <row r="461" spans="1:11" ht="12.75" hidden="1" x14ac:dyDescent="0.2">
      <c r="A461" s="95"/>
      <c r="B461" s="95"/>
      <c r="C461" s="94"/>
      <c r="D461" s="95"/>
      <c r="E461" s="96"/>
      <c r="F461" s="96"/>
      <c r="H461" s="98"/>
      <c r="I461" s="126"/>
      <c r="J461" s="127"/>
      <c r="K461" s="128"/>
    </row>
    <row r="462" spans="1:11" ht="12.75" hidden="1" x14ac:dyDescent="0.2">
      <c r="A462" s="95"/>
      <c r="B462" s="95"/>
      <c r="C462" s="94"/>
      <c r="D462" s="95"/>
      <c r="E462" s="96"/>
      <c r="F462" s="96"/>
      <c r="H462" s="98"/>
      <c r="I462" s="126"/>
      <c r="J462" s="127"/>
      <c r="K462" s="128"/>
    </row>
    <row r="463" spans="1:11" ht="12.75" hidden="1" x14ac:dyDescent="0.2">
      <c r="A463" s="95"/>
      <c r="B463" s="95"/>
      <c r="C463" s="94"/>
      <c r="D463" s="95"/>
      <c r="E463" s="96"/>
      <c r="F463" s="96"/>
      <c r="H463" s="98"/>
      <c r="I463" s="126"/>
      <c r="J463" s="127"/>
      <c r="K463" s="128"/>
    </row>
    <row r="464" spans="1:11" ht="12.75" hidden="1" x14ac:dyDescent="0.2">
      <c r="A464" s="95"/>
      <c r="B464" s="95"/>
      <c r="C464" s="94"/>
      <c r="D464" s="95"/>
      <c r="E464" s="96"/>
      <c r="F464" s="96"/>
      <c r="H464" s="98"/>
      <c r="I464" s="126"/>
      <c r="J464" s="127"/>
      <c r="K464" s="128"/>
    </row>
    <row r="465" spans="1:11" ht="12.75" hidden="1" x14ac:dyDescent="0.2">
      <c r="A465" s="95"/>
      <c r="B465" s="95"/>
      <c r="C465" s="94"/>
      <c r="D465" s="95"/>
      <c r="E465" s="96"/>
      <c r="F465" s="96"/>
      <c r="H465" s="98"/>
      <c r="I465" s="126"/>
      <c r="J465" s="127"/>
      <c r="K465" s="128"/>
    </row>
    <row r="466" spans="1:11" ht="12.75" hidden="1" x14ac:dyDescent="0.2">
      <c r="A466" s="95"/>
      <c r="B466" s="95"/>
      <c r="C466" s="94"/>
      <c r="D466" s="95"/>
      <c r="E466" s="96"/>
      <c r="F466" s="96"/>
      <c r="H466" s="98"/>
      <c r="I466" s="126"/>
      <c r="J466" s="127"/>
      <c r="K466" s="128"/>
    </row>
    <row r="467" spans="1:11" ht="12.75" hidden="1" x14ac:dyDescent="0.2">
      <c r="A467" s="95"/>
      <c r="B467" s="95"/>
      <c r="C467" s="94"/>
      <c r="D467" s="95"/>
      <c r="E467" s="96"/>
      <c r="F467" s="96"/>
      <c r="H467" s="98"/>
      <c r="I467" s="126"/>
      <c r="J467" s="127"/>
      <c r="K467" s="128"/>
    </row>
    <row r="468" spans="1:11" ht="12.75" hidden="1" x14ac:dyDescent="0.2">
      <c r="A468" s="95"/>
      <c r="B468" s="95"/>
      <c r="C468" s="94"/>
      <c r="D468" s="95"/>
      <c r="E468" s="96"/>
      <c r="F468" s="96"/>
      <c r="H468" s="98"/>
      <c r="I468" s="126"/>
      <c r="J468" s="127"/>
      <c r="K468" s="128"/>
    </row>
    <row r="469" spans="1:11" ht="12.75" hidden="1" x14ac:dyDescent="0.2">
      <c r="A469" s="95"/>
      <c r="B469" s="95"/>
      <c r="C469" s="94"/>
      <c r="D469" s="95"/>
      <c r="E469" s="96"/>
      <c r="F469" s="96"/>
      <c r="H469" s="98"/>
      <c r="I469" s="126"/>
      <c r="J469" s="127"/>
      <c r="K469" s="128"/>
    </row>
    <row r="470" spans="1:11" ht="12.75" hidden="1" x14ac:dyDescent="0.2">
      <c r="A470" s="95"/>
      <c r="B470" s="95"/>
      <c r="C470" s="94"/>
      <c r="D470" s="95"/>
      <c r="E470" s="96"/>
      <c r="F470" s="96"/>
      <c r="H470" s="98"/>
      <c r="I470" s="126"/>
      <c r="J470" s="127"/>
      <c r="K470" s="128"/>
    </row>
    <row r="471" spans="1:11" ht="12.75" hidden="1" x14ac:dyDescent="0.2">
      <c r="A471" s="95"/>
      <c r="B471" s="95"/>
      <c r="C471" s="94"/>
      <c r="D471" s="95"/>
      <c r="E471" s="96"/>
      <c r="F471" s="96"/>
      <c r="H471" s="98"/>
      <c r="I471" s="126"/>
      <c r="J471" s="127"/>
      <c r="K471" s="128"/>
    </row>
    <row r="472" spans="1:11" ht="12.75" hidden="1" x14ac:dyDescent="0.2">
      <c r="A472" s="95"/>
      <c r="B472" s="95"/>
      <c r="C472" s="94"/>
      <c r="D472" s="95"/>
      <c r="E472" s="96"/>
      <c r="F472" s="96"/>
      <c r="H472" s="98"/>
      <c r="I472" s="126"/>
      <c r="J472" s="127"/>
      <c r="K472" s="128"/>
    </row>
    <row r="473" spans="1:11" ht="12.75" hidden="1" x14ac:dyDescent="0.2">
      <c r="A473" s="95"/>
      <c r="B473" s="95"/>
      <c r="C473" s="94"/>
      <c r="D473" s="95"/>
      <c r="E473" s="96"/>
      <c r="F473" s="96"/>
      <c r="H473" s="98"/>
      <c r="I473" s="126"/>
      <c r="J473" s="127"/>
      <c r="K473" s="128"/>
    </row>
    <row r="474" spans="1:11" ht="12.75" hidden="1" x14ac:dyDescent="0.2">
      <c r="A474" s="95"/>
      <c r="B474" s="95"/>
      <c r="C474" s="94"/>
      <c r="D474" s="95"/>
      <c r="E474" s="96"/>
      <c r="F474" s="96"/>
      <c r="H474" s="98"/>
      <c r="I474" s="126"/>
      <c r="J474" s="127"/>
      <c r="K474" s="128"/>
    </row>
    <row r="475" spans="1:11" ht="12.75" hidden="1" x14ac:dyDescent="0.2">
      <c r="A475" s="95"/>
      <c r="B475" s="95"/>
      <c r="C475" s="94"/>
      <c r="D475" s="95"/>
      <c r="E475" s="96"/>
      <c r="F475" s="96"/>
      <c r="H475" s="98"/>
      <c r="I475" s="126"/>
      <c r="J475" s="127"/>
      <c r="K475" s="128"/>
    </row>
    <row r="476" spans="1:11" ht="12.75" hidden="1" x14ac:dyDescent="0.2">
      <c r="A476" s="95"/>
      <c r="B476" s="95"/>
      <c r="C476" s="94"/>
      <c r="D476" s="95"/>
      <c r="E476" s="96"/>
      <c r="F476" s="96"/>
      <c r="H476" s="98"/>
      <c r="I476" s="126"/>
      <c r="J476" s="127"/>
      <c r="K476" s="128"/>
    </row>
    <row r="477" spans="1:11" ht="12.75" hidden="1" x14ac:dyDescent="0.2">
      <c r="A477" s="95"/>
      <c r="B477" s="95"/>
      <c r="C477" s="94"/>
      <c r="D477" s="95"/>
      <c r="E477" s="96"/>
      <c r="F477" s="96"/>
      <c r="H477" s="98"/>
      <c r="I477" s="126"/>
      <c r="J477" s="127"/>
      <c r="K477" s="128"/>
    </row>
    <row r="478" spans="1:11" ht="12.75" hidden="1" x14ac:dyDescent="0.2">
      <c r="A478" s="95"/>
      <c r="B478" s="95"/>
      <c r="C478" s="94"/>
      <c r="D478" s="95"/>
      <c r="E478" s="96"/>
      <c r="F478" s="96"/>
      <c r="H478" s="98"/>
      <c r="I478" s="126"/>
      <c r="J478" s="127"/>
      <c r="K478" s="128"/>
    </row>
    <row r="479" spans="1:11" ht="12.75" hidden="1" x14ac:dyDescent="0.2">
      <c r="A479" s="95"/>
      <c r="B479" s="95"/>
      <c r="C479" s="94"/>
      <c r="D479" s="95"/>
      <c r="E479" s="96"/>
      <c r="F479" s="96"/>
      <c r="H479" s="98"/>
      <c r="I479" s="126"/>
      <c r="J479" s="127"/>
      <c r="K479" s="128"/>
    </row>
    <row r="480" spans="1:11" ht="12.75" hidden="1" x14ac:dyDescent="0.2">
      <c r="A480" s="95"/>
      <c r="B480" s="95"/>
      <c r="C480" s="94"/>
      <c r="D480" s="95"/>
      <c r="E480" s="96"/>
      <c r="F480" s="96"/>
      <c r="H480" s="98"/>
      <c r="I480" s="126"/>
      <c r="J480" s="127"/>
      <c r="K480" s="128"/>
    </row>
    <row r="481" spans="1:11" ht="12.75" hidden="1" x14ac:dyDescent="0.2">
      <c r="A481" s="95"/>
      <c r="B481" s="95"/>
      <c r="C481" s="94"/>
      <c r="D481" s="95"/>
      <c r="E481" s="96"/>
      <c r="F481" s="96"/>
      <c r="H481" s="98"/>
      <c r="I481" s="126"/>
      <c r="J481" s="127"/>
      <c r="K481" s="128"/>
    </row>
    <row r="482" spans="1:11" ht="12.75" hidden="1" x14ac:dyDescent="0.2">
      <c r="A482" s="95"/>
      <c r="B482" s="95"/>
      <c r="C482" s="94"/>
      <c r="D482" s="95"/>
      <c r="E482" s="96"/>
      <c r="F482" s="96"/>
      <c r="H482" s="98"/>
      <c r="I482" s="126"/>
      <c r="J482" s="127"/>
      <c r="K482" s="128"/>
    </row>
    <row r="483" spans="1:11" ht="12.75" hidden="1" x14ac:dyDescent="0.2">
      <c r="A483" s="95"/>
      <c r="B483" s="95"/>
      <c r="C483" s="94"/>
      <c r="D483" s="95"/>
      <c r="E483" s="96"/>
      <c r="F483" s="96"/>
      <c r="H483" s="98"/>
      <c r="I483" s="126"/>
      <c r="J483" s="127"/>
      <c r="K483" s="128"/>
    </row>
    <row r="484" spans="1:11" ht="12.75" hidden="1" x14ac:dyDescent="0.2">
      <c r="A484" s="95"/>
      <c r="B484" s="95"/>
      <c r="C484" s="94"/>
      <c r="D484" s="95"/>
      <c r="E484" s="96"/>
      <c r="F484" s="96"/>
      <c r="H484" s="98"/>
      <c r="I484" s="126"/>
      <c r="J484" s="127"/>
      <c r="K484" s="128"/>
    </row>
    <row r="485" spans="1:11" ht="12.75" hidden="1" x14ac:dyDescent="0.2">
      <c r="A485" s="95"/>
      <c r="B485" s="95"/>
      <c r="C485" s="94"/>
      <c r="D485" s="95"/>
      <c r="E485" s="96"/>
      <c r="F485" s="96"/>
      <c r="H485" s="98"/>
      <c r="I485" s="126"/>
      <c r="J485" s="127"/>
      <c r="K485" s="128"/>
    </row>
    <row r="486" spans="1:11" ht="12.75" hidden="1" x14ac:dyDescent="0.2">
      <c r="A486" s="95"/>
      <c r="B486" s="95"/>
      <c r="C486" s="94"/>
      <c r="D486" s="95"/>
      <c r="E486" s="96"/>
      <c r="F486" s="96"/>
      <c r="H486" s="98"/>
      <c r="I486" s="126"/>
      <c r="J486" s="127"/>
      <c r="K486" s="128"/>
    </row>
    <row r="487" spans="1:11" ht="12.75" hidden="1" x14ac:dyDescent="0.2">
      <c r="A487" s="95"/>
      <c r="B487" s="95"/>
      <c r="C487" s="94"/>
      <c r="D487" s="95"/>
      <c r="E487" s="96"/>
      <c r="F487" s="96"/>
      <c r="H487" s="98"/>
      <c r="I487" s="126"/>
      <c r="J487" s="127"/>
      <c r="K487" s="128"/>
    </row>
    <row r="488" spans="1:11" ht="12.75" hidden="1" x14ac:dyDescent="0.2">
      <c r="A488" s="95"/>
      <c r="B488" s="95"/>
      <c r="C488" s="94"/>
      <c r="D488" s="95"/>
      <c r="E488" s="96"/>
      <c r="F488" s="96"/>
      <c r="H488" s="98"/>
      <c r="I488" s="126"/>
      <c r="J488" s="127"/>
      <c r="K488" s="128"/>
    </row>
    <row r="489" spans="1:11" ht="12.75" hidden="1" x14ac:dyDescent="0.2">
      <c r="A489" s="95"/>
      <c r="B489" s="95"/>
      <c r="C489" s="94"/>
      <c r="D489" s="95"/>
      <c r="E489" s="96"/>
      <c r="F489" s="96"/>
      <c r="H489" s="98"/>
      <c r="I489" s="126"/>
      <c r="J489" s="127"/>
      <c r="K489" s="128"/>
    </row>
    <row r="490" spans="1:11" ht="12.75" hidden="1" x14ac:dyDescent="0.2">
      <c r="A490" s="95"/>
      <c r="B490" s="95"/>
      <c r="C490" s="94"/>
      <c r="D490" s="95"/>
      <c r="E490" s="96"/>
      <c r="F490" s="96"/>
      <c r="H490" s="98"/>
      <c r="I490" s="126"/>
      <c r="J490" s="127"/>
      <c r="K490" s="128"/>
    </row>
    <row r="491" spans="1:11" ht="12.75" hidden="1" x14ac:dyDescent="0.2">
      <c r="A491" s="95"/>
      <c r="B491" s="95"/>
      <c r="C491" s="94"/>
      <c r="D491" s="95"/>
      <c r="E491" s="96"/>
      <c r="F491" s="96"/>
      <c r="H491" s="98"/>
      <c r="I491" s="126"/>
      <c r="J491" s="127"/>
      <c r="K491" s="128"/>
    </row>
    <row r="492" spans="1:11" ht="12.75" hidden="1" x14ac:dyDescent="0.2">
      <c r="A492" s="95"/>
      <c r="B492" s="95"/>
      <c r="C492" s="94"/>
      <c r="D492" s="95"/>
      <c r="E492" s="96"/>
      <c r="F492" s="96"/>
      <c r="H492" s="98"/>
      <c r="I492" s="126"/>
      <c r="J492" s="127"/>
      <c r="K492" s="128"/>
    </row>
    <row r="493" spans="1:11" ht="12.75" hidden="1" x14ac:dyDescent="0.2">
      <c r="A493" s="95"/>
      <c r="B493" s="95"/>
      <c r="C493" s="94"/>
      <c r="D493" s="95"/>
      <c r="E493" s="96"/>
      <c r="F493" s="96"/>
      <c r="H493" s="98"/>
      <c r="I493" s="126"/>
      <c r="J493" s="127"/>
      <c r="K493" s="128"/>
    </row>
    <row r="494" spans="1:11" ht="12.75" hidden="1" x14ac:dyDescent="0.2">
      <c r="A494" s="95"/>
      <c r="B494" s="95"/>
      <c r="C494" s="94"/>
      <c r="D494" s="95"/>
      <c r="E494" s="96"/>
      <c r="F494" s="96"/>
      <c r="H494" s="98"/>
      <c r="I494" s="126"/>
      <c r="J494" s="127"/>
      <c r="K494" s="128"/>
    </row>
    <row r="495" spans="1:11" ht="12.75" hidden="1" x14ac:dyDescent="0.2">
      <c r="A495" s="95"/>
      <c r="B495" s="95"/>
      <c r="C495" s="94"/>
      <c r="D495" s="95"/>
      <c r="E495" s="96"/>
      <c r="F495" s="96"/>
      <c r="H495" s="98"/>
      <c r="I495" s="126"/>
      <c r="J495" s="127"/>
      <c r="K495" s="128"/>
    </row>
    <row r="496" spans="1:11" ht="12.75" hidden="1" x14ac:dyDescent="0.2">
      <c r="A496" s="95"/>
      <c r="B496" s="95"/>
      <c r="C496" s="94"/>
      <c r="D496" s="95"/>
      <c r="E496" s="96"/>
      <c r="F496" s="96"/>
      <c r="H496" s="98"/>
      <c r="I496" s="126"/>
      <c r="J496" s="127"/>
      <c r="K496" s="128"/>
    </row>
    <row r="497" spans="1:11" ht="12.75" hidden="1" x14ac:dyDescent="0.2">
      <c r="A497" s="95"/>
      <c r="B497" s="95"/>
      <c r="C497" s="94"/>
      <c r="D497" s="95"/>
      <c r="E497" s="96"/>
      <c r="F497" s="96"/>
      <c r="H497" s="98"/>
      <c r="I497" s="126"/>
      <c r="J497" s="127"/>
      <c r="K497" s="128"/>
    </row>
    <row r="498" spans="1:11" ht="12.75" hidden="1" x14ac:dyDescent="0.2">
      <c r="A498" s="95"/>
      <c r="B498" s="95"/>
      <c r="C498" s="94"/>
      <c r="D498" s="95"/>
      <c r="E498" s="96"/>
      <c r="F498" s="96"/>
      <c r="H498" s="98"/>
      <c r="I498" s="126"/>
      <c r="J498" s="127"/>
      <c r="K498" s="128"/>
    </row>
    <row r="499" spans="1:11" ht="12.75" hidden="1" x14ac:dyDescent="0.2">
      <c r="A499" s="95"/>
      <c r="B499" s="95"/>
      <c r="C499" s="94"/>
      <c r="D499" s="95"/>
      <c r="E499" s="96"/>
      <c r="F499" s="96"/>
      <c r="H499" s="98"/>
      <c r="I499" s="126"/>
      <c r="J499" s="127"/>
      <c r="K499" s="128"/>
    </row>
    <row r="500" spans="1:11" ht="12.75" hidden="1" x14ac:dyDescent="0.2">
      <c r="A500" s="95"/>
      <c r="B500" s="95"/>
      <c r="C500" s="94"/>
      <c r="D500" s="95"/>
      <c r="E500" s="96"/>
      <c r="F500" s="96"/>
      <c r="H500" s="98"/>
      <c r="I500" s="126"/>
      <c r="J500" s="127"/>
      <c r="K500" s="128"/>
    </row>
    <row r="501" spans="1:11" ht="12.75" hidden="1" x14ac:dyDescent="0.2">
      <c r="A501" s="95"/>
      <c r="B501" s="95"/>
      <c r="C501" s="94"/>
      <c r="D501" s="95"/>
      <c r="E501" s="96"/>
      <c r="F501" s="96"/>
      <c r="H501" s="98"/>
      <c r="I501" s="126"/>
      <c r="J501" s="127"/>
      <c r="K501" s="128"/>
    </row>
    <row r="502" spans="1:11" ht="12.75" hidden="1" x14ac:dyDescent="0.2">
      <c r="A502" s="95"/>
      <c r="B502" s="95"/>
      <c r="C502" s="94"/>
      <c r="D502" s="95"/>
      <c r="E502" s="96"/>
      <c r="F502" s="96"/>
      <c r="H502" s="98"/>
      <c r="I502" s="126"/>
      <c r="J502" s="127"/>
      <c r="K502" s="128"/>
    </row>
    <row r="503" spans="1:11" ht="12.75" hidden="1" x14ac:dyDescent="0.2">
      <c r="A503" s="95"/>
      <c r="B503" s="95"/>
      <c r="C503" s="94"/>
      <c r="D503" s="95"/>
      <c r="E503" s="96"/>
      <c r="F503" s="96"/>
      <c r="H503" s="98"/>
      <c r="I503" s="126"/>
      <c r="J503" s="127"/>
      <c r="K503" s="128"/>
    </row>
    <row r="504" spans="1:11" ht="12.75" hidden="1" x14ac:dyDescent="0.2">
      <c r="A504" s="95"/>
      <c r="B504" s="95"/>
      <c r="C504" s="94"/>
      <c r="D504" s="95"/>
      <c r="E504" s="96"/>
      <c r="F504" s="96"/>
      <c r="H504" s="98"/>
      <c r="I504" s="126"/>
      <c r="J504" s="127"/>
      <c r="K504" s="128"/>
    </row>
    <row r="505" spans="1:11" ht="12.75" hidden="1" x14ac:dyDescent="0.2">
      <c r="A505" s="95"/>
      <c r="B505" s="95"/>
      <c r="C505" s="94"/>
      <c r="D505" s="95"/>
      <c r="E505" s="96"/>
      <c r="F505" s="96"/>
      <c r="H505" s="98"/>
      <c r="I505" s="126"/>
      <c r="J505" s="127"/>
      <c r="K505" s="128"/>
    </row>
    <row r="506" spans="1:11" ht="12.75" hidden="1" x14ac:dyDescent="0.2">
      <c r="A506" s="95"/>
      <c r="B506" s="95"/>
      <c r="C506" s="94"/>
      <c r="D506" s="95"/>
      <c r="E506" s="96"/>
      <c r="F506" s="96"/>
      <c r="H506" s="98"/>
      <c r="I506" s="126"/>
      <c r="J506" s="127"/>
      <c r="K506" s="128"/>
    </row>
    <row r="507" spans="1:11" ht="12.75" hidden="1" x14ac:dyDescent="0.2">
      <c r="A507" s="95"/>
      <c r="B507" s="95"/>
      <c r="C507" s="94"/>
      <c r="D507" s="95"/>
      <c r="E507" s="96"/>
      <c r="F507" s="96"/>
      <c r="H507" s="98"/>
      <c r="I507" s="126"/>
      <c r="J507" s="127"/>
      <c r="K507" s="128"/>
    </row>
    <row r="508" spans="1:11" ht="12.75" hidden="1" x14ac:dyDescent="0.2">
      <c r="A508" s="95"/>
      <c r="B508" s="95"/>
      <c r="C508" s="94"/>
      <c r="D508" s="95"/>
      <c r="E508" s="96"/>
      <c r="F508" s="96"/>
      <c r="H508" s="98"/>
      <c r="I508" s="126"/>
      <c r="J508" s="127"/>
      <c r="K508" s="128"/>
    </row>
    <row r="509" spans="1:11" ht="12.75" hidden="1" x14ac:dyDescent="0.2">
      <c r="A509" s="95"/>
      <c r="B509" s="95"/>
      <c r="C509" s="94"/>
      <c r="D509" s="95"/>
      <c r="E509" s="96"/>
      <c r="F509" s="96"/>
      <c r="H509" s="98"/>
      <c r="I509" s="126"/>
      <c r="J509" s="127"/>
      <c r="K509" s="128"/>
    </row>
    <row r="510" spans="1:11" ht="12.75" hidden="1" x14ac:dyDescent="0.2">
      <c r="A510" s="95"/>
      <c r="B510" s="95"/>
      <c r="C510" s="94"/>
      <c r="D510" s="95"/>
      <c r="E510" s="96"/>
      <c r="F510" s="96"/>
      <c r="H510" s="98"/>
      <c r="I510" s="126"/>
      <c r="J510" s="127"/>
      <c r="K510" s="128"/>
    </row>
    <row r="511" spans="1:11" ht="12.75" hidden="1" x14ac:dyDescent="0.2">
      <c r="A511" s="95"/>
      <c r="B511" s="95"/>
      <c r="C511" s="94"/>
      <c r="D511" s="95"/>
      <c r="E511" s="96"/>
      <c r="F511" s="96"/>
      <c r="H511" s="98"/>
      <c r="I511" s="126"/>
      <c r="J511" s="127"/>
      <c r="K511" s="128"/>
    </row>
    <row r="512" spans="1:11" ht="12.75" hidden="1" x14ac:dyDescent="0.2">
      <c r="A512" s="95"/>
      <c r="B512" s="95"/>
      <c r="C512" s="94"/>
      <c r="D512" s="95"/>
      <c r="E512" s="96"/>
      <c r="F512" s="96"/>
      <c r="H512" s="98"/>
      <c r="I512" s="126"/>
      <c r="J512" s="127"/>
      <c r="K512" s="128"/>
    </row>
    <row r="513" spans="1:11" ht="12.75" hidden="1" x14ac:dyDescent="0.2">
      <c r="A513" s="95"/>
      <c r="B513" s="95"/>
      <c r="C513" s="94"/>
      <c r="D513" s="95"/>
      <c r="E513" s="96"/>
      <c r="F513" s="96"/>
      <c r="H513" s="98"/>
      <c r="I513" s="126"/>
      <c r="J513" s="127"/>
      <c r="K513" s="128"/>
    </row>
    <row r="514" spans="1:11" ht="12.75" hidden="1" x14ac:dyDescent="0.2">
      <c r="A514" s="95"/>
      <c r="B514" s="95"/>
      <c r="C514" s="94"/>
      <c r="D514" s="95"/>
      <c r="E514" s="96"/>
      <c r="F514" s="96"/>
      <c r="H514" s="98"/>
      <c r="I514" s="126"/>
      <c r="J514" s="127"/>
      <c r="K514" s="128"/>
    </row>
    <row r="515" spans="1:11" ht="12.75" hidden="1" x14ac:dyDescent="0.2">
      <c r="A515" s="95"/>
      <c r="B515" s="95"/>
      <c r="C515" s="94"/>
      <c r="D515" s="95"/>
      <c r="E515" s="96"/>
      <c r="F515" s="96"/>
      <c r="H515" s="98"/>
      <c r="I515" s="126"/>
      <c r="J515" s="127"/>
      <c r="K515" s="128"/>
    </row>
    <row r="516" spans="1:11" ht="12.75" hidden="1" x14ac:dyDescent="0.2">
      <c r="A516" s="95"/>
      <c r="B516" s="95"/>
      <c r="C516" s="94"/>
      <c r="D516" s="95"/>
      <c r="E516" s="96"/>
      <c r="F516" s="96"/>
      <c r="H516" s="98"/>
      <c r="I516" s="126"/>
      <c r="J516" s="127"/>
      <c r="K516" s="128"/>
    </row>
    <row r="517" spans="1:11" ht="12.75" hidden="1" x14ac:dyDescent="0.2">
      <c r="A517" s="95"/>
      <c r="B517" s="95"/>
      <c r="C517" s="94"/>
      <c r="D517" s="95"/>
      <c r="E517" s="96"/>
      <c r="F517" s="96"/>
      <c r="H517" s="98"/>
      <c r="I517" s="126"/>
      <c r="J517" s="127"/>
      <c r="K517" s="128"/>
    </row>
    <row r="518" spans="1:11" ht="12.75" hidden="1" x14ac:dyDescent="0.2">
      <c r="A518" s="95"/>
      <c r="B518" s="95"/>
      <c r="C518" s="94"/>
      <c r="D518" s="95"/>
      <c r="E518" s="96"/>
      <c r="F518" s="96"/>
      <c r="H518" s="98"/>
      <c r="I518" s="126"/>
      <c r="J518" s="127"/>
      <c r="K518" s="128"/>
    </row>
    <row r="519" spans="1:11" ht="12.75" hidden="1" x14ac:dyDescent="0.2">
      <c r="A519" s="95"/>
      <c r="B519" s="95"/>
      <c r="C519" s="94"/>
      <c r="D519" s="95"/>
      <c r="E519" s="96"/>
      <c r="F519" s="96"/>
      <c r="H519" s="98"/>
      <c r="I519" s="126"/>
      <c r="J519" s="127"/>
      <c r="K519" s="128"/>
    </row>
    <row r="520" spans="1:11" ht="12.75" hidden="1" x14ac:dyDescent="0.2">
      <c r="A520" s="95"/>
      <c r="B520" s="95"/>
      <c r="C520" s="94"/>
      <c r="D520" s="95"/>
      <c r="E520" s="96"/>
      <c r="F520" s="96"/>
      <c r="H520" s="98"/>
      <c r="I520" s="126"/>
      <c r="J520" s="127"/>
      <c r="K520" s="128"/>
    </row>
    <row r="521" spans="1:11" ht="12.75" hidden="1" x14ac:dyDescent="0.2">
      <c r="A521" s="95"/>
      <c r="B521" s="95"/>
      <c r="C521" s="94"/>
      <c r="D521" s="95"/>
      <c r="E521" s="96"/>
      <c r="F521" s="96"/>
      <c r="H521" s="98"/>
      <c r="I521" s="126"/>
      <c r="J521" s="127"/>
      <c r="K521" s="128"/>
    </row>
    <row r="522" spans="1:11" ht="12.75" hidden="1" x14ac:dyDescent="0.2">
      <c r="A522" s="95"/>
      <c r="B522" s="95"/>
      <c r="C522" s="94"/>
      <c r="D522" s="95"/>
      <c r="E522" s="96"/>
      <c r="F522" s="96"/>
      <c r="H522" s="98"/>
      <c r="I522" s="126"/>
      <c r="J522" s="127"/>
      <c r="K522" s="128"/>
    </row>
    <row r="523" spans="1:11" ht="12.75" hidden="1" x14ac:dyDescent="0.2">
      <c r="A523" s="95"/>
      <c r="B523" s="95"/>
      <c r="C523" s="94"/>
      <c r="D523" s="95"/>
      <c r="E523" s="96"/>
      <c r="F523" s="96"/>
      <c r="H523" s="98"/>
      <c r="I523" s="126"/>
      <c r="J523" s="127"/>
      <c r="K523" s="128"/>
    </row>
    <row r="524" spans="1:11" ht="12.75" hidden="1" x14ac:dyDescent="0.2">
      <c r="A524" s="95"/>
      <c r="B524" s="95"/>
      <c r="C524" s="94"/>
      <c r="D524" s="95"/>
      <c r="E524" s="96"/>
      <c r="F524" s="96"/>
      <c r="H524" s="98"/>
      <c r="I524" s="126"/>
      <c r="J524" s="127"/>
      <c r="K524" s="128"/>
    </row>
    <row r="525" spans="1:11" ht="12.75" hidden="1" x14ac:dyDescent="0.2">
      <c r="A525" s="95"/>
      <c r="B525" s="95"/>
      <c r="C525" s="94"/>
      <c r="D525" s="95"/>
      <c r="E525" s="96"/>
      <c r="F525" s="96"/>
      <c r="H525" s="98"/>
      <c r="I525" s="126"/>
      <c r="J525" s="127"/>
      <c r="K525" s="128"/>
    </row>
    <row r="526" spans="1:11" ht="12.75" hidden="1" x14ac:dyDescent="0.2">
      <c r="A526" s="95"/>
      <c r="B526" s="95"/>
      <c r="C526" s="94"/>
      <c r="D526" s="95"/>
      <c r="E526" s="96"/>
      <c r="F526" s="96"/>
      <c r="H526" s="98"/>
      <c r="I526" s="126"/>
      <c r="J526" s="127"/>
      <c r="K526" s="128"/>
    </row>
    <row r="527" spans="1:11" ht="12.75" hidden="1" x14ac:dyDescent="0.2">
      <c r="A527" s="95"/>
      <c r="B527" s="95"/>
      <c r="C527" s="94"/>
      <c r="D527" s="95"/>
      <c r="E527" s="96"/>
      <c r="F527" s="96"/>
      <c r="H527" s="98"/>
      <c r="I527" s="126"/>
      <c r="J527" s="127"/>
      <c r="K527" s="128"/>
    </row>
    <row r="528" spans="1:11" ht="12.75" hidden="1" x14ac:dyDescent="0.2">
      <c r="A528" s="95"/>
      <c r="B528" s="95"/>
      <c r="C528" s="94"/>
      <c r="D528" s="95"/>
      <c r="E528" s="96"/>
      <c r="F528" s="96"/>
      <c r="H528" s="98"/>
      <c r="I528" s="126"/>
      <c r="J528" s="127"/>
      <c r="K528" s="128"/>
    </row>
    <row r="529" spans="1:11" ht="12.75" hidden="1" x14ac:dyDescent="0.2">
      <c r="A529" s="95"/>
      <c r="B529" s="95"/>
      <c r="C529" s="94"/>
      <c r="D529" s="95"/>
      <c r="E529" s="96"/>
      <c r="F529" s="96"/>
      <c r="H529" s="98"/>
      <c r="I529" s="126"/>
      <c r="J529" s="127"/>
      <c r="K529" s="128"/>
    </row>
    <row r="530" spans="1:11" ht="12.75" hidden="1" x14ac:dyDescent="0.2">
      <c r="A530" s="95"/>
      <c r="B530" s="95"/>
      <c r="C530" s="94"/>
      <c r="D530" s="95"/>
      <c r="E530" s="96"/>
      <c r="F530" s="96"/>
      <c r="H530" s="98"/>
      <c r="I530" s="126"/>
      <c r="J530" s="127"/>
      <c r="K530" s="128"/>
    </row>
    <row r="531" spans="1:11" ht="12.75" hidden="1" x14ac:dyDescent="0.2">
      <c r="A531" s="95"/>
      <c r="B531" s="95"/>
      <c r="C531" s="94"/>
      <c r="D531" s="95"/>
      <c r="E531" s="96"/>
      <c r="F531" s="96"/>
      <c r="H531" s="98"/>
      <c r="I531" s="126"/>
      <c r="J531" s="127"/>
      <c r="K531" s="128"/>
    </row>
    <row r="532" spans="1:11" ht="12.75" hidden="1" x14ac:dyDescent="0.2">
      <c r="A532" s="95"/>
      <c r="B532" s="95"/>
      <c r="C532" s="94"/>
      <c r="D532" s="95"/>
      <c r="E532" s="96"/>
      <c r="F532" s="96"/>
      <c r="H532" s="98"/>
      <c r="I532" s="126"/>
      <c r="J532" s="127"/>
      <c r="K532" s="128"/>
    </row>
    <row r="533" spans="1:11" ht="12.75" hidden="1" x14ac:dyDescent="0.2">
      <c r="A533" s="95"/>
      <c r="B533" s="95"/>
      <c r="C533" s="94"/>
      <c r="D533" s="95"/>
      <c r="E533" s="96"/>
      <c r="F533" s="96"/>
      <c r="H533" s="98"/>
      <c r="I533" s="126"/>
      <c r="J533" s="127"/>
      <c r="K533" s="128"/>
    </row>
    <row r="534" spans="1:11" ht="12.75" hidden="1" x14ac:dyDescent="0.2">
      <c r="A534" s="95"/>
      <c r="B534" s="95"/>
      <c r="C534" s="94"/>
      <c r="D534" s="95"/>
      <c r="E534" s="96"/>
      <c r="F534" s="96"/>
      <c r="H534" s="98"/>
      <c r="I534" s="126"/>
      <c r="J534" s="127"/>
      <c r="K534" s="128"/>
    </row>
    <row r="535" spans="1:11" ht="12.75" hidden="1" x14ac:dyDescent="0.2">
      <c r="A535" s="95"/>
      <c r="B535" s="95"/>
      <c r="C535" s="94"/>
      <c r="D535" s="95"/>
      <c r="E535" s="96"/>
      <c r="F535" s="96"/>
      <c r="H535" s="98"/>
      <c r="I535" s="126"/>
      <c r="J535" s="127"/>
      <c r="K535" s="128"/>
    </row>
    <row r="536" spans="1:11" ht="12.75" hidden="1" x14ac:dyDescent="0.2">
      <c r="A536" s="95"/>
      <c r="B536" s="95"/>
      <c r="C536" s="94"/>
      <c r="D536" s="95"/>
      <c r="E536" s="96"/>
      <c r="F536" s="96"/>
      <c r="H536" s="98"/>
      <c r="I536" s="126"/>
      <c r="J536" s="127"/>
      <c r="K536" s="128"/>
    </row>
    <row r="537" spans="1:11" ht="12.75" hidden="1" x14ac:dyDescent="0.2">
      <c r="A537" s="95"/>
      <c r="B537" s="95"/>
      <c r="C537" s="94"/>
      <c r="D537" s="95"/>
      <c r="E537" s="96"/>
      <c r="F537" s="96"/>
      <c r="H537" s="98"/>
      <c r="I537" s="126"/>
      <c r="J537" s="127"/>
      <c r="K537" s="128"/>
    </row>
    <row r="538" spans="1:11" ht="12.75" hidden="1" x14ac:dyDescent="0.2">
      <c r="A538" s="95"/>
      <c r="B538" s="95"/>
      <c r="C538" s="94"/>
      <c r="D538" s="95"/>
      <c r="E538" s="96"/>
      <c r="F538" s="96"/>
      <c r="H538" s="98"/>
      <c r="I538" s="126"/>
      <c r="J538" s="127"/>
      <c r="K538" s="128"/>
    </row>
    <row r="539" spans="1:11" ht="12.75" hidden="1" x14ac:dyDescent="0.2">
      <c r="A539" s="95"/>
      <c r="B539" s="95"/>
      <c r="C539" s="94"/>
      <c r="D539" s="95"/>
      <c r="E539" s="96"/>
      <c r="F539" s="96"/>
      <c r="H539" s="98"/>
      <c r="I539" s="126"/>
      <c r="J539" s="127"/>
      <c r="K539" s="128"/>
    </row>
    <row r="540" spans="1:11" ht="12.75" hidden="1" x14ac:dyDescent="0.2">
      <c r="A540" s="95"/>
      <c r="B540" s="95"/>
      <c r="C540" s="94"/>
      <c r="D540" s="95"/>
      <c r="E540" s="96"/>
      <c r="F540" s="96"/>
      <c r="H540" s="98"/>
      <c r="I540" s="126"/>
      <c r="J540" s="127"/>
      <c r="K540" s="128"/>
    </row>
    <row r="541" spans="1:11" ht="12.75" hidden="1" x14ac:dyDescent="0.2">
      <c r="A541" s="95"/>
      <c r="B541" s="95"/>
      <c r="C541" s="94"/>
      <c r="D541" s="95"/>
      <c r="E541" s="96"/>
      <c r="F541" s="96"/>
      <c r="H541" s="98"/>
      <c r="I541" s="126"/>
      <c r="J541" s="127"/>
      <c r="K541" s="128"/>
    </row>
    <row r="542" spans="1:11" ht="12.75" hidden="1" x14ac:dyDescent="0.2">
      <c r="A542" s="95"/>
      <c r="B542" s="95"/>
      <c r="C542" s="94"/>
      <c r="D542" s="95"/>
      <c r="E542" s="96"/>
      <c r="F542" s="96"/>
      <c r="H542" s="98"/>
      <c r="I542" s="126"/>
      <c r="J542" s="127"/>
      <c r="K542" s="128"/>
    </row>
    <row r="543" spans="1:11" ht="12.75" hidden="1" x14ac:dyDescent="0.2">
      <c r="A543" s="95"/>
      <c r="B543" s="95"/>
      <c r="C543" s="94"/>
      <c r="D543" s="95"/>
      <c r="E543" s="96"/>
      <c r="F543" s="96"/>
      <c r="H543" s="98"/>
      <c r="I543" s="126"/>
      <c r="J543" s="127"/>
      <c r="K543" s="128"/>
    </row>
    <row r="544" spans="1:11" ht="12.75" hidden="1" x14ac:dyDescent="0.2">
      <c r="A544" s="95"/>
      <c r="B544" s="95"/>
      <c r="C544" s="94"/>
      <c r="D544" s="95"/>
      <c r="E544" s="96"/>
      <c r="F544" s="96"/>
      <c r="H544" s="98"/>
      <c r="I544" s="126"/>
      <c r="J544" s="127"/>
      <c r="K544" s="128"/>
    </row>
    <row r="545" spans="1:11" ht="12.75" hidden="1" x14ac:dyDescent="0.2">
      <c r="A545" s="95"/>
      <c r="B545" s="95"/>
      <c r="C545" s="94"/>
      <c r="D545" s="95"/>
      <c r="E545" s="96"/>
      <c r="F545" s="96"/>
      <c r="H545" s="98"/>
      <c r="I545" s="126"/>
      <c r="J545" s="127"/>
      <c r="K545" s="128"/>
    </row>
    <row r="546" spans="1:11" ht="12.75" hidden="1" x14ac:dyDescent="0.2">
      <c r="A546" s="95"/>
      <c r="B546" s="95"/>
      <c r="C546" s="94"/>
      <c r="D546" s="95"/>
      <c r="E546" s="96"/>
      <c r="F546" s="96"/>
      <c r="H546" s="98"/>
      <c r="I546" s="126"/>
      <c r="J546" s="127"/>
      <c r="K546" s="128"/>
    </row>
    <row r="547" spans="1:11" ht="12.75" hidden="1" x14ac:dyDescent="0.2">
      <c r="A547" s="95"/>
      <c r="B547" s="95"/>
      <c r="C547" s="94"/>
      <c r="D547" s="95"/>
      <c r="E547" s="96"/>
      <c r="F547" s="96"/>
      <c r="H547" s="98"/>
      <c r="I547" s="126"/>
      <c r="J547" s="127"/>
      <c r="K547" s="128"/>
    </row>
    <row r="548" spans="1:11" ht="12.75" hidden="1" x14ac:dyDescent="0.2">
      <c r="A548" s="95"/>
      <c r="B548" s="95"/>
      <c r="C548" s="94"/>
      <c r="D548" s="95"/>
      <c r="E548" s="96"/>
      <c r="F548" s="96"/>
      <c r="H548" s="98"/>
      <c r="I548" s="126"/>
      <c r="J548" s="127"/>
      <c r="K548" s="128"/>
    </row>
    <row r="549" spans="1:11" ht="12.75" hidden="1" x14ac:dyDescent="0.2">
      <c r="A549" s="95"/>
      <c r="B549" s="95"/>
      <c r="C549" s="94"/>
      <c r="D549" s="95"/>
      <c r="E549" s="96"/>
      <c r="F549" s="96"/>
      <c r="H549" s="98"/>
      <c r="I549" s="126"/>
      <c r="J549" s="127"/>
      <c r="K549" s="128"/>
    </row>
    <row r="550" spans="1:11" ht="12.75" hidden="1" x14ac:dyDescent="0.2">
      <c r="A550" s="95"/>
      <c r="B550" s="95"/>
      <c r="C550" s="94"/>
      <c r="D550" s="95"/>
      <c r="E550" s="96"/>
      <c r="F550" s="96"/>
      <c r="H550" s="98"/>
      <c r="I550" s="126"/>
      <c r="J550" s="127"/>
      <c r="K550" s="128"/>
    </row>
    <row r="551" spans="1:11" ht="12.75" hidden="1" x14ac:dyDescent="0.2">
      <c r="A551" s="95"/>
      <c r="B551" s="95"/>
      <c r="C551" s="94"/>
      <c r="D551" s="95"/>
      <c r="E551" s="96"/>
      <c r="F551" s="96"/>
      <c r="H551" s="98"/>
      <c r="I551" s="126"/>
      <c r="J551" s="127"/>
      <c r="K551" s="128"/>
    </row>
    <row r="552" spans="1:11" ht="12.75" hidden="1" x14ac:dyDescent="0.2">
      <c r="A552" s="95"/>
      <c r="B552" s="95"/>
      <c r="C552" s="94"/>
      <c r="D552" s="95"/>
      <c r="E552" s="96"/>
      <c r="F552" s="96"/>
      <c r="H552" s="98"/>
      <c r="I552" s="126"/>
      <c r="J552" s="127"/>
      <c r="K552" s="128"/>
    </row>
    <row r="553" spans="1:11" ht="12.75" hidden="1" x14ac:dyDescent="0.2">
      <c r="A553" s="95"/>
      <c r="B553" s="95"/>
      <c r="C553" s="94"/>
      <c r="D553" s="95"/>
      <c r="E553" s="96"/>
      <c r="F553" s="96"/>
      <c r="H553" s="98"/>
      <c r="I553" s="126"/>
      <c r="J553" s="127"/>
      <c r="K553" s="128"/>
    </row>
    <row r="554" spans="1:11" ht="12.75" hidden="1" x14ac:dyDescent="0.2">
      <c r="A554" s="95"/>
      <c r="B554" s="95"/>
      <c r="C554" s="94"/>
      <c r="D554" s="95"/>
      <c r="E554" s="96"/>
      <c r="F554" s="96"/>
      <c r="H554" s="98"/>
      <c r="I554" s="126"/>
      <c r="J554" s="127"/>
      <c r="K554" s="128"/>
    </row>
    <row r="555" spans="1:11" ht="12.75" hidden="1" x14ac:dyDescent="0.2">
      <c r="A555" s="95"/>
      <c r="B555" s="95"/>
      <c r="C555" s="94"/>
      <c r="D555" s="95"/>
      <c r="E555" s="96"/>
      <c r="F555" s="96"/>
      <c r="H555" s="98"/>
      <c r="I555" s="126"/>
      <c r="J555" s="127"/>
      <c r="K555" s="128"/>
    </row>
    <row r="556" spans="1:11" ht="12.75" hidden="1" x14ac:dyDescent="0.2">
      <c r="A556" s="95"/>
      <c r="B556" s="95"/>
      <c r="C556" s="94"/>
      <c r="D556" s="95"/>
      <c r="E556" s="96"/>
      <c r="F556" s="96"/>
      <c r="H556" s="98"/>
      <c r="I556" s="126"/>
      <c r="J556" s="127"/>
      <c r="K556" s="128"/>
    </row>
    <row r="557" spans="1:11" ht="12.75" hidden="1" x14ac:dyDescent="0.2">
      <c r="A557" s="95"/>
      <c r="B557" s="95"/>
      <c r="C557" s="94"/>
      <c r="D557" s="95"/>
      <c r="E557" s="96"/>
      <c r="F557" s="96"/>
      <c r="H557" s="98"/>
      <c r="I557" s="126"/>
      <c r="J557" s="127"/>
      <c r="K557" s="128"/>
    </row>
    <row r="558" spans="1:11" ht="12.75" hidden="1" x14ac:dyDescent="0.2">
      <c r="A558" s="95"/>
      <c r="B558" s="95"/>
      <c r="C558" s="94"/>
      <c r="D558" s="95"/>
      <c r="E558" s="96"/>
      <c r="F558" s="96"/>
      <c r="H558" s="98"/>
      <c r="I558" s="126"/>
      <c r="J558" s="127"/>
      <c r="K558" s="128"/>
    </row>
    <row r="559" spans="1:11" ht="12.75" hidden="1" x14ac:dyDescent="0.2">
      <c r="A559" s="95"/>
      <c r="B559" s="95"/>
      <c r="C559" s="94"/>
      <c r="D559" s="95"/>
      <c r="E559" s="96"/>
      <c r="F559" s="96"/>
      <c r="H559" s="98"/>
      <c r="I559" s="126"/>
      <c r="J559" s="127"/>
      <c r="K559" s="128"/>
    </row>
    <row r="560" spans="1:11" ht="12.75" hidden="1" x14ac:dyDescent="0.2">
      <c r="A560" s="95"/>
      <c r="B560" s="95"/>
      <c r="C560" s="94"/>
      <c r="D560" s="95"/>
      <c r="E560" s="96"/>
      <c r="F560" s="96"/>
      <c r="H560" s="98"/>
      <c r="I560" s="126"/>
      <c r="J560" s="127"/>
      <c r="K560" s="128"/>
    </row>
    <row r="561" spans="1:11" ht="12.75" hidden="1" x14ac:dyDescent="0.2">
      <c r="A561" s="95"/>
      <c r="B561" s="95"/>
      <c r="C561" s="94"/>
      <c r="D561" s="95"/>
      <c r="E561" s="96"/>
      <c r="F561" s="96"/>
      <c r="H561" s="98"/>
      <c r="I561" s="126"/>
      <c r="J561" s="127"/>
      <c r="K561" s="128"/>
    </row>
    <row r="562" spans="1:11" ht="12.75" hidden="1" x14ac:dyDescent="0.2">
      <c r="A562" s="95"/>
      <c r="B562" s="95"/>
      <c r="C562" s="94"/>
      <c r="D562" s="95"/>
      <c r="E562" s="96"/>
      <c r="F562" s="96"/>
      <c r="H562" s="98"/>
      <c r="I562" s="126"/>
      <c r="J562" s="127"/>
      <c r="K562" s="128"/>
    </row>
    <row r="563" spans="1:11" ht="12.75" hidden="1" x14ac:dyDescent="0.2">
      <c r="A563" s="95"/>
      <c r="B563" s="95"/>
      <c r="C563" s="94"/>
      <c r="D563" s="95"/>
      <c r="E563" s="96"/>
      <c r="F563" s="96"/>
      <c r="H563" s="98"/>
      <c r="I563" s="126"/>
      <c r="J563" s="127"/>
      <c r="K563" s="128"/>
    </row>
    <row r="564" spans="1:11" ht="12.75" hidden="1" x14ac:dyDescent="0.2">
      <c r="A564" s="95"/>
      <c r="B564" s="95"/>
      <c r="C564" s="94"/>
      <c r="D564" s="95"/>
      <c r="E564" s="96"/>
      <c r="F564" s="96"/>
      <c r="H564" s="98"/>
      <c r="I564" s="126"/>
      <c r="J564" s="127"/>
      <c r="K564" s="128"/>
    </row>
    <row r="565" spans="1:11" ht="12.75" hidden="1" x14ac:dyDescent="0.2">
      <c r="A565" s="95"/>
      <c r="B565" s="95"/>
      <c r="C565" s="94"/>
      <c r="D565" s="95"/>
      <c r="E565" s="96"/>
      <c r="F565" s="96"/>
      <c r="H565" s="98"/>
      <c r="I565" s="126"/>
      <c r="J565" s="127"/>
      <c r="K565" s="128"/>
    </row>
    <row r="566" spans="1:11" ht="12.75" hidden="1" x14ac:dyDescent="0.2">
      <c r="A566" s="95"/>
      <c r="B566" s="95"/>
      <c r="C566" s="94"/>
      <c r="D566" s="95"/>
      <c r="E566" s="96"/>
      <c r="F566" s="96"/>
      <c r="H566" s="98"/>
      <c r="I566" s="126"/>
      <c r="J566" s="127"/>
      <c r="K566" s="128"/>
    </row>
    <row r="567" spans="1:11" ht="12.75" hidden="1" x14ac:dyDescent="0.2">
      <c r="A567" s="95"/>
      <c r="B567" s="95"/>
      <c r="C567" s="94"/>
      <c r="D567" s="95"/>
      <c r="E567" s="96"/>
      <c r="F567" s="96"/>
      <c r="H567" s="98"/>
      <c r="I567" s="126"/>
      <c r="J567" s="127"/>
      <c r="K567" s="128"/>
    </row>
    <row r="568" spans="1:11" ht="12.75" hidden="1" x14ac:dyDescent="0.2">
      <c r="A568" s="95"/>
      <c r="B568" s="95"/>
      <c r="C568" s="94"/>
      <c r="D568" s="95"/>
      <c r="E568" s="96"/>
      <c r="F568" s="96"/>
      <c r="H568" s="98"/>
      <c r="I568" s="126"/>
      <c r="J568" s="127"/>
      <c r="K568" s="128"/>
    </row>
    <row r="569" spans="1:11" ht="12.75" hidden="1" x14ac:dyDescent="0.2">
      <c r="A569" s="95"/>
      <c r="B569" s="95"/>
      <c r="C569" s="94"/>
      <c r="D569" s="95"/>
      <c r="E569" s="96"/>
      <c r="F569" s="96"/>
      <c r="H569" s="98"/>
      <c r="I569" s="126"/>
      <c r="J569" s="127"/>
      <c r="K569" s="128"/>
    </row>
    <row r="570" spans="1:11" ht="12.75" hidden="1" x14ac:dyDescent="0.2">
      <c r="A570" s="95"/>
      <c r="B570" s="95"/>
      <c r="C570" s="94"/>
      <c r="D570" s="95"/>
      <c r="E570" s="96"/>
      <c r="F570" s="96"/>
      <c r="H570" s="98"/>
      <c r="I570" s="126"/>
      <c r="J570" s="127"/>
      <c r="K570" s="128"/>
    </row>
    <row r="571" spans="1:11" ht="12.75" hidden="1" x14ac:dyDescent="0.2">
      <c r="A571" s="95"/>
      <c r="B571" s="95"/>
      <c r="C571" s="94"/>
      <c r="D571" s="95"/>
      <c r="E571" s="96"/>
      <c r="F571" s="96"/>
      <c r="H571" s="98"/>
      <c r="I571" s="126"/>
      <c r="J571" s="127"/>
      <c r="K571" s="128"/>
    </row>
    <row r="572" spans="1:11" ht="12.75" hidden="1" x14ac:dyDescent="0.2">
      <c r="A572" s="95"/>
      <c r="B572" s="95"/>
      <c r="C572" s="94"/>
      <c r="D572" s="95"/>
      <c r="E572" s="96"/>
      <c r="F572" s="96"/>
      <c r="H572" s="98"/>
      <c r="I572" s="126"/>
      <c r="J572" s="127"/>
      <c r="K572" s="128"/>
    </row>
    <row r="573" spans="1:11" ht="12.75" hidden="1" x14ac:dyDescent="0.2">
      <c r="A573" s="95"/>
      <c r="B573" s="95"/>
      <c r="C573" s="94"/>
      <c r="D573" s="95"/>
      <c r="E573" s="96"/>
      <c r="F573" s="96"/>
      <c r="H573" s="98"/>
      <c r="I573" s="126"/>
      <c r="J573" s="127"/>
      <c r="K573" s="128"/>
    </row>
    <row r="574" spans="1:11" ht="12.75" hidden="1" x14ac:dyDescent="0.2">
      <c r="A574" s="95"/>
      <c r="B574" s="95"/>
      <c r="C574" s="94"/>
      <c r="D574" s="95"/>
      <c r="E574" s="96"/>
      <c r="F574" s="96"/>
      <c r="H574" s="98"/>
      <c r="I574" s="126"/>
      <c r="J574" s="127"/>
      <c r="K574" s="128"/>
    </row>
    <row r="575" spans="1:11" ht="12.75" hidden="1" x14ac:dyDescent="0.2">
      <c r="A575" s="95"/>
      <c r="B575" s="95"/>
      <c r="C575" s="94"/>
      <c r="D575" s="95"/>
      <c r="E575" s="96"/>
      <c r="F575" s="96"/>
      <c r="H575" s="98"/>
      <c r="I575" s="126"/>
      <c r="J575" s="127"/>
      <c r="K575" s="128"/>
    </row>
    <row r="576" spans="1:11" ht="12.75" hidden="1" x14ac:dyDescent="0.2">
      <c r="A576" s="95"/>
      <c r="B576" s="95"/>
      <c r="C576" s="94"/>
      <c r="D576" s="95"/>
      <c r="E576" s="96"/>
      <c r="F576" s="96"/>
      <c r="H576" s="98"/>
      <c r="I576" s="126"/>
      <c r="J576" s="127"/>
      <c r="K576" s="128"/>
    </row>
    <row r="577" spans="1:11" ht="12.75" hidden="1" x14ac:dyDescent="0.2">
      <c r="A577" s="95"/>
      <c r="B577" s="95"/>
      <c r="C577" s="94"/>
      <c r="D577" s="95"/>
      <c r="E577" s="96"/>
      <c r="F577" s="96"/>
      <c r="H577" s="98"/>
      <c r="I577" s="126"/>
      <c r="J577" s="127"/>
      <c r="K577" s="128"/>
    </row>
    <row r="578" spans="1:11" ht="12.75" hidden="1" x14ac:dyDescent="0.2">
      <c r="A578" s="95"/>
      <c r="B578" s="95"/>
      <c r="C578" s="94"/>
      <c r="D578" s="95"/>
      <c r="E578" s="96"/>
      <c r="F578" s="96"/>
      <c r="H578" s="98"/>
      <c r="I578" s="126"/>
      <c r="J578" s="127"/>
      <c r="K578" s="128"/>
    </row>
    <row r="579" spans="1:11" ht="12.75" hidden="1" x14ac:dyDescent="0.2">
      <c r="A579" s="95"/>
      <c r="B579" s="95"/>
      <c r="C579" s="94"/>
      <c r="D579" s="95"/>
      <c r="E579" s="96"/>
      <c r="F579" s="96"/>
      <c r="H579" s="98"/>
      <c r="I579" s="126"/>
      <c r="J579" s="127"/>
      <c r="K579" s="128"/>
    </row>
    <row r="580" spans="1:11" ht="12.75" hidden="1" x14ac:dyDescent="0.2">
      <c r="A580" s="95"/>
      <c r="B580" s="95"/>
      <c r="C580" s="94"/>
      <c r="D580" s="95"/>
      <c r="E580" s="96"/>
      <c r="F580" s="96"/>
      <c r="H580" s="98"/>
      <c r="I580" s="126"/>
      <c r="J580" s="127"/>
      <c r="K580" s="128"/>
    </row>
    <row r="581" spans="1:11" ht="12.75" hidden="1" x14ac:dyDescent="0.2">
      <c r="A581" s="95"/>
      <c r="B581" s="95"/>
      <c r="C581" s="94"/>
      <c r="D581" s="95"/>
      <c r="E581" s="96"/>
      <c r="F581" s="96"/>
      <c r="H581" s="98"/>
      <c r="I581" s="126"/>
      <c r="J581" s="127"/>
      <c r="K581" s="128"/>
    </row>
    <row r="582" spans="1:11" ht="12.75" hidden="1" x14ac:dyDescent="0.2">
      <c r="A582" s="95"/>
      <c r="B582" s="95"/>
      <c r="C582" s="94"/>
      <c r="D582" s="95"/>
      <c r="E582" s="96"/>
      <c r="F582" s="96"/>
      <c r="H582" s="98"/>
      <c r="I582" s="126"/>
      <c r="J582" s="127"/>
      <c r="K582" s="128"/>
    </row>
    <row r="583" spans="1:11" ht="12.75" hidden="1" x14ac:dyDescent="0.2">
      <c r="A583" s="95"/>
      <c r="B583" s="95"/>
      <c r="C583" s="94"/>
      <c r="D583" s="95"/>
      <c r="E583" s="96"/>
      <c r="F583" s="96"/>
      <c r="H583" s="98"/>
      <c r="I583" s="126"/>
      <c r="J583" s="127"/>
      <c r="K583" s="128"/>
    </row>
    <row r="584" spans="1:11" ht="12.75" hidden="1" x14ac:dyDescent="0.2">
      <c r="A584" s="95"/>
      <c r="B584" s="95"/>
      <c r="C584" s="94"/>
      <c r="D584" s="95"/>
      <c r="E584" s="96"/>
      <c r="F584" s="96"/>
      <c r="H584" s="98"/>
      <c r="I584" s="126"/>
      <c r="J584" s="127"/>
      <c r="K584" s="128"/>
    </row>
    <row r="585" spans="1:11" ht="12.75" hidden="1" x14ac:dyDescent="0.2">
      <c r="A585" s="95"/>
      <c r="B585" s="95"/>
      <c r="C585" s="94"/>
      <c r="D585" s="95"/>
      <c r="E585" s="96"/>
      <c r="F585" s="96"/>
      <c r="H585" s="98"/>
      <c r="I585" s="126"/>
      <c r="J585" s="127"/>
      <c r="K585" s="128"/>
    </row>
    <row r="586" spans="1:11" ht="12.75" hidden="1" x14ac:dyDescent="0.2">
      <c r="A586" s="95"/>
      <c r="B586" s="95"/>
      <c r="C586" s="94"/>
      <c r="D586" s="95"/>
      <c r="E586" s="96"/>
      <c r="F586" s="96"/>
      <c r="H586" s="98"/>
      <c r="I586" s="126"/>
      <c r="J586" s="127"/>
      <c r="K586" s="128"/>
    </row>
    <row r="587" spans="1:11" ht="12.75" hidden="1" x14ac:dyDescent="0.2">
      <c r="A587" s="95"/>
      <c r="B587" s="95"/>
      <c r="C587" s="94"/>
      <c r="D587" s="95"/>
      <c r="E587" s="96"/>
      <c r="F587" s="96"/>
      <c r="H587" s="98"/>
      <c r="I587" s="126"/>
      <c r="J587" s="127"/>
      <c r="K587" s="128"/>
    </row>
    <row r="588" spans="1:11" ht="12.75" hidden="1" x14ac:dyDescent="0.2">
      <c r="A588" s="95"/>
      <c r="B588" s="95"/>
      <c r="C588" s="94"/>
      <c r="D588" s="95"/>
      <c r="E588" s="96"/>
      <c r="F588" s="96"/>
      <c r="H588" s="98"/>
      <c r="I588" s="126"/>
      <c r="J588" s="127"/>
      <c r="K588" s="128"/>
    </row>
    <row r="589" spans="1:11" ht="12.75" hidden="1" x14ac:dyDescent="0.2">
      <c r="A589" s="95"/>
      <c r="B589" s="95"/>
      <c r="C589" s="94"/>
      <c r="D589" s="95"/>
      <c r="E589" s="96"/>
      <c r="F589" s="96"/>
      <c r="H589" s="98"/>
      <c r="I589" s="126"/>
      <c r="J589" s="127"/>
      <c r="K589" s="128"/>
    </row>
    <row r="590" spans="1:11" ht="12.75" hidden="1" x14ac:dyDescent="0.2">
      <c r="A590" s="95"/>
      <c r="B590" s="95"/>
      <c r="C590" s="94"/>
      <c r="D590" s="95"/>
      <c r="E590" s="96"/>
      <c r="F590" s="96"/>
      <c r="H590" s="98"/>
      <c r="I590" s="126"/>
      <c r="J590" s="127"/>
      <c r="K590" s="128"/>
    </row>
    <row r="591" spans="1:11" ht="12.75" hidden="1" x14ac:dyDescent="0.2">
      <c r="A591" s="95"/>
      <c r="B591" s="95"/>
      <c r="C591" s="94"/>
      <c r="D591" s="95"/>
      <c r="E591" s="96"/>
      <c r="F591" s="96"/>
      <c r="H591" s="98"/>
      <c r="I591" s="126"/>
      <c r="J591" s="127"/>
      <c r="K591" s="128"/>
    </row>
    <row r="592" spans="1:11" ht="12.75" hidden="1" x14ac:dyDescent="0.2">
      <c r="A592" s="95"/>
      <c r="B592" s="95"/>
      <c r="C592" s="94"/>
      <c r="D592" s="95"/>
      <c r="E592" s="96"/>
      <c r="F592" s="96"/>
      <c r="H592" s="98"/>
      <c r="I592" s="126"/>
      <c r="J592" s="127"/>
      <c r="K592" s="128"/>
    </row>
    <row r="593" spans="1:11" ht="12.75" hidden="1" x14ac:dyDescent="0.2">
      <c r="A593" s="95"/>
      <c r="B593" s="95"/>
      <c r="C593" s="94"/>
      <c r="D593" s="95"/>
      <c r="E593" s="96"/>
      <c r="F593" s="96"/>
      <c r="H593" s="98"/>
      <c r="I593" s="126"/>
      <c r="J593" s="127"/>
      <c r="K593" s="128"/>
    </row>
    <row r="594" spans="1:11" ht="12.75" hidden="1" x14ac:dyDescent="0.2">
      <c r="A594" s="95"/>
      <c r="B594" s="95"/>
      <c r="C594" s="94"/>
      <c r="D594" s="95"/>
      <c r="E594" s="96"/>
      <c r="F594" s="96"/>
      <c r="H594" s="98"/>
      <c r="I594" s="126"/>
      <c r="J594" s="127"/>
      <c r="K594" s="128"/>
    </row>
    <row r="595" spans="1:11" ht="12.75" hidden="1" x14ac:dyDescent="0.2">
      <c r="A595" s="95"/>
      <c r="B595" s="95"/>
      <c r="C595" s="94"/>
      <c r="D595" s="95"/>
      <c r="E595" s="96"/>
      <c r="F595" s="96"/>
      <c r="H595" s="98"/>
      <c r="I595" s="126"/>
      <c r="J595" s="127"/>
      <c r="K595" s="128"/>
    </row>
    <row r="596" spans="1:11" ht="12.75" hidden="1" x14ac:dyDescent="0.2">
      <c r="A596" s="95"/>
      <c r="B596" s="95"/>
      <c r="C596" s="94"/>
      <c r="D596" s="95"/>
      <c r="E596" s="96"/>
      <c r="F596" s="96"/>
      <c r="H596" s="98"/>
      <c r="I596" s="126"/>
      <c r="J596" s="127"/>
      <c r="K596" s="128"/>
    </row>
    <row r="597" spans="1:11" ht="12.75" hidden="1" x14ac:dyDescent="0.2">
      <c r="A597" s="95"/>
      <c r="B597" s="95"/>
      <c r="C597" s="94"/>
      <c r="D597" s="95"/>
      <c r="E597" s="96"/>
      <c r="F597" s="96"/>
      <c r="H597" s="98"/>
      <c r="I597" s="126"/>
      <c r="J597" s="127"/>
      <c r="K597" s="128"/>
    </row>
    <row r="598" spans="1:11" ht="12.75" hidden="1" x14ac:dyDescent="0.2">
      <c r="A598" s="95"/>
      <c r="B598" s="95"/>
      <c r="C598" s="94"/>
      <c r="D598" s="95"/>
      <c r="E598" s="96"/>
      <c r="F598" s="96"/>
      <c r="H598" s="98"/>
      <c r="I598" s="126"/>
      <c r="J598" s="127"/>
      <c r="K598" s="128"/>
    </row>
    <row r="599" spans="1:11" ht="12.75" hidden="1" x14ac:dyDescent="0.2">
      <c r="A599" s="95"/>
      <c r="B599" s="95"/>
      <c r="C599" s="94"/>
      <c r="D599" s="95"/>
      <c r="E599" s="96"/>
      <c r="F599" s="96"/>
      <c r="H599" s="98"/>
      <c r="I599" s="126"/>
      <c r="J599" s="127"/>
      <c r="K599" s="128"/>
    </row>
    <row r="600" spans="1:11" ht="12.75" hidden="1" x14ac:dyDescent="0.2">
      <c r="A600" s="95"/>
      <c r="B600" s="95"/>
      <c r="C600" s="94"/>
      <c r="D600" s="95"/>
      <c r="E600" s="96"/>
      <c r="F600" s="96"/>
      <c r="H600" s="98"/>
      <c r="I600" s="126"/>
      <c r="J600" s="127"/>
      <c r="K600" s="128"/>
    </row>
    <row r="601" spans="1:11" ht="12.75" hidden="1" x14ac:dyDescent="0.2">
      <c r="A601" s="95"/>
      <c r="B601" s="95"/>
      <c r="C601" s="94"/>
      <c r="D601" s="95"/>
      <c r="E601" s="96"/>
      <c r="F601" s="96"/>
      <c r="H601" s="98"/>
      <c r="I601" s="126"/>
      <c r="J601" s="127"/>
      <c r="K601" s="128"/>
    </row>
    <row r="602" spans="1:11" ht="12.75" hidden="1" x14ac:dyDescent="0.2">
      <c r="A602" s="95"/>
      <c r="B602" s="95"/>
      <c r="C602" s="94"/>
      <c r="D602" s="95"/>
      <c r="E602" s="96"/>
      <c r="F602" s="96"/>
      <c r="H602" s="98"/>
      <c r="I602" s="126"/>
      <c r="J602" s="127"/>
      <c r="K602" s="128"/>
    </row>
    <row r="603" spans="1:11" ht="12.75" hidden="1" x14ac:dyDescent="0.2">
      <c r="A603" s="95"/>
      <c r="B603" s="95"/>
      <c r="C603" s="94"/>
      <c r="D603" s="95"/>
      <c r="E603" s="96"/>
      <c r="F603" s="96"/>
      <c r="H603" s="98"/>
      <c r="I603" s="126"/>
      <c r="J603" s="127"/>
      <c r="K603" s="128"/>
    </row>
    <row r="604" spans="1:11" ht="12.75" hidden="1" x14ac:dyDescent="0.2">
      <c r="A604" s="95"/>
      <c r="B604" s="95"/>
      <c r="C604" s="94"/>
      <c r="D604" s="95"/>
      <c r="E604" s="96"/>
      <c r="F604" s="96"/>
      <c r="H604" s="98"/>
      <c r="I604" s="126"/>
      <c r="J604" s="127"/>
      <c r="K604" s="128"/>
    </row>
    <row r="605" spans="1:11" ht="12.75" hidden="1" x14ac:dyDescent="0.2">
      <c r="A605" s="95"/>
      <c r="B605" s="95"/>
      <c r="C605" s="94"/>
      <c r="D605" s="95"/>
      <c r="E605" s="96"/>
      <c r="F605" s="96"/>
      <c r="H605" s="98"/>
      <c r="I605" s="126"/>
      <c r="J605" s="127"/>
      <c r="K605" s="128"/>
    </row>
    <row r="606" spans="1:11" ht="12.75" hidden="1" x14ac:dyDescent="0.2">
      <c r="A606" s="95"/>
      <c r="B606" s="95"/>
      <c r="C606" s="94"/>
      <c r="D606" s="95"/>
      <c r="E606" s="96"/>
      <c r="F606" s="96"/>
      <c r="H606" s="98"/>
      <c r="I606" s="126"/>
      <c r="J606" s="127"/>
      <c r="K606" s="128"/>
    </row>
    <row r="607" spans="1:11" ht="12.75" hidden="1" x14ac:dyDescent="0.2">
      <c r="A607" s="95"/>
      <c r="B607" s="95"/>
      <c r="C607" s="94"/>
      <c r="D607" s="95"/>
      <c r="E607" s="96"/>
      <c r="F607" s="96"/>
      <c r="H607" s="98"/>
      <c r="I607" s="126"/>
      <c r="J607" s="127"/>
      <c r="K607" s="128"/>
    </row>
    <row r="608" spans="1:11" ht="12.75" hidden="1" x14ac:dyDescent="0.2">
      <c r="A608" s="95"/>
      <c r="B608" s="95"/>
      <c r="C608" s="94"/>
      <c r="D608" s="95"/>
      <c r="E608" s="96"/>
      <c r="F608" s="96"/>
      <c r="H608" s="98"/>
      <c r="I608" s="126"/>
      <c r="J608" s="127"/>
      <c r="K608" s="128"/>
    </row>
    <row r="609" spans="1:11" ht="12.75" hidden="1" x14ac:dyDescent="0.2">
      <c r="A609" s="95"/>
      <c r="B609" s="95"/>
      <c r="C609" s="94"/>
      <c r="D609" s="95"/>
      <c r="E609" s="96"/>
      <c r="F609" s="96"/>
      <c r="H609" s="98"/>
      <c r="I609" s="126"/>
      <c r="J609" s="127"/>
      <c r="K609" s="128"/>
    </row>
    <row r="610" spans="1:11" ht="12.75" hidden="1" x14ac:dyDescent="0.2">
      <c r="A610" s="95"/>
      <c r="B610" s="95"/>
      <c r="C610" s="94"/>
      <c r="D610" s="95"/>
      <c r="E610" s="96"/>
      <c r="F610" s="96"/>
      <c r="H610" s="98"/>
      <c r="I610" s="126"/>
      <c r="J610" s="127"/>
      <c r="K610" s="128"/>
    </row>
    <row r="611" spans="1:11" ht="12.75" hidden="1" x14ac:dyDescent="0.2">
      <c r="A611" s="95"/>
      <c r="B611" s="95"/>
      <c r="C611" s="94"/>
      <c r="D611" s="95"/>
      <c r="E611" s="96"/>
      <c r="F611" s="96"/>
      <c r="H611" s="98"/>
      <c r="I611" s="126"/>
      <c r="J611" s="127"/>
      <c r="K611" s="128"/>
    </row>
    <row r="612" spans="1:11" ht="12.75" hidden="1" x14ac:dyDescent="0.2">
      <c r="A612" s="95"/>
      <c r="B612" s="95"/>
      <c r="C612" s="94"/>
      <c r="D612" s="95"/>
      <c r="E612" s="96"/>
      <c r="F612" s="96"/>
      <c r="H612" s="98"/>
      <c r="I612" s="126"/>
      <c r="J612" s="127"/>
      <c r="K612" s="128"/>
    </row>
    <row r="613" spans="1:11" ht="12.75" hidden="1" x14ac:dyDescent="0.2">
      <c r="A613" s="95"/>
      <c r="B613" s="95"/>
      <c r="C613" s="94"/>
      <c r="D613" s="95"/>
      <c r="E613" s="96"/>
      <c r="F613" s="96"/>
      <c r="H613" s="98"/>
      <c r="I613" s="126"/>
      <c r="J613" s="127"/>
      <c r="K613" s="128"/>
    </row>
    <row r="614" spans="1:11" ht="12.75" hidden="1" x14ac:dyDescent="0.2">
      <c r="A614" s="95"/>
      <c r="B614" s="95"/>
      <c r="C614" s="94"/>
      <c r="D614" s="95"/>
      <c r="E614" s="96"/>
      <c r="F614" s="96"/>
      <c r="H614" s="98"/>
      <c r="I614" s="126"/>
      <c r="J614" s="127"/>
      <c r="K614" s="128"/>
    </row>
    <row r="615" spans="1:11" ht="12.75" hidden="1" x14ac:dyDescent="0.2">
      <c r="A615" s="95"/>
      <c r="B615" s="95"/>
      <c r="C615" s="94"/>
      <c r="D615" s="95"/>
      <c r="E615" s="96"/>
      <c r="F615" s="96"/>
      <c r="H615" s="98"/>
      <c r="I615" s="126"/>
      <c r="J615" s="127"/>
      <c r="K615" s="128"/>
    </row>
    <row r="616" spans="1:11" ht="12.75" hidden="1" x14ac:dyDescent="0.2">
      <c r="A616" s="95"/>
      <c r="B616" s="95"/>
      <c r="C616" s="94"/>
      <c r="D616" s="95"/>
      <c r="E616" s="96"/>
      <c r="F616" s="96"/>
      <c r="H616" s="98"/>
      <c r="I616" s="126"/>
      <c r="J616" s="127"/>
      <c r="K616" s="128"/>
    </row>
    <row r="617" spans="1:11" ht="12.75" hidden="1" x14ac:dyDescent="0.2">
      <c r="A617" s="95"/>
      <c r="B617" s="95"/>
      <c r="C617" s="94"/>
      <c r="D617" s="95"/>
      <c r="E617" s="96"/>
      <c r="F617" s="96"/>
      <c r="H617" s="98"/>
      <c r="I617" s="126"/>
      <c r="J617" s="127"/>
      <c r="K617" s="128"/>
    </row>
    <row r="618" spans="1:11" ht="12.75" hidden="1" x14ac:dyDescent="0.2">
      <c r="A618" s="95"/>
      <c r="B618" s="95"/>
      <c r="C618" s="94"/>
      <c r="D618" s="95"/>
      <c r="E618" s="96"/>
      <c r="F618" s="96"/>
      <c r="H618" s="98"/>
      <c r="I618" s="126"/>
      <c r="J618" s="127"/>
      <c r="K618" s="128"/>
    </row>
    <row r="619" spans="1:11" ht="12.75" hidden="1" x14ac:dyDescent="0.2">
      <c r="A619" s="95"/>
      <c r="B619" s="95"/>
      <c r="C619" s="94"/>
      <c r="D619" s="95"/>
      <c r="E619" s="96"/>
      <c r="F619" s="96"/>
      <c r="H619" s="98"/>
      <c r="I619" s="126"/>
      <c r="J619" s="127"/>
      <c r="K619" s="128"/>
    </row>
    <row r="620" spans="1:11" ht="12.75" hidden="1" x14ac:dyDescent="0.2">
      <c r="A620" s="95"/>
      <c r="B620" s="95"/>
      <c r="C620" s="94"/>
      <c r="D620" s="95"/>
      <c r="E620" s="96"/>
      <c r="F620" s="96"/>
      <c r="H620" s="98"/>
      <c r="I620" s="126"/>
      <c r="J620" s="127"/>
      <c r="K620" s="128"/>
    </row>
    <row r="621" spans="1:11" ht="12.75" hidden="1" x14ac:dyDescent="0.2">
      <c r="A621" s="95"/>
      <c r="B621" s="95"/>
      <c r="C621" s="94"/>
      <c r="D621" s="95"/>
      <c r="E621" s="96"/>
      <c r="F621" s="96"/>
      <c r="H621" s="98"/>
      <c r="I621" s="126"/>
      <c r="J621" s="127"/>
      <c r="K621" s="128"/>
    </row>
    <row r="622" spans="1:11" ht="12.75" hidden="1" x14ac:dyDescent="0.2">
      <c r="A622" s="95"/>
      <c r="B622" s="95"/>
      <c r="C622" s="94"/>
      <c r="D622" s="95"/>
      <c r="E622" s="96"/>
      <c r="F622" s="96"/>
      <c r="H622" s="98"/>
      <c r="I622" s="126"/>
      <c r="J622" s="127"/>
      <c r="K622" s="128"/>
    </row>
    <row r="623" spans="1:11" ht="12.75" hidden="1" x14ac:dyDescent="0.2">
      <c r="A623" s="95"/>
      <c r="B623" s="95"/>
      <c r="C623" s="94"/>
      <c r="D623" s="95"/>
      <c r="E623" s="96"/>
      <c r="F623" s="96"/>
      <c r="H623" s="98"/>
      <c r="I623" s="126"/>
      <c r="J623" s="127"/>
      <c r="K623" s="128"/>
    </row>
    <row r="624" spans="1:11" ht="12.75" hidden="1" x14ac:dyDescent="0.2">
      <c r="A624" s="95"/>
      <c r="B624" s="95"/>
      <c r="C624" s="94"/>
      <c r="D624" s="95"/>
      <c r="E624" s="96"/>
      <c r="F624" s="96"/>
      <c r="H624" s="98"/>
      <c r="I624" s="126"/>
      <c r="J624" s="127"/>
      <c r="K624" s="128"/>
    </row>
    <row r="625" spans="1:11" ht="12.75" hidden="1" x14ac:dyDescent="0.2">
      <c r="A625" s="95"/>
      <c r="B625" s="95"/>
      <c r="C625" s="94"/>
      <c r="D625" s="95"/>
      <c r="E625" s="96"/>
      <c r="F625" s="96"/>
      <c r="H625" s="98"/>
      <c r="I625" s="126"/>
      <c r="J625" s="127"/>
      <c r="K625" s="128"/>
    </row>
    <row r="626" spans="1:11" ht="12.75" hidden="1" x14ac:dyDescent="0.2">
      <c r="A626" s="95"/>
      <c r="B626" s="95"/>
      <c r="C626" s="94"/>
      <c r="D626" s="95"/>
      <c r="E626" s="96"/>
      <c r="F626" s="96"/>
      <c r="H626" s="98"/>
      <c r="I626" s="126"/>
      <c r="J626" s="127"/>
      <c r="K626" s="128"/>
    </row>
    <row r="627" spans="1:11" ht="12.75" hidden="1" x14ac:dyDescent="0.2">
      <c r="A627" s="95"/>
      <c r="B627" s="95"/>
      <c r="C627" s="94"/>
      <c r="D627" s="95"/>
      <c r="E627" s="96"/>
      <c r="F627" s="96"/>
      <c r="H627" s="98"/>
      <c r="I627" s="126"/>
      <c r="J627" s="127"/>
      <c r="K627" s="128"/>
    </row>
    <row r="628" spans="1:11" ht="12.75" hidden="1" x14ac:dyDescent="0.2">
      <c r="A628" s="95"/>
      <c r="B628" s="95"/>
      <c r="C628" s="94"/>
      <c r="D628" s="95"/>
      <c r="E628" s="96"/>
      <c r="F628" s="96"/>
      <c r="H628" s="98"/>
      <c r="I628" s="126"/>
      <c r="J628" s="127"/>
      <c r="K628" s="128"/>
    </row>
    <row r="629" spans="1:11" ht="12.75" hidden="1" x14ac:dyDescent="0.2">
      <c r="A629" s="95"/>
      <c r="B629" s="95"/>
      <c r="C629" s="94"/>
      <c r="D629" s="95"/>
      <c r="E629" s="96"/>
      <c r="F629" s="96"/>
      <c r="H629" s="98"/>
      <c r="I629" s="126"/>
      <c r="J629" s="127"/>
      <c r="K629" s="128"/>
    </row>
    <row r="630" spans="1:11" ht="12.75" hidden="1" x14ac:dyDescent="0.2">
      <c r="A630" s="95"/>
      <c r="B630" s="95"/>
      <c r="C630" s="94"/>
      <c r="D630" s="95"/>
      <c r="E630" s="96"/>
      <c r="F630" s="96"/>
      <c r="H630" s="98"/>
      <c r="I630" s="126"/>
      <c r="J630" s="127"/>
      <c r="K630" s="128"/>
    </row>
    <row r="631" spans="1:11" ht="12.75" hidden="1" x14ac:dyDescent="0.2">
      <c r="A631" s="95"/>
      <c r="B631" s="95"/>
      <c r="C631" s="94"/>
      <c r="D631" s="95"/>
      <c r="E631" s="96"/>
      <c r="F631" s="96"/>
      <c r="H631" s="98"/>
      <c r="I631" s="126"/>
      <c r="J631" s="127"/>
      <c r="K631" s="128"/>
    </row>
    <row r="632" spans="1:11" ht="12.75" hidden="1" x14ac:dyDescent="0.2">
      <c r="A632" s="95"/>
      <c r="B632" s="95"/>
      <c r="C632" s="94"/>
      <c r="D632" s="95"/>
      <c r="E632" s="96"/>
      <c r="F632" s="96"/>
      <c r="H632" s="98"/>
      <c r="I632" s="126"/>
      <c r="J632" s="127"/>
      <c r="K632" s="128"/>
    </row>
    <row r="633" spans="1:11" ht="12.75" hidden="1" x14ac:dyDescent="0.2">
      <c r="A633" s="95"/>
      <c r="B633" s="95"/>
      <c r="C633" s="94"/>
      <c r="D633" s="95"/>
      <c r="E633" s="96"/>
      <c r="F633" s="96"/>
      <c r="H633" s="98"/>
      <c r="I633" s="126"/>
      <c r="J633" s="127"/>
      <c r="K633" s="128"/>
    </row>
    <row r="634" spans="1:11" ht="12.75" hidden="1" x14ac:dyDescent="0.2">
      <c r="A634" s="95"/>
      <c r="B634" s="95"/>
      <c r="C634" s="94"/>
      <c r="D634" s="95"/>
      <c r="E634" s="96"/>
      <c r="F634" s="96"/>
      <c r="H634" s="98"/>
      <c r="I634" s="126"/>
      <c r="J634" s="127"/>
      <c r="K634" s="128"/>
    </row>
    <row r="635" spans="1:11" ht="12.75" hidden="1" x14ac:dyDescent="0.2">
      <c r="A635" s="95"/>
      <c r="B635" s="95"/>
      <c r="C635" s="94"/>
      <c r="D635" s="95"/>
      <c r="E635" s="96"/>
      <c r="F635" s="96"/>
      <c r="H635" s="98"/>
      <c r="I635" s="126"/>
      <c r="J635" s="127"/>
      <c r="K635" s="128"/>
    </row>
    <row r="636" spans="1:11" ht="12.75" hidden="1" x14ac:dyDescent="0.2">
      <c r="A636" s="95"/>
      <c r="B636" s="95"/>
      <c r="C636" s="94"/>
      <c r="D636" s="95"/>
      <c r="E636" s="96"/>
      <c r="F636" s="96"/>
      <c r="H636" s="98"/>
      <c r="I636" s="126"/>
      <c r="J636" s="127"/>
      <c r="K636" s="128"/>
    </row>
    <row r="637" spans="1:11" ht="12.75" hidden="1" x14ac:dyDescent="0.2">
      <c r="A637" s="95"/>
      <c r="B637" s="95"/>
      <c r="C637" s="94"/>
      <c r="D637" s="95"/>
      <c r="E637" s="96"/>
      <c r="F637" s="96"/>
      <c r="H637" s="98"/>
      <c r="I637" s="126"/>
      <c r="J637" s="127"/>
      <c r="K637" s="128"/>
    </row>
    <row r="638" spans="1:11" ht="12.75" hidden="1" x14ac:dyDescent="0.2">
      <c r="A638" s="95"/>
      <c r="B638" s="95"/>
      <c r="C638" s="94"/>
      <c r="D638" s="95"/>
      <c r="E638" s="96"/>
      <c r="F638" s="96"/>
      <c r="H638" s="98"/>
      <c r="I638" s="126"/>
      <c r="J638" s="127"/>
      <c r="K638" s="128"/>
    </row>
    <row r="639" spans="1:11" ht="12.75" hidden="1" x14ac:dyDescent="0.2">
      <c r="A639" s="95"/>
      <c r="B639" s="95"/>
      <c r="C639" s="94"/>
      <c r="D639" s="95"/>
      <c r="E639" s="96"/>
      <c r="F639" s="96"/>
      <c r="H639" s="98"/>
      <c r="I639" s="126"/>
      <c r="J639" s="127"/>
      <c r="K639" s="128"/>
    </row>
    <row r="640" spans="1:11" ht="12.75" hidden="1" x14ac:dyDescent="0.2">
      <c r="A640" s="95"/>
      <c r="B640" s="95"/>
      <c r="C640" s="94"/>
      <c r="D640" s="95"/>
      <c r="E640" s="96"/>
      <c r="F640" s="96"/>
      <c r="H640" s="98"/>
      <c r="I640" s="126"/>
      <c r="J640" s="127"/>
      <c r="K640" s="128"/>
    </row>
    <row r="641" spans="1:11" ht="12.75" hidden="1" x14ac:dyDescent="0.2">
      <c r="A641" s="95"/>
      <c r="B641" s="95"/>
      <c r="C641" s="94"/>
      <c r="D641" s="95"/>
      <c r="E641" s="96"/>
      <c r="F641" s="96"/>
      <c r="H641" s="98"/>
      <c r="I641" s="126"/>
      <c r="J641" s="127"/>
      <c r="K641" s="128"/>
    </row>
    <row r="642" spans="1:11" ht="12.75" hidden="1" x14ac:dyDescent="0.2">
      <c r="A642" s="95"/>
      <c r="B642" s="95"/>
      <c r="C642" s="94"/>
      <c r="D642" s="95"/>
      <c r="E642" s="96"/>
      <c r="F642" s="96"/>
      <c r="H642" s="98"/>
      <c r="I642" s="126"/>
      <c r="J642" s="127"/>
      <c r="K642" s="128"/>
    </row>
    <row r="643" spans="1:11" ht="12.75" hidden="1" x14ac:dyDescent="0.2">
      <c r="A643" s="95"/>
      <c r="B643" s="95"/>
      <c r="C643" s="94"/>
      <c r="D643" s="95"/>
      <c r="E643" s="96"/>
      <c r="F643" s="96"/>
      <c r="H643" s="98"/>
      <c r="I643" s="126"/>
      <c r="J643" s="127"/>
      <c r="K643" s="128"/>
    </row>
    <row r="644" spans="1:11" ht="12.75" hidden="1" x14ac:dyDescent="0.2">
      <c r="A644" s="95"/>
      <c r="B644" s="95"/>
      <c r="C644" s="94"/>
      <c r="D644" s="95"/>
      <c r="E644" s="96"/>
      <c r="F644" s="96"/>
      <c r="H644" s="98"/>
      <c r="I644" s="126"/>
      <c r="J644" s="127"/>
      <c r="K644" s="128"/>
    </row>
    <row r="645" spans="1:11" ht="12.75" hidden="1" x14ac:dyDescent="0.2">
      <c r="A645" s="95"/>
      <c r="B645" s="95"/>
      <c r="C645" s="94"/>
      <c r="D645" s="95"/>
      <c r="E645" s="96"/>
      <c r="F645" s="96"/>
      <c r="H645" s="98"/>
      <c r="I645" s="126"/>
      <c r="J645" s="127"/>
      <c r="K645" s="128"/>
    </row>
    <row r="646" spans="1:11" ht="12.75" hidden="1" x14ac:dyDescent="0.2">
      <c r="A646" s="95"/>
      <c r="B646" s="95"/>
      <c r="C646" s="94"/>
      <c r="D646" s="95"/>
      <c r="E646" s="96"/>
      <c r="F646" s="96"/>
      <c r="H646" s="98"/>
      <c r="I646" s="126"/>
      <c r="J646" s="127"/>
      <c r="K646" s="128"/>
    </row>
    <row r="647" spans="1:11" ht="12.75" hidden="1" x14ac:dyDescent="0.2">
      <c r="A647" s="95"/>
      <c r="B647" s="95"/>
      <c r="C647" s="94"/>
      <c r="D647" s="95"/>
      <c r="E647" s="96"/>
      <c r="F647" s="96"/>
      <c r="H647" s="98"/>
      <c r="I647" s="126"/>
      <c r="J647" s="127"/>
      <c r="K647" s="128"/>
    </row>
    <row r="648" spans="1:11" ht="12.75" hidden="1" x14ac:dyDescent="0.2">
      <c r="A648" s="95"/>
      <c r="B648" s="95"/>
      <c r="C648" s="94"/>
      <c r="D648" s="95"/>
      <c r="E648" s="96"/>
      <c r="F648" s="96"/>
      <c r="H648" s="98"/>
      <c r="I648" s="126"/>
      <c r="J648" s="127"/>
      <c r="K648" s="128"/>
    </row>
    <row r="649" spans="1:11" ht="12.75" hidden="1" x14ac:dyDescent="0.2">
      <c r="A649" s="95"/>
      <c r="B649" s="95"/>
      <c r="C649" s="94"/>
      <c r="D649" s="95"/>
      <c r="E649" s="96"/>
      <c r="F649" s="96"/>
      <c r="H649" s="98"/>
      <c r="I649" s="126"/>
      <c r="J649" s="127"/>
      <c r="K649" s="128"/>
    </row>
    <row r="650" spans="1:11" ht="12.75" hidden="1" x14ac:dyDescent="0.2">
      <c r="A650" s="95"/>
      <c r="B650" s="95"/>
      <c r="C650" s="94"/>
      <c r="D650" s="95"/>
      <c r="E650" s="96"/>
      <c r="F650" s="96"/>
      <c r="H650" s="98"/>
      <c r="I650" s="126"/>
      <c r="J650" s="127"/>
      <c r="K650" s="128"/>
    </row>
    <row r="651" spans="1:11" ht="12.75" hidden="1" x14ac:dyDescent="0.2">
      <c r="A651" s="95"/>
      <c r="B651" s="95"/>
      <c r="C651" s="94"/>
      <c r="D651" s="95"/>
      <c r="E651" s="96"/>
      <c r="F651" s="96"/>
      <c r="H651" s="98"/>
      <c r="I651" s="126"/>
      <c r="J651" s="127"/>
      <c r="K651" s="128"/>
    </row>
    <row r="652" spans="1:11" ht="12.75" hidden="1" x14ac:dyDescent="0.2">
      <c r="A652" s="95"/>
      <c r="B652" s="95"/>
      <c r="C652" s="94"/>
      <c r="D652" s="95"/>
      <c r="E652" s="96"/>
      <c r="F652" s="96"/>
      <c r="H652" s="98"/>
      <c r="I652" s="126"/>
      <c r="J652" s="127"/>
      <c r="K652" s="128"/>
    </row>
    <row r="653" spans="1:11" ht="12.75" hidden="1" x14ac:dyDescent="0.2">
      <c r="A653" s="95"/>
      <c r="B653" s="95"/>
      <c r="C653" s="94"/>
      <c r="D653" s="95"/>
      <c r="E653" s="96"/>
      <c r="F653" s="96"/>
      <c r="H653" s="98"/>
      <c r="I653" s="126"/>
      <c r="J653" s="127"/>
      <c r="K653" s="128"/>
    </row>
    <row r="654" spans="1:11" ht="12.75" hidden="1" x14ac:dyDescent="0.2">
      <c r="A654" s="95"/>
      <c r="B654" s="95"/>
      <c r="C654" s="94"/>
      <c r="D654" s="95"/>
      <c r="E654" s="96"/>
      <c r="F654" s="96"/>
      <c r="H654" s="98"/>
      <c r="I654" s="126"/>
      <c r="J654" s="127"/>
      <c r="K654" s="128"/>
    </row>
    <row r="655" spans="1:11" ht="12.75" hidden="1" x14ac:dyDescent="0.2">
      <c r="A655" s="95"/>
      <c r="B655" s="95"/>
      <c r="C655" s="94"/>
      <c r="D655" s="95"/>
      <c r="E655" s="96"/>
      <c r="F655" s="96"/>
      <c r="H655" s="98"/>
      <c r="I655" s="126"/>
      <c r="J655" s="127"/>
      <c r="K655" s="128"/>
    </row>
    <row r="656" spans="1:11" ht="12.75" hidden="1" x14ac:dyDescent="0.2">
      <c r="A656" s="95"/>
      <c r="B656" s="95"/>
      <c r="C656" s="94"/>
      <c r="D656" s="95"/>
      <c r="E656" s="96"/>
      <c r="F656" s="96"/>
      <c r="H656" s="98"/>
      <c r="I656" s="126"/>
      <c r="J656" s="127"/>
      <c r="K656" s="128"/>
    </row>
    <row r="657" spans="1:11" ht="12.75" hidden="1" x14ac:dyDescent="0.2">
      <c r="A657" s="95"/>
      <c r="B657" s="95"/>
      <c r="C657" s="94"/>
      <c r="D657" s="95"/>
      <c r="E657" s="96"/>
      <c r="F657" s="96"/>
      <c r="H657" s="98"/>
      <c r="I657" s="126"/>
      <c r="J657" s="127"/>
      <c r="K657" s="128"/>
    </row>
    <row r="658" spans="1:11" ht="12.75" hidden="1" x14ac:dyDescent="0.2">
      <c r="A658" s="95"/>
      <c r="B658" s="95"/>
      <c r="C658" s="94"/>
      <c r="D658" s="95"/>
      <c r="E658" s="96"/>
      <c r="F658" s="96"/>
      <c r="H658" s="98"/>
      <c r="I658" s="126"/>
      <c r="J658" s="127"/>
      <c r="K658" s="128"/>
    </row>
    <row r="659" spans="1:11" ht="12.75" hidden="1" x14ac:dyDescent="0.2">
      <c r="A659" s="95"/>
      <c r="B659" s="95"/>
      <c r="C659" s="94"/>
      <c r="D659" s="95"/>
      <c r="E659" s="96"/>
      <c r="F659" s="96"/>
      <c r="H659" s="98"/>
      <c r="I659" s="126"/>
      <c r="J659" s="127"/>
      <c r="K659" s="128"/>
    </row>
    <row r="660" spans="1:11" ht="12.75" hidden="1" x14ac:dyDescent="0.2">
      <c r="A660" s="95"/>
      <c r="B660" s="95"/>
      <c r="C660" s="94"/>
      <c r="D660" s="95"/>
      <c r="E660" s="96"/>
      <c r="F660" s="96"/>
      <c r="H660" s="98"/>
      <c r="I660" s="126"/>
      <c r="J660" s="127"/>
      <c r="K660" s="128"/>
    </row>
    <row r="661" spans="1:11" ht="12.75" hidden="1" x14ac:dyDescent="0.2">
      <c r="A661" s="95"/>
      <c r="B661" s="95"/>
      <c r="C661" s="94"/>
      <c r="D661" s="95"/>
      <c r="E661" s="96"/>
      <c r="F661" s="96"/>
      <c r="H661" s="98"/>
      <c r="I661" s="126"/>
      <c r="J661" s="127"/>
      <c r="K661" s="128"/>
    </row>
    <row r="662" spans="1:11" ht="12.75" hidden="1" x14ac:dyDescent="0.2">
      <c r="A662" s="95"/>
      <c r="B662" s="95"/>
      <c r="C662" s="94"/>
      <c r="D662" s="95"/>
      <c r="E662" s="96"/>
      <c r="F662" s="96"/>
      <c r="H662" s="98"/>
      <c r="I662" s="126"/>
      <c r="J662" s="127"/>
      <c r="K662" s="128"/>
    </row>
    <row r="663" spans="1:11" ht="12.75" hidden="1" x14ac:dyDescent="0.2">
      <c r="A663" s="95"/>
      <c r="B663" s="95"/>
      <c r="C663" s="94"/>
      <c r="D663" s="95"/>
      <c r="E663" s="96"/>
      <c r="F663" s="96"/>
      <c r="H663" s="98"/>
      <c r="I663" s="126"/>
      <c r="J663" s="127"/>
      <c r="K663" s="128"/>
    </row>
    <row r="664" spans="1:11" ht="12.75" hidden="1" x14ac:dyDescent="0.2">
      <c r="A664" s="95"/>
      <c r="B664" s="95"/>
      <c r="C664" s="94"/>
      <c r="D664" s="95"/>
      <c r="E664" s="96"/>
      <c r="F664" s="96"/>
      <c r="H664" s="98"/>
      <c r="I664" s="126"/>
      <c r="J664" s="127"/>
      <c r="K664" s="128"/>
    </row>
    <row r="665" spans="1:11" ht="12.75" hidden="1" x14ac:dyDescent="0.2">
      <c r="A665" s="95"/>
      <c r="B665" s="95"/>
      <c r="C665" s="94"/>
      <c r="D665" s="95"/>
      <c r="E665" s="96"/>
      <c r="F665" s="96"/>
      <c r="H665" s="98"/>
      <c r="I665" s="126"/>
      <c r="J665" s="127"/>
      <c r="K665" s="128"/>
    </row>
    <row r="666" spans="1:11" ht="12.75" hidden="1" x14ac:dyDescent="0.2">
      <c r="A666" s="95"/>
      <c r="B666" s="95"/>
      <c r="C666" s="94"/>
      <c r="D666" s="95"/>
      <c r="E666" s="96"/>
      <c r="F666" s="96"/>
      <c r="H666" s="98"/>
      <c r="I666" s="126"/>
      <c r="J666" s="127"/>
      <c r="K666" s="128"/>
    </row>
    <row r="667" spans="1:11" ht="12.75" hidden="1" x14ac:dyDescent="0.2">
      <c r="A667" s="95"/>
      <c r="B667" s="95"/>
      <c r="C667" s="94"/>
      <c r="D667" s="95"/>
      <c r="E667" s="96"/>
      <c r="F667" s="96"/>
      <c r="H667" s="98"/>
      <c r="I667" s="126"/>
      <c r="J667" s="127"/>
      <c r="K667" s="128"/>
    </row>
    <row r="668" spans="1:11" ht="12.75" hidden="1" x14ac:dyDescent="0.2">
      <c r="A668" s="95"/>
      <c r="B668" s="95"/>
      <c r="C668" s="94"/>
      <c r="D668" s="95"/>
      <c r="E668" s="96"/>
      <c r="F668" s="96"/>
      <c r="H668" s="98"/>
      <c r="I668" s="126"/>
      <c r="J668" s="127"/>
      <c r="K668" s="128"/>
    </row>
    <row r="669" spans="1:11" ht="12.75" hidden="1" x14ac:dyDescent="0.2">
      <c r="A669" s="95"/>
      <c r="B669" s="95"/>
      <c r="C669" s="94"/>
      <c r="D669" s="95"/>
      <c r="E669" s="96"/>
      <c r="F669" s="96"/>
      <c r="H669" s="98"/>
      <c r="I669" s="126"/>
      <c r="J669" s="127"/>
      <c r="K669" s="128"/>
    </row>
    <row r="670" spans="1:11" ht="12.75" hidden="1" x14ac:dyDescent="0.2">
      <c r="A670" s="95"/>
      <c r="B670" s="95"/>
      <c r="C670" s="94"/>
      <c r="D670" s="95"/>
      <c r="E670" s="96"/>
      <c r="F670" s="96"/>
      <c r="H670" s="98"/>
      <c r="I670" s="126"/>
      <c r="J670" s="127"/>
      <c r="K670" s="128"/>
    </row>
    <row r="671" spans="1:11" ht="12.75" hidden="1" x14ac:dyDescent="0.2">
      <c r="A671" s="95"/>
      <c r="B671" s="95"/>
      <c r="C671" s="94"/>
      <c r="D671" s="95"/>
      <c r="E671" s="96"/>
      <c r="F671" s="96"/>
      <c r="H671" s="98"/>
      <c r="I671" s="126"/>
      <c r="J671" s="127"/>
      <c r="K671" s="128"/>
    </row>
    <row r="672" spans="1:11" ht="12.75" hidden="1" x14ac:dyDescent="0.2">
      <c r="A672" s="95"/>
      <c r="B672" s="95"/>
      <c r="C672" s="94"/>
      <c r="D672" s="95"/>
      <c r="E672" s="96"/>
      <c r="F672" s="96"/>
      <c r="H672" s="98"/>
      <c r="I672" s="126"/>
      <c r="J672" s="127"/>
      <c r="K672" s="128"/>
    </row>
    <row r="673" spans="1:11" ht="12.75" hidden="1" x14ac:dyDescent="0.2">
      <c r="A673" s="95"/>
      <c r="B673" s="95"/>
      <c r="C673" s="94"/>
      <c r="D673" s="95"/>
      <c r="E673" s="96"/>
      <c r="F673" s="96"/>
      <c r="H673" s="98"/>
      <c r="I673" s="126"/>
      <c r="J673" s="127"/>
      <c r="K673" s="128"/>
    </row>
    <row r="674" spans="1:11" ht="12.75" hidden="1" x14ac:dyDescent="0.2">
      <c r="A674" s="95"/>
      <c r="B674" s="95"/>
      <c r="C674" s="94"/>
      <c r="D674" s="95"/>
      <c r="E674" s="96"/>
      <c r="F674" s="96"/>
      <c r="H674" s="98"/>
      <c r="I674" s="126"/>
      <c r="J674" s="127"/>
      <c r="K674" s="128"/>
    </row>
    <row r="675" spans="1:11" ht="12.75" hidden="1" x14ac:dyDescent="0.2">
      <c r="A675" s="95"/>
      <c r="B675" s="95"/>
      <c r="C675" s="94"/>
      <c r="D675" s="95"/>
      <c r="E675" s="96"/>
      <c r="F675" s="96"/>
      <c r="H675" s="98"/>
      <c r="I675" s="126"/>
      <c r="J675" s="127"/>
      <c r="K675" s="128"/>
    </row>
    <row r="676" spans="1:11" ht="12.75" hidden="1" x14ac:dyDescent="0.2">
      <c r="A676" s="95"/>
      <c r="B676" s="95"/>
      <c r="C676" s="94"/>
      <c r="D676" s="95"/>
      <c r="E676" s="96"/>
      <c r="F676" s="96"/>
      <c r="H676" s="98"/>
      <c r="I676" s="126"/>
      <c r="J676" s="127"/>
      <c r="K676" s="128"/>
    </row>
    <row r="677" spans="1:11" ht="12.75" hidden="1" x14ac:dyDescent="0.2">
      <c r="A677" s="95"/>
      <c r="B677" s="95"/>
      <c r="C677" s="94"/>
      <c r="D677" s="95"/>
      <c r="E677" s="96"/>
      <c r="F677" s="96"/>
      <c r="H677" s="98"/>
      <c r="I677" s="126"/>
      <c r="J677" s="127"/>
      <c r="K677" s="128"/>
    </row>
    <row r="678" spans="1:11" ht="12.75" hidden="1" x14ac:dyDescent="0.2">
      <c r="A678" s="95"/>
      <c r="B678" s="95"/>
      <c r="C678" s="94"/>
      <c r="D678" s="95"/>
      <c r="E678" s="96"/>
      <c r="F678" s="96"/>
      <c r="H678" s="98"/>
      <c r="I678" s="126"/>
      <c r="J678" s="127"/>
      <c r="K678" s="128"/>
    </row>
    <row r="679" spans="1:11" ht="12.75" hidden="1" x14ac:dyDescent="0.2">
      <c r="A679" s="95"/>
      <c r="B679" s="95"/>
      <c r="C679" s="94"/>
      <c r="D679" s="95"/>
      <c r="E679" s="96"/>
      <c r="F679" s="96"/>
      <c r="H679" s="98"/>
      <c r="I679" s="126"/>
      <c r="J679" s="127"/>
      <c r="K679" s="128"/>
    </row>
    <row r="680" spans="1:11" ht="12.75" hidden="1" x14ac:dyDescent="0.2">
      <c r="A680" s="95"/>
      <c r="B680" s="95"/>
      <c r="C680" s="94"/>
      <c r="D680" s="95"/>
      <c r="E680" s="96"/>
      <c r="F680" s="96"/>
      <c r="H680" s="98"/>
      <c r="I680" s="126"/>
      <c r="J680" s="127"/>
      <c r="K680" s="128"/>
    </row>
    <row r="681" spans="1:11" ht="12.75" hidden="1" x14ac:dyDescent="0.2">
      <c r="A681" s="95"/>
      <c r="B681" s="95"/>
      <c r="C681" s="94"/>
      <c r="D681" s="95"/>
      <c r="E681" s="96"/>
      <c r="F681" s="96"/>
      <c r="H681" s="98"/>
      <c r="I681" s="126"/>
      <c r="J681" s="127"/>
      <c r="K681" s="128"/>
    </row>
    <row r="682" spans="1:11" ht="12.75" hidden="1" x14ac:dyDescent="0.2">
      <c r="A682" s="95"/>
      <c r="B682" s="95"/>
      <c r="C682" s="94"/>
      <c r="D682" s="95"/>
      <c r="E682" s="96"/>
      <c r="F682" s="96"/>
      <c r="H682" s="98"/>
      <c r="I682" s="126"/>
      <c r="J682" s="127"/>
      <c r="K682" s="128"/>
    </row>
    <row r="683" spans="1:11" ht="12.75" hidden="1" x14ac:dyDescent="0.2">
      <c r="A683" s="95"/>
      <c r="B683" s="95"/>
      <c r="C683" s="94"/>
      <c r="D683" s="95"/>
      <c r="E683" s="96"/>
      <c r="F683" s="96"/>
      <c r="H683" s="98"/>
      <c r="I683" s="126"/>
      <c r="J683" s="127"/>
      <c r="K683" s="128"/>
    </row>
    <row r="684" spans="1:11" ht="12.75" hidden="1" x14ac:dyDescent="0.2">
      <c r="A684" s="95"/>
      <c r="B684" s="95"/>
      <c r="C684" s="94"/>
      <c r="D684" s="95"/>
      <c r="E684" s="96"/>
      <c r="F684" s="96"/>
      <c r="H684" s="98"/>
      <c r="I684" s="126"/>
      <c r="J684" s="127"/>
      <c r="K684" s="128"/>
    </row>
    <row r="685" spans="1:11" ht="12.75" hidden="1" x14ac:dyDescent="0.2">
      <c r="A685" s="95"/>
      <c r="B685" s="95"/>
      <c r="C685" s="94"/>
      <c r="D685" s="95"/>
      <c r="E685" s="96"/>
      <c r="F685" s="96"/>
      <c r="H685" s="98"/>
      <c r="I685" s="126"/>
      <c r="J685" s="127"/>
      <c r="K685" s="128"/>
    </row>
    <row r="686" spans="1:11" ht="12.75" hidden="1" x14ac:dyDescent="0.2">
      <c r="A686" s="95"/>
      <c r="B686" s="95"/>
      <c r="C686" s="94"/>
      <c r="D686" s="95"/>
      <c r="E686" s="96"/>
      <c r="F686" s="96"/>
      <c r="H686" s="98"/>
      <c r="I686" s="126"/>
      <c r="J686" s="127"/>
      <c r="K686" s="128"/>
    </row>
    <row r="687" spans="1:11" ht="12.75" hidden="1" x14ac:dyDescent="0.2">
      <c r="A687" s="95"/>
      <c r="B687" s="95"/>
      <c r="C687" s="94"/>
      <c r="D687" s="95"/>
      <c r="E687" s="96"/>
      <c r="F687" s="96"/>
      <c r="H687" s="98"/>
      <c r="I687" s="126"/>
      <c r="J687" s="127"/>
      <c r="K687" s="128"/>
    </row>
    <row r="688" spans="1:11" ht="12.75" hidden="1" x14ac:dyDescent="0.2">
      <c r="A688" s="95"/>
      <c r="B688" s="95"/>
      <c r="C688" s="94"/>
      <c r="D688" s="95"/>
      <c r="E688" s="96"/>
      <c r="F688" s="96"/>
      <c r="H688" s="98"/>
      <c r="I688" s="126"/>
      <c r="J688" s="127"/>
      <c r="K688" s="128"/>
    </row>
    <row r="689" spans="1:11" ht="12.75" hidden="1" x14ac:dyDescent="0.2">
      <c r="A689" s="95"/>
      <c r="B689" s="95"/>
      <c r="C689" s="94"/>
      <c r="D689" s="95"/>
      <c r="E689" s="96"/>
      <c r="F689" s="96"/>
      <c r="H689" s="98"/>
      <c r="I689" s="126"/>
      <c r="J689" s="127"/>
      <c r="K689" s="128"/>
    </row>
    <row r="690" spans="1:11" ht="12.75" hidden="1" x14ac:dyDescent="0.2">
      <c r="A690" s="95"/>
      <c r="B690" s="95"/>
      <c r="C690" s="94"/>
      <c r="D690" s="95"/>
      <c r="E690" s="96"/>
      <c r="F690" s="96"/>
      <c r="H690" s="98"/>
      <c r="I690" s="126"/>
      <c r="J690" s="127"/>
      <c r="K690" s="128"/>
    </row>
    <row r="691" spans="1:11" ht="12.75" hidden="1" x14ac:dyDescent="0.2">
      <c r="A691" s="95"/>
      <c r="B691" s="95"/>
      <c r="C691" s="94"/>
      <c r="D691" s="95"/>
      <c r="E691" s="96"/>
      <c r="F691" s="96"/>
      <c r="H691" s="98"/>
      <c r="I691" s="126"/>
      <c r="J691" s="127"/>
      <c r="K691" s="128"/>
    </row>
    <row r="692" spans="1:11" ht="12.75" hidden="1" x14ac:dyDescent="0.2">
      <c r="A692" s="95"/>
      <c r="B692" s="95"/>
      <c r="C692" s="94"/>
      <c r="D692" s="95"/>
      <c r="E692" s="96"/>
      <c r="F692" s="96"/>
      <c r="H692" s="98"/>
      <c r="I692" s="126"/>
      <c r="J692" s="127"/>
      <c r="K692" s="128"/>
    </row>
    <row r="693" spans="1:11" ht="12.75" hidden="1" x14ac:dyDescent="0.2">
      <c r="A693" s="95"/>
      <c r="B693" s="95"/>
      <c r="C693" s="94"/>
      <c r="D693" s="95"/>
      <c r="E693" s="96"/>
      <c r="F693" s="96"/>
      <c r="H693" s="98"/>
      <c r="I693" s="126"/>
      <c r="J693" s="127"/>
      <c r="K693" s="128"/>
    </row>
    <row r="694" spans="1:11" ht="12.75" hidden="1" x14ac:dyDescent="0.2">
      <c r="A694" s="95"/>
      <c r="B694" s="95"/>
      <c r="C694" s="94"/>
      <c r="D694" s="95"/>
      <c r="E694" s="96"/>
      <c r="F694" s="96"/>
      <c r="H694" s="98"/>
      <c r="I694" s="126"/>
      <c r="J694" s="127"/>
      <c r="K694" s="128"/>
    </row>
    <row r="695" spans="1:11" ht="12.75" hidden="1" x14ac:dyDescent="0.2">
      <c r="A695" s="95"/>
      <c r="B695" s="95"/>
      <c r="C695" s="94"/>
      <c r="D695" s="95"/>
      <c r="E695" s="96"/>
      <c r="F695" s="96"/>
      <c r="H695" s="98"/>
      <c r="I695" s="126"/>
      <c r="J695" s="127"/>
      <c r="K695" s="128"/>
    </row>
    <row r="696" spans="1:11" ht="12.75" hidden="1" x14ac:dyDescent="0.2">
      <c r="A696" s="95"/>
      <c r="B696" s="95"/>
      <c r="C696" s="94"/>
      <c r="D696" s="95"/>
      <c r="E696" s="96"/>
      <c r="F696" s="96"/>
      <c r="H696" s="98"/>
      <c r="I696" s="126"/>
      <c r="J696" s="127"/>
      <c r="K696" s="128"/>
    </row>
    <row r="697" spans="1:11" ht="12.75" hidden="1" x14ac:dyDescent="0.2">
      <c r="A697" s="95"/>
      <c r="B697" s="95"/>
      <c r="C697" s="94"/>
      <c r="D697" s="95"/>
      <c r="E697" s="96"/>
      <c r="F697" s="96"/>
      <c r="H697" s="98"/>
      <c r="I697" s="126"/>
      <c r="J697" s="127"/>
      <c r="K697" s="128"/>
    </row>
    <row r="698" spans="1:11" ht="12.75" hidden="1" x14ac:dyDescent="0.2">
      <c r="A698" s="95"/>
      <c r="B698" s="95"/>
      <c r="C698" s="94"/>
      <c r="D698" s="95"/>
      <c r="E698" s="96"/>
      <c r="F698" s="96"/>
      <c r="H698" s="98"/>
      <c r="I698" s="126"/>
      <c r="J698" s="127"/>
      <c r="K698" s="128"/>
    </row>
    <row r="699" spans="1:11" ht="12.75" hidden="1" x14ac:dyDescent="0.2">
      <c r="A699" s="95"/>
      <c r="B699" s="95"/>
      <c r="C699" s="94"/>
      <c r="D699" s="95"/>
      <c r="E699" s="96"/>
      <c r="F699" s="96"/>
      <c r="H699" s="98"/>
      <c r="I699" s="126"/>
      <c r="J699" s="127"/>
      <c r="K699" s="128"/>
    </row>
    <row r="700" spans="1:11" ht="12.75" hidden="1" x14ac:dyDescent="0.2">
      <c r="A700" s="95"/>
      <c r="B700" s="95"/>
      <c r="C700" s="94"/>
      <c r="D700" s="95"/>
      <c r="E700" s="96"/>
      <c r="F700" s="96"/>
      <c r="H700" s="98"/>
      <c r="I700" s="126"/>
      <c r="J700" s="127"/>
      <c r="K700" s="128"/>
    </row>
    <row r="701" spans="1:11" ht="12.75" hidden="1" x14ac:dyDescent="0.2">
      <c r="A701" s="95"/>
      <c r="B701" s="95"/>
      <c r="C701" s="94"/>
      <c r="D701" s="95"/>
      <c r="E701" s="96"/>
      <c r="F701" s="96"/>
      <c r="H701" s="98"/>
      <c r="I701" s="126"/>
      <c r="J701" s="127"/>
      <c r="K701" s="128"/>
    </row>
    <row r="702" spans="1:11" ht="12.75" hidden="1" x14ac:dyDescent="0.2">
      <c r="A702" s="95"/>
      <c r="B702" s="95"/>
      <c r="C702" s="94"/>
      <c r="D702" s="95"/>
      <c r="E702" s="96"/>
      <c r="F702" s="96"/>
      <c r="H702" s="98"/>
      <c r="I702" s="126"/>
      <c r="J702" s="127"/>
      <c r="K702" s="128"/>
    </row>
    <row r="703" spans="1:11" ht="12.75" hidden="1" x14ac:dyDescent="0.2">
      <c r="A703" s="95"/>
      <c r="B703" s="95"/>
      <c r="C703" s="94"/>
      <c r="D703" s="95"/>
      <c r="E703" s="96"/>
      <c r="F703" s="96"/>
      <c r="H703" s="98"/>
      <c r="I703" s="126"/>
      <c r="J703" s="127"/>
      <c r="K703" s="128"/>
    </row>
    <row r="704" spans="1:11" ht="12.75" hidden="1" x14ac:dyDescent="0.2">
      <c r="A704" s="95"/>
      <c r="B704" s="95"/>
      <c r="C704" s="94"/>
      <c r="D704" s="95"/>
      <c r="E704" s="96"/>
      <c r="F704" s="96"/>
      <c r="H704" s="98"/>
      <c r="I704" s="126"/>
      <c r="J704" s="127"/>
      <c r="K704" s="128"/>
    </row>
    <row r="705" spans="1:11" ht="12.75" hidden="1" x14ac:dyDescent="0.2">
      <c r="A705" s="95"/>
      <c r="B705" s="95"/>
      <c r="C705" s="94"/>
      <c r="D705" s="95"/>
      <c r="E705" s="96"/>
      <c r="F705" s="96"/>
      <c r="H705" s="98"/>
      <c r="I705" s="126"/>
      <c r="J705" s="127"/>
      <c r="K705" s="128"/>
    </row>
    <row r="706" spans="1:11" ht="12.75" hidden="1" x14ac:dyDescent="0.2">
      <c r="A706" s="95"/>
      <c r="B706" s="95"/>
      <c r="C706" s="94"/>
      <c r="D706" s="95"/>
      <c r="E706" s="96"/>
      <c r="F706" s="96"/>
      <c r="H706" s="98"/>
      <c r="I706" s="126"/>
      <c r="J706" s="127"/>
      <c r="K706" s="128"/>
    </row>
    <row r="707" spans="1:11" ht="12.75" hidden="1" x14ac:dyDescent="0.2">
      <c r="A707" s="95"/>
      <c r="B707" s="95"/>
      <c r="C707" s="94"/>
      <c r="D707" s="95"/>
      <c r="E707" s="96"/>
      <c r="F707" s="96"/>
      <c r="H707" s="98"/>
      <c r="I707" s="126"/>
      <c r="J707" s="127"/>
      <c r="K707" s="128"/>
    </row>
    <row r="708" spans="1:11" ht="12.75" hidden="1" x14ac:dyDescent="0.2">
      <c r="A708" s="95"/>
      <c r="B708" s="95"/>
      <c r="C708" s="94"/>
      <c r="D708" s="95"/>
      <c r="E708" s="96"/>
      <c r="F708" s="96"/>
      <c r="H708" s="98"/>
      <c r="I708" s="126"/>
      <c r="J708" s="127"/>
      <c r="K708" s="128"/>
    </row>
    <row r="709" spans="1:11" ht="12.75" hidden="1" x14ac:dyDescent="0.2">
      <c r="A709" s="95"/>
      <c r="B709" s="95"/>
      <c r="C709" s="94"/>
      <c r="D709" s="95"/>
      <c r="E709" s="96"/>
      <c r="F709" s="96"/>
      <c r="H709" s="98"/>
      <c r="I709" s="126"/>
      <c r="J709" s="127"/>
      <c r="K709" s="128"/>
    </row>
    <row r="710" spans="1:11" ht="12.75" hidden="1" x14ac:dyDescent="0.2">
      <c r="A710" s="95"/>
      <c r="B710" s="95"/>
      <c r="C710" s="94"/>
      <c r="D710" s="95"/>
      <c r="E710" s="96"/>
      <c r="F710" s="96"/>
      <c r="H710" s="98"/>
      <c r="I710" s="126"/>
      <c r="J710" s="127"/>
      <c r="K710" s="128"/>
    </row>
    <row r="711" spans="1:11" ht="12.75" hidden="1" x14ac:dyDescent="0.2">
      <c r="A711" s="95"/>
      <c r="B711" s="95"/>
      <c r="C711" s="94"/>
      <c r="D711" s="95"/>
      <c r="E711" s="96"/>
      <c r="F711" s="96"/>
      <c r="H711" s="98"/>
      <c r="I711" s="126"/>
      <c r="J711" s="127"/>
      <c r="K711" s="128"/>
    </row>
    <row r="712" spans="1:11" ht="12.75" hidden="1" x14ac:dyDescent="0.2">
      <c r="A712" s="95"/>
      <c r="B712" s="95"/>
      <c r="C712" s="94"/>
      <c r="D712" s="95"/>
      <c r="E712" s="96"/>
      <c r="F712" s="96"/>
      <c r="H712" s="98"/>
      <c r="I712" s="126"/>
      <c r="J712" s="127"/>
      <c r="K712" s="128"/>
    </row>
    <row r="713" spans="1:11" ht="12.75" hidden="1" x14ac:dyDescent="0.2">
      <c r="A713" s="95"/>
      <c r="B713" s="95"/>
      <c r="C713" s="94"/>
      <c r="D713" s="95"/>
      <c r="E713" s="96"/>
      <c r="F713" s="96"/>
      <c r="H713" s="98"/>
      <c r="I713" s="126"/>
      <c r="J713" s="127"/>
      <c r="K713" s="128"/>
    </row>
    <row r="714" spans="1:11" ht="12.75" hidden="1" x14ac:dyDescent="0.2">
      <c r="A714" s="95"/>
      <c r="B714" s="95"/>
      <c r="C714" s="94"/>
      <c r="D714" s="95"/>
      <c r="E714" s="96"/>
      <c r="F714" s="96"/>
      <c r="H714" s="98"/>
      <c r="I714" s="126"/>
      <c r="J714" s="127"/>
      <c r="K714" s="128"/>
    </row>
    <row r="715" spans="1:11" ht="12.75" hidden="1" x14ac:dyDescent="0.2">
      <c r="A715" s="95"/>
      <c r="B715" s="95"/>
      <c r="C715" s="94"/>
      <c r="D715" s="95"/>
      <c r="E715" s="96"/>
      <c r="F715" s="96"/>
      <c r="H715" s="98"/>
      <c r="I715" s="126"/>
      <c r="J715" s="127"/>
      <c r="K715" s="128"/>
    </row>
    <row r="716" spans="1:11" ht="12.75" hidden="1" x14ac:dyDescent="0.2">
      <c r="A716" s="95"/>
      <c r="B716" s="95"/>
      <c r="C716" s="94"/>
      <c r="D716" s="95"/>
      <c r="E716" s="96"/>
      <c r="F716" s="96"/>
      <c r="H716" s="98"/>
      <c r="I716" s="126"/>
      <c r="J716" s="127"/>
      <c r="K716" s="128"/>
    </row>
    <row r="717" spans="1:11" ht="12.75" hidden="1" x14ac:dyDescent="0.2">
      <c r="A717" s="95"/>
      <c r="B717" s="95"/>
      <c r="C717" s="94"/>
      <c r="D717" s="95"/>
      <c r="E717" s="96"/>
      <c r="F717" s="96"/>
      <c r="H717" s="98"/>
      <c r="I717" s="126"/>
      <c r="J717" s="127"/>
      <c r="K717" s="128"/>
    </row>
    <row r="718" spans="1:11" ht="12.75" hidden="1" x14ac:dyDescent="0.2">
      <c r="A718" s="95"/>
      <c r="B718" s="95"/>
      <c r="C718" s="94"/>
      <c r="D718" s="95"/>
      <c r="E718" s="96"/>
      <c r="F718" s="96"/>
      <c r="H718" s="98"/>
      <c r="I718" s="126"/>
      <c r="J718" s="127"/>
      <c r="K718" s="128"/>
    </row>
    <row r="719" spans="1:11" ht="12.75" hidden="1" x14ac:dyDescent="0.2">
      <c r="A719" s="95"/>
      <c r="B719" s="95"/>
      <c r="C719" s="94"/>
      <c r="D719" s="95"/>
      <c r="E719" s="96"/>
      <c r="F719" s="96"/>
      <c r="H719" s="98"/>
      <c r="I719" s="126"/>
      <c r="J719" s="127"/>
      <c r="K719" s="128"/>
    </row>
    <row r="720" spans="1:11" ht="12.75" hidden="1" x14ac:dyDescent="0.2">
      <c r="A720" s="95"/>
      <c r="B720" s="95"/>
      <c r="C720" s="94"/>
      <c r="D720" s="95"/>
      <c r="E720" s="96"/>
      <c r="F720" s="96"/>
      <c r="H720" s="98"/>
      <c r="I720" s="126"/>
      <c r="J720" s="127"/>
      <c r="K720" s="128"/>
    </row>
    <row r="721" spans="1:11" ht="12.75" hidden="1" x14ac:dyDescent="0.2">
      <c r="A721" s="95"/>
      <c r="B721" s="95"/>
      <c r="C721" s="94"/>
      <c r="D721" s="95"/>
      <c r="E721" s="96"/>
      <c r="F721" s="96"/>
      <c r="H721" s="98"/>
      <c r="I721" s="126"/>
      <c r="J721" s="127"/>
      <c r="K721" s="128"/>
    </row>
    <row r="722" spans="1:11" ht="12.75" hidden="1" x14ac:dyDescent="0.2">
      <c r="A722" s="95"/>
      <c r="B722" s="95"/>
      <c r="C722" s="94"/>
      <c r="D722" s="95"/>
      <c r="E722" s="96"/>
      <c r="F722" s="96"/>
      <c r="H722" s="98"/>
      <c r="I722" s="126"/>
      <c r="J722" s="127"/>
      <c r="K722" s="128"/>
    </row>
    <row r="723" spans="1:11" ht="12.75" hidden="1" x14ac:dyDescent="0.2">
      <c r="A723" s="95"/>
      <c r="B723" s="95"/>
      <c r="C723" s="94"/>
      <c r="D723" s="95"/>
      <c r="E723" s="96"/>
      <c r="F723" s="96"/>
      <c r="H723" s="98"/>
      <c r="I723" s="126"/>
      <c r="J723" s="127"/>
      <c r="K723" s="128"/>
    </row>
    <row r="724" spans="1:11" ht="12.75" hidden="1" x14ac:dyDescent="0.2">
      <c r="A724" s="95"/>
      <c r="B724" s="95"/>
      <c r="C724" s="94"/>
      <c r="D724" s="95"/>
      <c r="E724" s="96"/>
      <c r="F724" s="96"/>
      <c r="H724" s="98"/>
      <c r="I724" s="126"/>
      <c r="J724" s="127"/>
      <c r="K724" s="128"/>
    </row>
    <row r="725" spans="1:11" ht="12.75" hidden="1" x14ac:dyDescent="0.2">
      <c r="A725" s="95"/>
      <c r="B725" s="95"/>
      <c r="C725" s="94"/>
      <c r="D725" s="95"/>
      <c r="E725" s="96"/>
      <c r="F725" s="96"/>
      <c r="H725" s="98"/>
      <c r="I725" s="126"/>
      <c r="J725" s="127"/>
      <c r="K725" s="128"/>
    </row>
    <row r="726" spans="1:11" ht="12.75" hidden="1" x14ac:dyDescent="0.2">
      <c r="A726" s="95"/>
      <c r="B726" s="95"/>
      <c r="C726" s="94"/>
      <c r="D726" s="95"/>
      <c r="E726" s="96"/>
      <c r="F726" s="96"/>
      <c r="H726" s="98"/>
      <c r="I726" s="126"/>
      <c r="J726" s="127"/>
      <c r="K726" s="128"/>
    </row>
    <row r="727" spans="1:11" ht="12.75" hidden="1" x14ac:dyDescent="0.2">
      <c r="A727" s="95"/>
      <c r="B727" s="95"/>
      <c r="C727" s="94"/>
      <c r="D727" s="95"/>
      <c r="E727" s="96"/>
      <c r="F727" s="96"/>
      <c r="H727" s="98"/>
      <c r="I727" s="126"/>
      <c r="J727" s="127"/>
      <c r="K727" s="128"/>
    </row>
    <row r="728" spans="1:11" ht="12.75" hidden="1" x14ac:dyDescent="0.2">
      <c r="A728" s="95"/>
      <c r="B728" s="95"/>
      <c r="C728" s="94"/>
      <c r="D728" s="95"/>
      <c r="E728" s="96"/>
      <c r="F728" s="96"/>
      <c r="H728" s="98"/>
      <c r="I728" s="126"/>
      <c r="J728" s="127"/>
      <c r="K728" s="128"/>
    </row>
    <row r="729" spans="1:11" ht="12.75" hidden="1" x14ac:dyDescent="0.2">
      <c r="A729" s="95"/>
      <c r="B729" s="95"/>
      <c r="C729" s="94"/>
      <c r="D729" s="95"/>
      <c r="E729" s="96"/>
      <c r="F729" s="96"/>
      <c r="H729" s="98"/>
      <c r="I729" s="126"/>
      <c r="J729" s="127"/>
      <c r="K729" s="128"/>
    </row>
    <row r="730" spans="1:11" ht="12.75" hidden="1" x14ac:dyDescent="0.2">
      <c r="A730" s="95"/>
      <c r="B730" s="95"/>
      <c r="C730" s="94"/>
      <c r="D730" s="95"/>
      <c r="E730" s="96"/>
      <c r="F730" s="96"/>
      <c r="H730" s="98"/>
      <c r="I730" s="126"/>
      <c r="J730" s="127"/>
      <c r="K730" s="128"/>
    </row>
    <row r="731" spans="1:11" ht="12.75" hidden="1" x14ac:dyDescent="0.2">
      <c r="A731" s="95"/>
      <c r="B731" s="95"/>
      <c r="C731" s="94"/>
      <c r="D731" s="95"/>
      <c r="E731" s="96"/>
      <c r="F731" s="96"/>
      <c r="H731" s="98"/>
      <c r="I731" s="126"/>
      <c r="J731" s="127"/>
      <c r="K731" s="128"/>
    </row>
    <row r="732" spans="1:11" ht="12.75" hidden="1" x14ac:dyDescent="0.2">
      <c r="A732" s="95"/>
      <c r="B732" s="95"/>
      <c r="C732" s="94"/>
      <c r="D732" s="95"/>
      <c r="E732" s="96"/>
      <c r="F732" s="96"/>
      <c r="H732" s="98"/>
      <c r="I732" s="126"/>
      <c r="J732" s="127"/>
      <c r="K732" s="128"/>
    </row>
    <row r="733" spans="1:11" ht="12.75" hidden="1" x14ac:dyDescent="0.2">
      <c r="A733" s="95"/>
      <c r="B733" s="95"/>
      <c r="C733" s="94"/>
      <c r="D733" s="95"/>
      <c r="E733" s="96"/>
      <c r="F733" s="96"/>
      <c r="H733" s="98"/>
      <c r="I733" s="126"/>
      <c r="J733" s="127"/>
      <c r="K733" s="128"/>
    </row>
    <row r="734" spans="1:11" ht="12.75" hidden="1" x14ac:dyDescent="0.2">
      <c r="A734" s="95"/>
      <c r="B734" s="95"/>
      <c r="C734" s="94"/>
      <c r="D734" s="95"/>
      <c r="E734" s="96"/>
      <c r="F734" s="96"/>
      <c r="H734" s="98"/>
      <c r="I734" s="126"/>
      <c r="J734" s="127"/>
      <c r="K734" s="128"/>
    </row>
    <row r="735" spans="1:11" ht="12.75" hidden="1" x14ac:dyDescent="0.2">
      <c r="A735" s="95"/>
      <c r="B735" s="95"/>
      <c r="C735" s="94"/>
      <c r="D735" s="95"/>
      <c r="E735" s="96"/>
      <c r="F735" s="96"/>
      <c r="H735" s="98"/>
      <c r="I735" s="126"/>
      <c r="J735" s="127"/>
      <c r="K735" s="128"/>
    </row>
    <row r="736" spans="1:11" ht="12.75" hidden="1" x14ac:dyDescent="0.2">
      <c r="A736" s="95"/>
      <c r="B736" s="95"/>
      <c r="C736" s="94"/>
      <c r="D736" s="95"/>
      <c r="E736" s="96"/>
      <c r="F736" s="96"/>
      <c r="H736" s="98"/>
      <c r="I736" s="126"/>
      <c r="J736" s="127"/>
      <c r="K736" s="128"/>
    </row>
    <row r="737" spans="1:11" ht="12.75" hidden="1" x14ac:dyDescent="0.2">
      <c r="A737" s="95"/>
      <c r="B737" s="95"/>
      <c r="C737" s="94"/>
      <c r="D737" s="95"/>
      <c r="E737" s="96"/>
      <c r="F737" s="96"/>
      <c r="H737" s="98"/>
      <c r="I737" s="126"/>
      <c r="J737" s="127"/>
      <c r="K737" s="128"/>
    </row>
    <row r="738" spans="1:11" ht="12.75" hidden="1" x14ac:dyDescent="0.2">
      <c r="A738" s="95"/>
      <c r="B738" s="95"/>
      <c r="C738" s="94"/>
      <c r="D738" s="95"/>
      <c r="E738" s="96"/>
      <c r="F738" s="96"/>
      <c r="H738" s="98"/>
      <c r="I738" s="126"/>
      <c r="J738" s="127"/>
      <c r="K738" s="128"/>
    </row>
    <row r="739" spans="1:11" ht="12.75" hidden="1" x14ac:dyDescent="0.2">
      <c r="A739" s="95"/>
      <c r="B739" s="95"/>
      <c r="C739" s="94"/>
      <c r="D739" s="95"/>
      <c r="E739" s="96"/>
      <c r="F739" s="96"/>
      <c r="H739" s="98"/>
      <c r="I739" s="126"/>
      <c r="J739" s="127"/>
      <c r="K739" s="128"/>
    </row>
    <row r="740" spans="1:11" ht="12.75" hidden="1" x14ac:dyDescent="0.2">
      <c r="A740" s="95"/>
      <c r="B740" s="95"/>
      <c r="C740" s="94"/>
      <c r="D740" s="95"/>
      <c r="E740" s="96"/>
      <c r="F740" s="96"/>
      <c r="H740" s="98"/>
      <c r="I740" s="126"/>
      <c r="J740" s="127"/>
      <c r="K740" s="128"/>
    </row>
    <row r="741" spans="1:11" ht="12.75" hidden="1" x14ac:dyDescent="0.2">
      <c r="A741" s="95"/>
      <c r="B741" s="95"/>
      <c r="C741" s="94"/>
      <c r="D741" s="95"/>
      <c r="E741" s="96"/>
      <c r="F741" s="96"/>
      <c r="H741" s="98"/>
      <c r="I741" s="126"/>
      <c r="J741" s="127"/>
      <c r="K741" s="128"/>
    </row>
    <row r="742" spans="1:11" ht="12.75" hidden="1" x14ac:dyDescent="0.2">
      <c r="A742" s="95"/>
      <c r="B742" s="95"/>
      <c r="C742" s="94"/>
      <c r="D742" s="95"/>
      <c r="E742" s="96"/>
      <c r="F742" s="96"/>
      <c r="H742" s="98"/>
      <c r="I742" s="126"/>
      <c r="J742" s="127"/>
      <c r="K742" s="128"/>
    </row>
    <row r="743" spans="1:11" ht="12.75" hidden="1" x14ac:dyDescent="0.2">
      <c r="A743" s="95"/>
      <c r="B743" s="95"/>
      <c r="C743" s="94"/>
      <c r="D743" s="95"/>
      <c r="E743" s="96"/>
      <c r="F743" s="96"/>
      <c r="H743" s="98"/>
      <c r="I743" s="126"/>
      <c r="J743" s="127"/>
      <c r="K743" s="128"/>
    </row>
    <row r="744" spans="1:11" ht="12.75" hidden="1" x14ac:dyDescent="0.2">
      <c r="A744" s="95"/>
      <c r="B744" s="95"/>
      <c r="C744" s="94"/>
      <c r="D744" s="95"/>
      <c r="E744" s="96"/>
      <c r="F744" s="96"/>
      <c r="H744" s="98"/>
      <c r="I744" s="126"/>
      <c r="J744" s="127"/>
      <c r="K744" s="128"/>
    </row>
    <row r="745" spans="1:11" ht="12.75" hidden="1" x14ac:dyDescent="0.2">
      <c r="A745" s="95"/>
      <c r="B745" s="95"/>
      <c r="C745" s="94"/>
      <c r="D745" s="95"/>
      <c r="E745" s="96"/>
      <c r="F745" s="96"/>
      <c r="H745" s="98"/>
      <c r="I745" s="126"/>
      <c r="J745" s="127"/>
      <c r="K745" s="128"/>
    </row>
    <row r="746" spans="1:11" ht="12.75" hidden="1" x14ac:dyDescent="0.2">
      <c r="A746" s="95"/>
      <c r="B746" s="95"/>
      <c r="C746" s="94"/>
      <c r="D746" s="95"/>
      <c r="E746" s="96"/>
      <c r="F746" s="96"/>
      <c r="H746" s="98"/>
      <c r="I746" s="126"/>
      <c r="J746" s="127"/>
      <c r="K746" s="128"/>
    </row>
    <row r="747" spans="1:11" ht="12.75" hidden="1" x14ac:dyDescent="0.2">
      <c r="A747" s="95"/>
      <c r="B747" s="95"/>
      <c r="C747" s="94"/>
      <c r="D747" s="95"/>
      <c r="E747" s="96"/>
      <c r="F747" s="96"/>
      <c r="H747" s="98"/>
      <c r="I747" s="126"/>
      <c r="J747" s="127"/>
      <c r="K747" s="128"/>
    </row>
    <row r="748" spans="1:11" ht="12.75" hidden="1" x14ac:dyDescent="0.2">
      <c r="A748" s="95"/>
      <c r="B748" s="95"/>
      <c r="C748" s="94"/>
      <c r="D748" s="95"/>
      <c r="E748" s="96"/>
      <c r="F748" s="96"/>
      <c r="H748" s="98"/>
      <c r="I748" s="126"/>
      <c r="J748" s="127"/>
      <c r="K748" s="128"/>
    </row>
    <row r="749" spans="1:11" ht="12.75" hidden="1" x14ac:dyDescent="0.2">
      <c r="A749" s="95"/>
      <c r="B749" s="95"/>
      <c r="C749" s="94"/>
      <c r="D749" s="95"/>
      <c r="E749" s="96"/>
      <c r="F749" s="96"/>
      <c r="H749" s="98"/>
      <c r="I749" s="126"/>
      <c r="J749" s="127"/>
      <c r="K749" s="128"/>
    </row>
    <row r="750" spans="1:11" ht="12.75" hidden="1" x14ac:dyDescent="0.2">
      <c r="A750" s="95"/>
      <c r="B750" s="95"/>
      <c r="C750" s="94"/>
      <c r="D750" s="95"/>
      <c r="E750" s="96"/>
      <c r="F750" s="96"/>
      <c r="H750" s="98"/>
      <c r="I750" s="126"/>
      <c r="J750" s="127"/>
      <c r="K750" s="128"/>
    </row>
    <row r="751" spans="1:11" ht="12.75" hidden="1" x14ac:dyDescent="0.2">
      <c r="A751" s="95"/>
      <c r="B751" s="95"/>
      <c r="C751" s="94"/>
      <c r="D751" s="95"/>
      <c r="E751" s="96"/>
      <c r="F751" s="96"/>
      <c r="H751" s="98"/>
      <c r="I751" s="126"/>
      <c r="J751" s="127"/>
      <c r="K751" s="128"/>
    </row>
    <row r="752" spans="1:11" ht="12.75" hidden="1" x14ac:dyDescent="0.2">
      <c r="A752" s="95"/>
      <c r="B752" s="95"/>
      <c r="C752" s="94"/>
      <c r="D752" s="95"/>
      <c r="E752" s="96"/>
      <c r="F752" s="96"/>
      <c r="H752" s="98"/>
      <c r="I752" s="126"/>
      <c r="J752" s="127"/>
      <c r="K752" s="128"/>
    </row>
    <row r="753" spans="1:11" ht="12.75" hidden="1" x14ac:dyDescent="0.2">
      <c r="A753" s="95"/>
      <c r="B753" s="95"/>
      <c r="C753" s="94"/>
      <c r="D753" s="95"/>
      <c r="E753" s="96"/>
      <c r="F753" s="96"/>
      <c r="H753" s="98"/>
      <c r="I753" s="126"/>
      <c r="J753" s="127"/>
      <c r="K753" s="128"/>
    </row>
    <row r="754" spans="1:11" ht="12.75" hidden="1" x14ac:dyDescent="0.2">
      <c r="A754" s="95"/>
      <c r="B754" s="95"/>
      <c r="C754" s="94"/>
      <c r="D754" s="95"/>
      <c r="E754" s="96"/>
      <c r="F754" s="96"/>
      <c r="H754" s="98"/>
      <c r="I754" s="126"/>
      <c r="J754" s="127"/>
      <c r="K754" s="128"/>
    </row>
    <row r="755" spans="1:11" ht="12.75" hidden="1" x14ac:dyDescent="0.2">
      <c r="A755" s="95"/>
      <c r="B755" s="95"/>
      <c r="C755" s="94"/>
      <c r="D755" s="95"/>
      <c r="E755" s="96"/>
      <c r="F755" s="96"/>
      <c r="H755" s="98"/>
      <c r="I755" s="126"/>
      <c r="J755" s="127"/>
      <c r="K755" s="128"/>
    </row>
    <row r="756" spans="1:11" ht="12.75" hidden="1" x14ac:dyDescent="0.2">
      <c r="A756" s="95"/>
      <c r="B756" s="95"/>
      <c r="C756" s="94"/>
      <c r="D756" s="95"/>
      <c r="E756" s="96"/>
      <c r="F756" s="96"/>
      <c r="H756" s="98"/>
      <c r="I756" s="126"/>
      <c r="J756" s="127"/>
      <c r="K756" s="128"/>
    </row>
    <row r="757" spans="1:11" ht="12.75" hidden="1" x14ac:dyDescent="0.2">
      <c r="A757" s="95"/>
      <c r="B757" s="95"/>
      <c r="C757" s="94"/>
      <c r="D757" s="95"/>
      <c r="E757" s="96"/>
      <c r="F757" s="96"/>
      <c r="H757" s="98"/>
      <c r="I757" s="126"/>
      <c r="J757" s="127"/>
      <c r="K757" s="128"/>
    </row>
    <row r="758" spans="1:11" ht="12.75" hidden="1" x14ac:dyDescent="0.2">
      <c r="A758" s="95"/>
      <c r="B758" s="95"/>
      <c r="C758" s="94"/>
      <c r="D758" s="95"/>
      <c r="E758" s="96"/>
      <c r="F758" s="96"/>
      <c r="H758" s="98"/>
      <c r="I758" s="126"/>
      <c r="J758" s="127"/>
      <c r="K758" s="128"/>
    </row>
    <row r="759" spans="1:11" ht="12.75" hidden="1" x14ac:dyDescent="0.2">
      <c r="A759" s="95"/>
      <c r="B759" s="95"/>
      <c r="C759" s="94"/>
      <c r="D759" s="95"/>
      <c r="E759" s="96"/>
      <c r="F759" s="96"/>
      <c r="H759" s="98"/>
      <c r="I759" s="126"/>
      <c r="J759" s="127"/>
      <c r="K759" s="128"/>
    </row>
    <row r="760" spans="1:11" ht="12.75" hidden="1" x14ac:dyDescent="0.2">
      <c r="A760" s="95"/>
      <c r="B760" s="95"/>
      <c r="C760" s="94"/>
      <c r="D760" s="95"/>
      <c r="E760" s="96"/>
      <c r="F760" s="96"/>
      <c r="H760" s="98"/>
      <c r="I760" s="126"/>
      <c r="J760" s="127"/>
      <c r="K760" s="128"/>
    </row>
    <row r="761" spans="1:11" ht="12.75" hidden="1" x14ac:dyDescent="0.2">
      <c r="A761" s="95"/>
      <c r="B761" s="95"/>
      <c r="C761" s="94"/>
      <c r="D761" s="95"/>
      <c r="E761" s="96"/>
      <c r="F761" s="96"/>
      <c r="H761" s="98"/>
      <c r="I761" s="126"/>
      <c r="J761" s="127"/>
      <c r="K761" s="128"/>
    </row>
    <row r="762" spans="1:11" ht="12.75" hidden="1" x14ac:dyDescent="0.2">
      <c r="A762" s="95"/>
      <c r="B762" s="95"/>
      <c r="C762" s="94"/>
      <c r="D762" s="95"/>
      <c r="E762" s="96"/>
      <c r="F762" s="96"/>
      <c r="H762" s="98"/>
      <c r="I762" s="126"/>
      <c r="J762" s="127"/>
      <c r="K762" s="128"/>
    </row>
    <row r="763" spans="1:11" ht="12.75" hidden="1" x14ac:dyDescent="0.2">
      <c r="A763" s="95"/>
      <c r="B763" s="95"/>
      <c r="C763" s="94"/>
      <c r="D763" s="95"/>
      <c r="E763" s="96"/>
      <c r="F763" s="96"/>
      <c r="H763" s="98"/>
      <c r="I763" s="126"/>
      <c r="J763" s="127"/>
      <c r="K763" s="128"/>
    </row>
    <row r="764" spans="1:11" ht="12.75" hidden="1" x14ac:dyDescent="0.2">
      <c r="A764" s="95"/>
      <c r="B764" s="95"/>
      <c r="C764" s="94"/>
      <c r="D764" s="95"/>
      <c r="E764" s="96"/>
      <c r="F764" s="96"/>
      <c r="H764" s="98"/>
      <c r="I764" s="126"/>
      <c r="J764" s="127"/>
      <c r="K764" s="128"/>
    </row>
    <row r="765" spans="1:11" ht="12.75" hidden="1" x14ac:dyDescent="0.2">
      <c r="A765" s="95"/>
      <c r="B765" s="95"/>
      <c r="C765" s="94"/>
      <c r="D765" s="95"/>
      <c r="E765" s="96"/>
      <c r="F765" s="96"/>
      <c r="H765" s="98"/>
      <c r="I765" s="126"/>
      <c r="J765" s="127"/>
      <c r="K765" s="128"/>
    </row>
    <row r="766" spans="1:11" ht="12.75" hidden="1" x14ac:dyDescent="0.2">
      <c r="A766" s="95"/>
      <c r="B766" s="95"/>
      <c r="C766" s="94"/>
      <c r="D766" s="95"/>
      <c r="E766" s="96"/>
      <c r="F766" s="96"/>
      <c r="H766" s="98"/>
      <c r="I766" s="126"/>
      <c r="J766" s="127"/>
      <c r="K766" s="128"/>
    </row>
    <row r="767" spans="1:11" ht="12.75" hidden="1" x14ac:dyDescent="0.2">
      <c r="A767" s="95"/>
      <c r="B767" s="95"/>
      <c r="C767" s="94"/>
      <c r="D767" s="95"/>
      <c r="E767" s="96"/>
      <c r="F767" s="96"/>
      <c r="H767" s="98"/>
      <c r="I767" s="126"/>
      <c r="J767" s="127"/>
      <c r="K767" s="128"/>
    </row>
    <row r="768" spans="1:11" ht="12.75" hidden="1" x14ac:dyDescent="0.2">
      <c r="A768" s="95"/>
      <c r="B768" s="95"/>
      <c r="C768" s="94"/>
      <c r="D768" s="95"/>
      <c r="E768" s="96"/>
      <c r="F768" s="96"/>
      <c r="H768" s="98"/>
      <c r="I768" s="126"/>
      <c r="J768" s="127"/>
      <c r="K768" s="128"/>
    </row>
    <row r="769" spans="1:11" ht="12.75" hidden="1" x14ac:dyDescent="0.2">
      <c r="A769" s="95"/>
      <c r="B769" s="95"/>
      <c r="C769" s="94"/>
      <c r="D769" s="95"/>
      <c r="E769" s="96"/>
      <c r="F769" s="96"/>
      <c r="H769" s="98"/>
      <c r="I769" s="126"/>
      <c r="J769" s="127"/>
      <c r="K769" s="128"/>
    </row>
    <row r="770" spans="1:11" ht="12.75" hidden="1" x14ac:dyDescent="0.2">
      <c r="A770" s="95"/>
      <c r="B770" s="95"/>
      <c r="C770" s="94"/>
      <c r="D770" s="95"/>
      <c r="E770" s="96"/>
      <c r="F770" s="96"/>
      <c r="H770" s="98"/>
      <c r="I770" s="126"/>
      <c r="J770" s="127"/>
      <c r="K770" s="128"/>
    </row>
    <row r="771" spans="1:11" ht="12.75" hidden="1" x14ac:dyDescent="0.2">
      <c r="A771" s="95"/>
      <c r="B771" s="95"/>
      <c r="C771" s="94"/>
      <c r="D771" s="95"/>
      <c r="E771" s="96"/>
      <c r="F771" s="96"/>
      <c r="H771" s="98"/>
      <c r="I771" s="126"/>
      <c r="J771" s="127"/>
      <c r="K771" s="128"/>
    </row>
    <row r="772" spans="1:11" ht="12.75" hidden="1" x14ac:dyDescent="0.2">
      <c r="A772" s="95"/>
      <c r="B772" s="95"/>
      <c r="C772" s="94"/>
      <c r="D772" s="95"/>
      <c r="E772" s="96"/>
      <c r="F772" s="96"/>
      <c r="H772" s="98"/>
      <c r="I772" s="126"/>
      <c r="J772" s="127"/>
      <c r="K772" s="128"/>
    </row>
    <row r="773" spans="1:11" ht="12.75" hidden="1" x14ac:dyDescent="0.2">
      <c r="A773" s="95"/>
      <c r="B773" s="95"/>
      <c r="C773" s="94"/>
      <c r="D773" s="95"/>
      <c r="E773" s="96"/>
      <c r="F773" s="96"/>
      <c r="H773" s="98"/>
      <c r="I773" s="126"/>
      <c r="J773" s="127"/>
      <c r="K773" s="128"/>
    </row>
    <row r="774" spans="1:11" ht="12.75" hidden="1" x14ac:dyDescent="0.2">
      <c r="A774" s="95"/>
      <c r="B774" s="95"/>
      <c r="C774" s="94"/>
      <c r="D774" s="95"/>
      <c r="E774" s="96"/>
      <c r="F774" s="96"/>
      <c r="H774" s="98"/>
      <c r="I774" s="126"/>
      <c r="J774" s="127"/>
      <c r="K774" s="128"/>
    </row>
    <row r="775" spans="1:11" ht="12.75" hidden="1" x14ac:dyDescent="0.2">
      <c r="A775" s="95"/>
      <c r="B775" s="95"/>
      <c r="C775" s="94"/>
      <c r="D775" s="95"/>
      <c r="E775" s="96"/>
      <c r="F775" s="96"/>
      <c r="H775" s="98"/>
      <c r="I775" s="126"/>
      <c r="J775" s="127"/>
      <c r="K775" s="128"/>
    </row>
    <row r="776" spans="1:11" ht="12.75" hidden="1" x14ac:dyDescent="0.2">
      <c r="A776" s="95"/>
      <c r="B776" s="95"/>
      <c r="C776" s="94"/>
      <c r="D776" s="95"/>
      <c r="E776" s="96"/>
      <c r="F776" s="96"/>
      <c r="H776" s="98"/>
      <c r="I776" s="126"/>
      <c r="J776" s="127"/>
      <c r="K776" s="128"/>
    </row>
    <row r="777" spans="1:11" ht="12.75" hidden="1" x14ac:dyDescent="0.2">
      <c r="A777" s="95"/>
      <c r="B777" s="95"/>
      <c r="C777" s="94"/>
      <c r="D777" s="95"/>
      <c r="E777" s="96"/>
      <c r="F777" s="96"/>
      <c r="H777" s="98"/>
      <c r="I777" s="126"/>
      <c r="J777" s="127"/>
      <c r="K777" s="128"/>
    </row>
    <row r="778" spans="1:11" ht="12.75" hidden="1" x14ac:dyDescent="0.2">
      <c r="A778" s="95"/>
      <c r="B778" s="95"/>
      <c r="C778" s="94"/>
      <c r="D778" s="95"/>
      <c r="E778" s="96"/>
      <c r="F778" s="96"/>
      <c r="H778" s="98"/>
      <c r="I778" s="126"/>
      <c r="J778" s="127"/>
      <c r="K778" s="128"/>
    </row>
    <row r="779" spans="1:11" ht="12.75" hidden="1" x14ac:dyDescent="0.2">
      <c r="A779" s="95"/>
      <c r="B779" s="95"/>
      <c r="C779" s="94"/>
      <c r="D779" s="95"/>
      <c r="E779" s="96"/>
      <c r="F779" s="96"/>
      <c r="H779" s="98"/>
      <c r="I779" s="126"/>
      <c r="J779" s="127"/>
      <c r="K779" s="128"/>
    </row>
    <row r="780" spans="1:11" ht="12.75" hidden="1" x14ac:dyDescent="0.2">
      <c r="A780" s="95"/>
      <c r="B780" s="95"/>
      <c r="C780" s="94"/>
      <c r="D780" s="95"/>
      <c r="E780" s="96"/>
      <c r="F780" s="96"/>
      <c r="H780" s="98"/>
      <c r="I780" s="126"/>
      <c r="J780" s="127"/>
      <c r="K780" s="128"/>
    </row>
    <row r="781" spans="1:11" ht="12.75" hidden="1" x14ac:dyDescent="0.2">
      <c r="A781" s="95"/>
      <c r="B781" s="95"/>
      <c r="C781" s="94"/>
      <c r="D781" s="95"/>
      <c r="E781" s="96"/>
      <c r="F781" s="96"/>
      <c r="H781" s="98"/>
      <c r="I781" s="126"/>
      <c r="J781" s="127"/>
      <c r="K781" s="128"/>
    </row>
    <row r="782" spans="1:11" ht="12.75" hidden="1" x14ac:dyDescent="0.2">
      <c r="A782" s="95"/>
      <c r="B782" s="95"/>
      <c r="C782" s="94"/>
      <c r="D782" s="95"/>
      <c r="E782" s="96"/>
      <c r="F782" s="96"/>
      <c r="H782" s="98"/>
      <c r="I782" s="126"/>
      <c r="J782" s="127"/>
      <c r="K782" s="128"/>
    </row>
    <row r="783" spans="1:11" ht="12.75" hidden="1" x14ac:dyDescent="0.2">
      <c r="A783" s="95"/>
      <c r="B783" s="95"/>
      <c r="C783" s="94"/>
      <c r="D783" s="95"/>
      <c r="E783" s="96"/>
      <c r="F783" s="96"/>
      <c r="H783" s="98"/>
      <c r="I783" s="126"/>
      <c r="J783" s="127"/>
      <c r="K783" s="128"/>
    </row>
    <row r="784" spans="1:11" ht="12.75" hidden="1" x14ac:dyDescent="0.2">
      <c r="A784" s="95"/>
      <c r="B784" s="95"/>
      <c r="C784" s="94"/>
      <c r="D784" s="95"/>
      <c r="E784" s="96"/>
      <c r="F784" s="96"/>
      <c r="H784" s="98"/>
      <c r="I784" s="126"/>
      <c r="J784" s="127"/>
      <c r="K784" s="128"/>
    </row>
    <row r="785" spans="1:11" ht="12.75" hidden="1" x14ac:dyDescent="0.2">
      <c r="A785" s="95"/>
      <c r="B785" s="95"/>
      <c r="C785" s="94"/>
      <c r="D785" s="95"/>
      <c r="E785" s="96"/>
      <c r="F785" s="96"/>
      <c r="H785" s="98"/>
      <c r="I785" s="126"/>
      <c r="J785" s="127"/>
      <c r="K785" s="128"/>
    </row>
    <row r="786" spans="1:11" ht="12.75" hidden="1" x14ac:dyDescent="0.2">
      <c r="A786" s="95"/>
      <c r="B786" s="95"/>
      <c r="C786" s="94"/>
      <c r="D786" s="95"/>
      <c r="E786" s="96"/>
      <c r="F786" s="96"/>
      <c r="H786" s="98"/>
      <c r="I786" s="126"/>
      <c r="J786" s="127"/>
      <c r="K786" s="128"/>
    </row>
    <row r="787" spans="1:11" ht="12.75" hidden="1" x14ac:dyDescent="0.2">
      <c r="A787" s="95"/>
      <c r="B787" s="95"/>
      <c r="C787" s="94"/>
      <c r="D787" s="95"/>
      <c r="E787" s="96"/>
      <c r="F787" s="96"/>
      <c r="H787" s="98"/>
      <c r="I787" s="126"/>
      <c r="J787" s="127"/>
      <c r="K787" s="128"/>
    </row>
    <row r="788" spans="1:11" ht="12.75" hidden="1" x14ac:dyDescent="0.2">
      <c r="A788" s="95"/>
      <c r="B788" s="95"/>
      <c r="C788" s="94"/>
      <c r="D788" s="95"/>
      <c r="E788" s="96"/>
      <c r="F788" s="96"/>
      <c r="H788" s="98"/>
      <c r="I788" s="126"/>
      <c r="J788" s="127"/>
      <c r="K788" s="128"/>
    </row>
    <row r="789" spans="1:11" ht="12.75" hidden="1" x14ac:dyDescent="0.2">
      <c r="A789" s="95"/>
      <c r="B789" s="95"/>
      <c r="C789" s="94"/>
      <c r="D789" s="95"/>
      <c r="E789" s="96"/>
      <c r="F789" s="96"/>
      <c r="H789" s="98"/>
      <c r="I789" s="126"/>
      <c r="J789" s="127"/>
      <c r="K789" s="128"/>
    </row>
    <row r="790" spans="1:11" ht="12.75" hidden="1" x14ac:dyDescent="0.2">
      <c r="A790" s="95"/>
      <c r="B790" s="95"/>
      <c r="C790" s="94"/>
      <c r="D790" s="95"/>
      <c r="E790" s="96"/>
      <c r="F790" s="96"/>
      <c r="H790" s="98"/>
      <c r="I790" s="126"/>
      <c r="J790" s="127"/>
      <c r="K790" s="128"/>
    </row>
    <row r="791" spans="1:11" ht="12.75" hidden="1" x14ac:dyDescent="0.2">
      <c r="A791" s="95"/>
      <c r="B791" s="95"/>
      <c r="C791" s="94"/>
      <c r="D791" s="95"/>
      <c r="E791" s="96"/>
      <c r="F791" s="96"/>
      <c r="H791" s="98"/>
      <c r="I791" s="126"/>
      <c r="J791" s="127"/>
      <c r="K791" s="128"/>
    </row>
    <row r="792" spans="1:11" ht="12.75" hidden="1" x14ac:dyDescent="0.2">
      <c r="A792" s="95"/>
      <c r="B792" s="95"/>
      <c r="C792" s="94"/>
      <c r="D792" s="95"/>
      <c r="E792" s="96"/>
      <c r="F792" s="96"/>
      <c r="H792" s="98"/>
      <c r="I792" s="126"/>
      <c r="J792" s="127"/>
      <c r="K792" s="128"/>
    </row>
    <row r="793" spans="1:11" ht="12.75" hidden="1" x14ac:dyDescent="0.2">
      <c r="A793" s="95"/>
      <c r="B793" s="95"/>
      <c r="C793" s="94"/>
      <c r="D793" s="95"/>
      <c r="E793" s="96"/>
      <c r="F793" s="96"/>
      <c r="H793" s="98"/>
      <c r="I793" s="126"/>
      <c r="J793" s="127"/>
      <c r="K793" s="128"/>
    </row>
    <row r="794" spans="1:11" ht="12.75" hidden="1" x14ac:dyDescent="0.2">
      <c r="A794" s="95"/>
      <c r="B794" s="95"/>
      <c r="C794" s="94"/>
      <c r="D794" s="95"/>
      <c r="E794" s="96"/>
      <c r="F794" s="96"/>
      <c r="H794" s="98"/>
      <c r="I794" s="126"/>
      <c r="J794" s="127"/>
      <c r="K794" s="128"/>
    </row>
    <row r="795" spans="1:11" ht="12.75" hidden="1" x14ac:dyDescent="0.2">
      <c r="A795" s="95"/>
      <c r="B795" s="95"/>
      <c r="C795" s="94"/>
      <c r="D795" s="95"/>
      <c r="E795" s="96"/>
      <c r="F795" s="96"/>
      <c r="H795" s="98"/>
      <c r="I795" s="126"/>
      <c r="J795" s="127"/>
      <c r="K795" s="128"/>
    </row>
    <row r="796" spans="1:11" ht="12.75" hidden="1" x14ac:dyDescent="0.2">
      <c r="A796" s="95"/>
      <c r="B796" s="95"/>
      <c r="C796" s="94"/>
      <c r="D796" s="95"/>
      <c r="E796" s="96"/>
      <c r="F796" s="96"/>
      <c r="H796" s="98"/>
      <c r="I796" s="126"/>
      <c r="J796" s="127"/>
      <c r="K796" s="128"/>
    </row>
    <row r="797" spans="1:11" ht="12.75" hidden="1" x14ac:dyDescent="0.2">
      <c r="A797" s="95"/>
      <c r="B797" s="95"/>
      <c r="C797" s="94"/>
      <c r="D797" s="95"/>
      <c r="E797" s="96"/>
      <c r="F797" s="96"/>
      <c r="H797" s="98"/>
      <c r="I797" s="126"/>
      <c r="J797" s="127"/>
      <c r="K797" s="128"/>
    </row>
    <row r="798" spans="1:11" ht="12.75" hidden="1" x14ac:dyDescent="0.2">
      <c r="A798" s="95"/>
      <c r="B798" s="95"/>
      <c r="C798" s="94"/>
      <c r="D798" s="95"/>
      <c r="E798" s="96"/>
      <c r="F798" s="96"/>
      <c r="H798" s="98"/>
      <c r="I798" s="126"/>
      <c r="J798" s="127"/>
      <c r="K798" s="128"/>
    </row>
    <row r="799" spans="1:11" ht="12.75" hidden="1" x14ac:dyDescent="0.2">
      <c r="A799" s="95"/>
      <c r="B799" s="95"/>
      <c r="C799" s="94"/>
      <c r="D799" s="95"/>
      <c r="E799" s="96"/>
      <c r="F799" s="96"/>
      <c r="H799" s="98"/>
      <c r="I799" s="126"/>
      <c r="J799" s="127"/>
      <c r="K799" s="128"/>
    </row>
    <row r="800" spans="1:11" ht="12.75" hidden="1" x14ac:dyDescent="0.2">
      <c r="A800" s="95"/>
      <c r="B800" s="95"/>
      <c r="C800" s="94"/>
      <c r="D800" s="95"/>
      <c r="E800" s="96"/>
      <c r="F800" s="96"/>
      <c r="H800" s="98"/>
      <c r="I800" s="126"/>
      <c r="J800" s="127"/>
      <c r="K800" s="128"/>
    </row>
    <row r="801" spans="1:11" ht="12.75" hidden="1" x14ac:dyDescent="0.2">
      <c r="A801" s="95"/>
      <c r="B801" s="95"/>
      <c r="C801" s="94"/>
      <c r="D801" s="95"/>
      <c r="E801" s="96"/>
      <c r="F801" s="96"/>
      <c r="H801" s="98"/>
      <c r="I801" s="126"/>
      <c r="J801" s="127"/>
      <c r="K801" s="128"/>
    </row>
    <row r="802" spans="1:11" ht="12.75" hidden="1" x14ac:dyDescent="0.2">
      <c r="A802" s="95"/>
      <c r="B802" s="95"/>
      <c r="C802" s="94"/>
      <c r="D802" s="95"/>
      <c r="E802" s="96"/>
      <c r="F802" s="96"/>
      <c r="H802" s="98"/>
      <c r="I802" s="126"/>
      <c r="J802" s="127"/>
      <c r="K802" s="128"/>
    </row>
    <row r="803" spans="1:11" ht="12.75" hidden="1" x14ac:dyDescent="0.2">
      <c r="A803" s="95"/>
      <c r="B803" s="95"/>
      <c r="C803" s="94"/>
      <c r="D803" s="95"/>
      <c r="E803" s="96"/>
      <c r="F803" s="96"/>
      <c r="H803" s="98"/>
      <c r="I803" s="126"/>
      <c r="J803" s="127"/>
      <c r="K803" s="128"/>
    </row>
    <row r="804" spans="1:11" ht="12.75" hidden="1" x14ac:dyDescent="0.2">
      <c r="A804" s="95"/>
      <c r="B804" s="95"/>
      <c r="C804" s="94"/>
      <c r="D804" s="95"/>
      <c r="E804" s="96"/>
      <c r="F804" s="96"/>
      <c r="H804" s="98"/>
      <c r="I804" s="126"/>
      <c r="J804" s="127"/>
      <c r="K804" s="128"/>
    </row>
    <row r="805" spans="1:11" ht="12.75" hidden="1" x14ac:dyDescent="0.2">
      <c r="A805" s="95"/>
      <c r="B805" s="95"/>
      <c r="C805" s="94"/>
      <c r="D805" s="95"/>
      <c r="E805" s="96"/>
      <c r="F805" s="96"/>
      <c r="H805" s="98"/>
      <c r="I805" s="126"/>
      <c r="J805" s="127"/>
      <c r="K805" s="128"/>
    </row>
    <row r="806" spans="1:11" ht="12.75" hidden="1" x14ac:dyDescent="0.2">
      <c r="A806" s="95"/>
      <c r="B806" s="95"/>
      <c r="C806" s="94"/>
      <c r="D806" s="95"/>
      <c r="E806" s="96"/>
      <c r="F806" s="96"/>
      <c r="H806" s="98"/>
      <c r="I806" s="126"/>
      <c r="J806" s="127"/>
      <c r="K806" s="128"/>
    </row>
    <row r="807" spans="1:11" ht="12.75" hidden="1" x14ac:dyDescent="0.2">
      <c r="A807" s="95"/>
      <c r="B807" s="95"/>
      <c r="C807" s="94"/>
      <c r="D807" s="95"/>
      <c r="E807" s="96"/>
      <c r="F807" s="96"/>
      <c r="H807" s="98"/>
      <c r="I807" s="126"/>
      <c r="J807" s="127"/>
      <c r="K807" s="128"/>
    </row>
    <row r="808" spans="1:11" ht="12.75" hidden="1" x14ac:dyDescent="0.2">
      <c r="A808" s="95"/>
      <c r="B808" s="95"/>
      <c r="C808" s="94"/>
      <c r="D808" s="95"/>
      <c r="E808" s="96"/>
      <c r="F808" s="96"/>
      <c r="H808" s="98"/>
      <c r="I808" s="126"/>
      <c r="J808" s="127"/>
      <c r="K808" s="128"/>
    </row>
    <row r="809" spans="1:11" ht="12.75" hidden="1" x14ac:dyDescent="0.2">
      <c r="A809" s="95"/>
      <c r="B809" s="95"/>
      <c r="C809" s="94"/>
      <c r="D809" s="95"/>
      <c r="E809" s="96"/>
      <c r="F809" s="96"/>
      <c r="H809" s="98"/>
      <c r="I809" s="126"/>
      <c r="J809" s="127"/>
      <c r="K809" s="128"/>
    </row>
    <row r="810" spans="1:11" ht="12.75" hidden="1" x14ac:dyDescent="0.2">
      <c r="A810" s="95"/>
      <c r="B810" s="95"/>
      <c r="C810" s="94"/>
      <c r="D810" s="95"/>
      <c r="E810" s="96"/>
      <c r="F810" s="96"/>
      <c r="H810" s="98"/>
      <c r="I810" s="126"/>
      <c r="J810" s="127"/>
      <c r="K810" s="128"/>
    </row>
    <row r="811" spans="1:11" ht="12.75" hidden="1" x14ac:dyDescent="0.2">
      <c r="A811" s="95"/>
      <c r="B811" s="95"/>
      <c r="C811" s="94"/>
      <c r="D811" s="95"/>
      <c r="E811" s="96"/>
      <c r="F811" s="96"/>
      <c r="H811" s="98"/>
      <c r="I811" s="126"/>
      <c r="J811" s="127"/>
      <c r="K811" s="128"/>
    </row>
    <row r="812" spans="1:11" ht="12.75" hidden="1" x14ac:dyDescent="0.2">
      <c r="A812" s="95"/>
      <c r="B812" s="95"/>
      <c r="C812" s="94"/>
      <c r="D812" s="95"/>
      <c r="E812" s="96"/>
      <c r="F812" s="96"/>
      <c r="H812" s="98"/>
      <c r="I812" s="126"/>
      <c r="J812" s="127"/>
      <c r="K812" s="128"/>
    </row>
    <row r="813" spans="1:11" ht="12.75" hidden="1" x14ac:dyDescent="0.2">
      <c r="A813" s="95"/>
      <c r="B813" s="95"/>
      <c r="C813" s="94"/>
      <c r="D813" s="95"/>
      <c r="E813" s="96"/>
      <c r="F813" s="96"/>
      <c r="H813" s="98"/>
      <c r="I813" s="126"/>
      <c r="J813" s="127"/>
      <c r="K813" s="128"/>
    </row>
    <row r="814" spans="1:11" ht="12.75" hidden="1" x14ac:dyDescent="0.2">
      <c r="A814" s="95"/>
      <c r="B814" s="95"/>
      <c r="C814" s="94"/>
      <c r="D814" s="95"/>
      <c r="E814" s="96"/>
      <c r="F814" s="96"/>
      <c r="H814" s="98"/>
      <c r="I814" s="126"/>
      <c r="J814" s="127"/>
      <c r="K814" s="128"/>
    </row>
    <row r="815" spans="1:11" ht="12.75" hidden="1" x14ac:dyDescent="0.2">
      <c r="A815" s="95"/>
      <c r="B815" s="95"/>
      <c r="C815" s="94"/>
      <c r="D815" s="95"/>
      <c r="E815" s="96"/>
      <c r="F815" s="96"/>
      <c r="H815" s="98"/>
      <c r="I815" s="126"/>
      <c r="J815" s="127"/>
      <c r="K815" s="128"/>
    </row>
    <row r="816" spans="1:11" ht="12.75" hidden="1" x14ac:dyDescent="0.2">
      <c r="A816" s="95"/>
      <c r="B816" s="95"/>
      <c r="C816" s="94"/>
      <c r="D816" s="95"/>
      <c r="E816" s="96"/>
      <c r="F816" s="96"/>
      <c r="H816" s="98"/>
      <c r="I816" s="126"/>
      <c r="J816" s="127"/>
      <c r="K816" s="128"/>
    </row>
    <row r="817" spans="1:11" ht="12.75" hidden="1" x14ac:dyDescent="0.2">
      <c r="A817" s="95"/>
      <c r="B817" s="95"/>
      <c r="C817" s="94"/>
      <c r="D817" s="95"/>
      <c r="E817" s="96"/>
      <c r="F817" s="96"/>
      <c r="H817" s="98"/>
      <c r="I817" s="126"/>
      <c r="J817" s="127"/>
      <c r="K817" s="128"/>
    </row>
    <row r="818" spans="1:11" ht="12.75" hidden="1" x14ac:dyDescent="0.2">
      <c r="A818" s="95"/>
      <c r="B818" s="95"/>
      <c r="C818" s="94"/>
      <c r="D818" s="95"/>
      <c r="E818" s="96"/>
      <c r="F818" s="96"/>
      <c r="H818" s="98"/>
      <c r="I818" s="126"/>
      <c r="J818" s="127"/>
      <c r="K818" s="128"/>
    </row>
    <row r="819" spans="1:11" ht="12.75" hidden="1" x14ac:dyDescent="0.2">
      <c r="A819" s="95"/>
      <c r="B819" s="95"/>
      <c r="C819" s="94"/>
      <c r="D819" s="95"/>
      <c r="E819" s="96"/>
      <c r="F819" s="96"/>
      <c r="H819" s="98"/>
      <c r="I819" s="126"/>
      <c r="J819" s="127"/>
      <c r="K819" s="128"/>
    </row>
    <row r="820" spans="1:11" ht="12.75" hidden="1" x14ac:dyDescent="0.2">
      <c r="A820" s="95"/>
      <c r="B820" s="95"/>
      <c r="C820" s="94"/>
      <c r="D820" s="95"/>
      <c r="E820" s="96"/>
      <c r="F820" s="96"/>
      <c r="H820" s="98"/>
      <c r="I820" s="126"/>
      <c r="J820" s="127"/>
      <c r="K820" s="128"/>
    </row>
    <row r="821" spans="1:11" ht="12.75" hidden="1" x14ac:dyDescent="0.2">
      <c r="A821" s="95"/>
      <c r="B821" s="95"/>
      <c r="C821" s="94"/>
      <c r="D821" s="95"/>
      <c r="E821" s="96"/>
      <c r="F821" s="96"/>
      <c r="H821" s="98"/>
      <c r="I821" s="126"/>
      <c r="J821" s="127"/>
      <c r="K821" s="128"/>
    </row>
    <row r="822" spans="1:11" ht="12.75" hidden="1" x14ac:dyDescent="0.2">
      <c r="A822" s="95"/>
      <c r="B822" s="95"/>
      <c r="C822" s="94"/>
      <c r="D822" s="95"/>
      <c r="E822" s="96"/>
      <c r="F822" s="96"/>
      <c r="H822" s="98"/>
      <c r="I822" s="126"/>
      <c r="J822" s="127"/>
      <c r="K822" s="128"/>
    </row>
    <row r="823" spans="1:11" ht="12.75" hidden="1" x14ac:dyDescent="0.2">
      <c r="A823" s="95"/>
      <c r="B823" s="95"/>
      <c r="C823" s="94"/>
      <c r="D823" s="95"/>
      <c r="E823" s="96"/>
      <c r="F823" s="96"/>
      <c r="H823" s="98"/>
      <c r="I823" s="126"/>
      <c r="J823" s="127"/>
      <c r="K823" s="128"/>
    </row>
    <row r="824" spans="1:11" ht="12.75" hidden="1" x14ac:dyDescent="0.2">
      <c r="A824" s="95"/>
      <c r="B824" s="95"/>
      <c r="C824" s="94"/>
      <c r="D824" s="95"/>
      <c r="E824" s="96"/>
      <c r="F824" s="96"/>
      <c r="H824" s="98"/>
      <c r="I824" s="126"/>
      <c r="J824" s="127"/>
      <c r="K824" s="128"/>
    </row>
    <row r="825" spans="1:11" ht="12.75" hidden="1" x14ac:dyDescent="0.2">
      <c r="A825" s="95"/>
      <c r="B825" s="95"/>
      <c r="C825" s="94"/>
      <c r="D825" s="95"/>
      <c r="E825" s="96"/>
      <c r="F825" s="96"/>
      <c r="H825" s="98"/>
      <c r="I825" s="126"/>
      <c r="J825" s="127"/>
      <c r="K825" s="128"/>
    </row>
    <row r="826" spans="1:11" ht="12.75" hidden="1" x14ac:dyDescent="0.2">
      <c r="A826" s="95"/>
      <c r="B826" s="95"/>
      <c r="C826" s="94"/>
      <c r="D826" s="95"/>
      <c r="E826" s="96"/>
      <c r="F826" s="96"/>
      <c r="H826" s="98"/>
      <c r="I826" s="126"/>
      <c r="J826" s="127"/>
      <c r="K826" s="128"/>
    </row>
    <row r="827" spans="1:11" ht="12.75" hidden="1" x14ac:dyDescent="0.2">
      <c r="A827" s="95"/>
      <c r="B827" s="95"/>
      <c r="C827" s="94"/>
      <c r="D827" s="95"/>
      <c r="E827" s="96"/>
      <c r="F827" s="96"/>
      <c r="H827" s="98"/>
      <c r="I827" s="126"/>
      <c r="J827" s="127"/>
      <c r="K827" s="128"/>
    </row>
    <row r="828" spans="1:11" ht="12.75" hidden="1" x14ac:dyDescent="0.2">
      <c r="A828" s="95"/>
      <c r="B828" s="95"/>
      <c r="C828" s="94"/>
      <c r="D828" s="95"/>
      <c r="E828" s="96"/>
      <c r="F828" s="96"/>
      <c r="H828" s="98"/>
      <c r="I828" s="126"/>
      <c r="J828" s="127"/>
      <c r="K828" s="128"/>
    </row>
    <row r="829" spans="1:11" ht="12.75" hidden="1" x14ac:dyDescent="0.2">
      <c r="A829" s="95"/>
      <c r="B829" s="95"/>
      <c r="C829" s="94"/>
      <c r="D829" s="95"/>
      <c r="E829" s="96"/>
      <c r="F829" s="96"/>
      <c r="H829" s="98"/>
      <c r="I829" s="126"/>
      <c r="J829" s="127"/>
      <c r="K829" s="128"/>
    </row>
    <row r="830" spans="1:11" ht="12.75" hidden="1" x14ac:dyDescent="0.2">
      <c r="A830" s="95"/>
      <c r="B830" s="95"/>
      <c r="C830" s="94"/>
      <c r="D830" s="95"/>
      <c r="E830" s="96"/>
      <c r="F830" s="96"/>
      <c r="H830" s="98"/>
      <c r="I830" s="126"/>
      <c r="J830" s="127"/>
      <c r="K830" s="128"/>
    </row>
    <row r="831" spans="1:11" ht="12.75" hidden="1" x14ac:dyDescent="0.2">
      <c r="A831" s="95"/>
      <c r="B831" s="95"/>
      <c r="C831" s="94"/>
      <c r="D831" s="95"/>
      <c r="E831" s="96"/>
      <c r="F831" s="96"/>
      <c r="H831" s="98"/>
      <c r="I831" s="126"/>
      <c r="J831" s="127"/>
      <c r="K831" s="128"/>
    </row>
    <row r="832" spans="1:11" ht="12.75" hidden="1" x14ac:dyDescent="0.2">
      <c r="A832" s="95"/>
      <c r="B832" s="95"/>
      <c r="C832" s="94"/>
      <c r="D832" s="95"/>
      <c r="E832" s="96"/>
      <c r="F832" s="96"/>
      <c r="H832" s="98"/>
      <c r="I832" s="126"/>
      <c r="J832" s="127"/>
      <c r="K832" s="128"/>
    </row>
    <row r="833" spans="1:11" ht="12.75" hidden="1" x14ac:dyDescent="0.2">
      <c r="A833" s="95"/>
      <c r="B833" s="95"/>
      <c r="C833" s="94"/>
      <c r="D833" s="95"/>
      <c r="E833" s="96"/>
      <c r="F833" s="96"/>
      <c r="H833" s="98"/>
      <c r="I833" s="126"/>
      <c r="J833" s="127"/>
      <c r="K833" s="128"/>
    </row>
    <row r="834" spans="1:11" ht="12.75" hidden="1" x14ac:dyDescent="0.2">
      <c r="A834" s="95"/>
      <c r="B834" s="95"/>
      <c r="C834" s="94"/>
      <c r="D834" s="95"/>
      <c r="E834" s="96"/>
      <c r="F834" s="96"/>
      <c r="H834" s="98"/>
      <c r="I834" s="126"/>
      <c r="J834" s="127"/>
      <c r="K834" s="128"/>
    </row>
    <row r="835" spans="1:11" ht="12.75" hidden="1" x14ac:dyDescent="0.2">
      <c r="A835" s="95"/>
      <c r="B835" s="95"/>
      <c r="C835" s="94"/>
      <c r="D835" s="95"/>
      <c r="E835" s="96"/>
      <c r="F835" s="96"/>
      <c r="H835" s="98"/>
      <c r="I835" s="126"/>
      <c r="J835" s="127"/>
      <c r="K835" s="128"/>
    </row>
    <row r="836" spans="1:11" ht="12.75" hidden="1" x14ac:dyDescent="0.2">
      <c r="A836" s="95"/>
      <c r="B836" s="95"/>
      <c r="C836" s="94"/>
      <c r="D836" s="95"/>
      <c r="E836" s="96"/>
      <c r="F836" s="96"/>
      <c r="H836" s="98"/>
      <c r="I836" s="126"/>
      <c r="J836" s="127"/>
      <c r="K836" s="128"/>
    </row>
    <row r="837" spans="1:11" ht="12.75" hidden="1" x14ac:dyDescent="0.2">
      <c r="A837" s="95"/>
      <c r="B837" s="95"/>
      <c r="C837" s="94"/>
      <c r="D837" s="95"/>
      <c r="E837" s="96"/>
      <c r="F837" s="96"/>
      <c r="H837" s="98"/>
      <c r="I837" s="126"/>
      <c r="J837" s="127"/>
      <c r="K837" s="128"/>
    </row>
    <row r="838" spans="1:11" ht="12.75" hidden="1" x14ac:dyDescent="0.2">
      <c r="A838" s="95"/>
      <c r="B838" s="95"/>
      <c r="C838" s="94"/>
      <c r="D838" s="95"/>
      <c r="E838" s="96"/>
      <c r="F838" s="96"/>
      <c r="H838" s="98"/>
      <c r="I838" s="126"/>
      <c r="J838" s="127"/>
      <c r="K838" s="128"/>
    </row>
    <row r="839" spans="1:11" ht="12.75" hidden="1" x14ac:dyDescent="0.2">
      <c r="A839" s="95"/>
      <c r="B839" s="95"/>
      <c r="C839" s="94"/>
      <c r="D839" s="95"/>
      <c r="E839" s="96"/>
      <c r="F839" s="96"/>
      <c r="H839" s="98"/>
      <c r="I839" s="126"/>
      <c r="J839" s="127"/>
      <c r="K839" s="128"/>
    </row>
    <row r="840" spans="1:11" ht="12.75" hidden="1" x14ac:dyDescent="0.2">
      <c r="A840" s="95"/>
      <c r="B840" s="95"/>
      <c r="C840" s="94"/>
      <c r="D840" s="95"/>
      <c r="E840" s="96"/>
      <c r="F840" s="96"/>
      <c r="H840" s="98"/>
      <c r="I840" s="126"/>
      <c r="J840" s="127"/>
      <c r="K840" s="128"/>
    </row>
    <row r="841" spans="1:11" ht="12.75" hidden="1" x14ac:dyDescent="0.2">
      <c r="A841" s="95"/>
      <c r="B841" s="95"/>
      <c r="C841" s="94"/>
      <c r="D841" s="95"/>
      <c r="E841" s="96"/>
      <c r="F841" s="96"/>
      <c r="H841" s="98"/>
      <c r="I841" s="126"/>
      <c r="J841" s="127"/>
      <c r="K841" s="128"/>
    </row>
    <row r="842" spans="1:11" ht="12.75" hidden="1" x14ac:dyDescent="0.2">
      <c r="A842" s="95"/>
      <c r="B842" s="95"/>
      <c r="C842" s="94"/>
      <c r="D842" s="95"/>
      <c r="E842" s="96"/>
      <c r="F842" s="96"/>
      <c r="H842" s="98"/>
      <c r="I842" s="126"/>
      <c r="J842" s="127"/>
      <c r="K842" s="128"/>
    </row>
    <row r="843" spans="1:11" ht="12.75" hidden="1" x14ac:dyDescent="0.2">
      <c r="A843" s="95"/>
      <c r="B843" s="95"/>
      <c r="C843" s="94"/>
      <c r="D843" s="95"/>
      <c r="E843" s="96"/>
      <c r="F843" s="96"/>
      <c r="H843" s="98"/>
      <c r="I843" s="126"/>
      <c r="J843" s="127"/>
      <c r="K843" s="128"/>
    </row>
    <row r="844" spans="1:11" ht="12.75" hidden="1" x14ac:dyDescent="0.2">
      <c r="A844" s="95"/>
      <c r="B844" s="95"/>
      <c r="C844" s="94"/>
      <c r="D844" s="95"/>
      <c r="E844" s="96"/>
      <c r="F844" s="96"/>
      <c r="H844" s="98"/>
      <c r="I844" s="126"/>
      <c r="J844" s="127"/>
      <c r="K844" s="128"/>
    </row>
    <row r="845" spans="1:11" ht="12.75" hidden="1" x14ac:dyDescent="0.2">
      <c r="A845" s="95"/>
      <c r="B845" s="95"/>
      <c r="C845" s="94"/>
      <c r="D845" s="95"/>
      <c r="E845" s="96"/>
      <c r="F845" s="96"/>
      <c r="H845" s="98"/>
      <c r="I845" s="126"/>
      <c r="J845" s="127"/>
      <c r="K845" s="128"/>
    </row>
    <row r="846" spans="1:11" ht="12.75" hidden="1" x14ac:dyDescent="0.2">
      <c r="A846" s="95"/>
      <c r="B846" s="95"/>
      <c r="C846" s="94"/>
      <c r="D846" s="95"/>
      <c r="E846" s="96"/>
      <c r="F846" s="96"/>
      <c r="H846" s="98"/>
      <c r="I846" s="126"/>
      <c r="J846" s="127"/>
      <c r="K846" s="128"/>
    </row>
    <row r="847" spans="1:11" ht="12.75" hidden="1" x14ac:dyDescent="0.2">
      <c r="A847" s="95"/>
      <c r="B847" s="95"/>
      <c r="C847" s="94"/>
      <c r="D847" s="95"/>
      <c r="E847" s="96"/>
      <c r="F847" s="96"/>
      <c r="H847" s="98"/>
      <c r="I847" s="126"/>
      <c r="J847" s="127"/>
      <c r="K847" s="128"/>
    </row>
    <row r="848" spans="1:11" ht="12.75" hidden="1" x14ac:dyDescent="0.2">
      <c r="A848" s="95"/>
      <c r="B848" s="95"/>
      <c r="C848" s="94"/>
      <c r="D848" s="95"/>
      <c r="E848" s="96"/>
      <c r="F848" s="96"/>
      <c r="H848" s="98"/>
      <c r="I848" s="126"/>
      <c r="J848" s="127"/>
      <c r="K848" s="128"/>
    </row>
    <row r="849" spans="1:11" ht="12.75" hidden="1" x14ac:dyDescent="0.2">
      <c r="A849" s="95"/>
      <c r="B849" s="95"/>
      <c r="C849" s="94"/>
      <c r="D849" s="95"/>
      <c r="E849" s="96"/>
      <c r="F849" s="96"/>
      <c r="H849" s="98"/>
      <c r="I849" s="126"/>
      <c r="J849" s="127"/>
      <c r="K849" s="128"/>
    </row>
    <row r="850" spans="1:11" ht="12.75" hidden="1" x14ac:dyDescent="0.2">
      <c r="A850" s="95"/>
      <c r="B850" s="95"/>
      <c r="C850" s="94"/>
      <c r="D850" s="95"/>
      <c r="E850" s="96"/>
      <c r="F850" s="96"/>
      <c r="H850" s="98"/>
      <c r="I850" s="126"/>
      <c r="J850" s="127"/>
      <c r="K850" s="128"/>
    </row>
    <row r="851" spans="1:11" ht="12.75" hidden="1" x14ac:dyDescent="0.2">
      <c r="A851" s="95"/>
      <c r="B851" s="95"/>
      <c r="C851" s="94"/>
      <c r="D851" s="95"/>
      <c r="E851" s="96"/>
      <c r="F851" s="96"/>
      <c r="H851" s="98"/>
      <c r="I851" s="126"/>
      <c r="J851" s="127"/>
      <c r="K851" s="128"/>
    </row>
    <row r="852" spans="1:11" ht="12.75" hidden="1" x14ac:dyDescent="0.2">
      <c r="A852" s="95"/>
      <c r="B852" s="95"/>
      <c r="C852" s="94"/>
      <c r="D852" s="95"/>
      <c r="E852" s="96"/>
      <c r="F852" s="96"/>
      <c r="H852" s="98"/>
      <c r="I852" s="126"/>
      <c r="J852" s="127"/>
      <c r="K852" s="128"/>
    </row>
    <row r="853" spans="1:11" ht="12.75" hidden="1" x14ac:dyDescent="0.2">
      <c r="A853" s="95"/>
      <c r="B853" s="95"/>
      <c r="C853" s="94"/>
      <c r="D853" s="95"/>
      <c r="E853" s="96"/>
      <c r="F853" s="96"/>
      <c r="H853" s="129"/>
      <c r="I853" s="130"/>
      <c r="J853" s="131"/>
      <c r="K853" s="132"/>
    </row>
  </sheetData>
  <autoFilter ref="A6:I215" xr:uid="{00000000-0009-0000-0000-000003000000}"/>
  <mergeCells count="7">
    <mergeCell ref="A2:G5"/>
    <mergeCell ref="H2:I2"/>
    <mergeCell ref="K2:K6"/>
    <mergeCell ref="H3:I3"/>
    <mergeCell ref="J3:J5"/>
    <mergeCell ref="H4:I4"/>
    <mergeCell ref="H5:I5"/>
  </mergeCells>
  <conditionalFormatting sqref="C6:C853">
    <cfRule type="cellIs" dxfId="3" priority="4" operator="lessThan">
      <formula>"92%"</formula>
    </cfRule>
  </conditionalFormatting>
  <conditionalFormatting sqref="C7:C215">
    <cfRule type="cellIs" dxfId="2" priority="1" operator="lessThan">
      <formula>"90%"</formula>
    </cfRule>
    <cfRule type="cellIs" dxfId="1" priority="2" operator="lessThan">
      <formula>"94%"</formula>
    </cfRule>
  </conditionalFormatting>
  <conditionalFormatting sqref="K1:K853">
    <cfRule type="cellIs" dxfId="0" priority="3" operator="lessThan">
      <formula>0</formula>
    </cfRule>
  </conditionalFormatting>
  <dataValidations count="1">
    <dataValidation type="list" allowBlank="1" sqref="E7:E215" xr:uid="{00000000-0002-0000-0300-000000000000}">
      <formula1>"Weather,Health,Safety,Other"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996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x14ac:dyDescent="0.2"/>
  <cols>
    <col min="1" max="1" width="17" customWidth="1"/>
    <col min="2" max="2" width="13.5703125" customWidth="1"/>
    <col min="3" max="3" width="23" customWidth="1"/>
  </cols>
  <sheetData>
    <row r="1" spans="1:3" ht="15.75" customHeight="1" x14ac:dyDescent="0.35">
      <c r="A1" s="187" t="s">
        <v>562</v>
      </c>
      <c r="B1" s="259" t="s">
        <v>565</v>
      </c>
      <c r="C1" s="206"/>
    </row>
    <row r="2" spans="1:3" ht="12.75" x14ac:dyDescent="0.2">
      <c r="A2" s="95"/>
      <c r="B2" s="95"/>
    </row>
    <row r="3" spans="1:3" ht="12.75" x14ac:dyDescent="0.2">
      <c r="A3" s="260" t="s">
        <v>566</v>
      </c>
      <c r="B3" s="206"/>
      <c r="C3" s="206"/>
    </row>
    <row r="4" spans="1:3" ht="15.75" customHeight="1" x14ac:dyDescent="0.2">
      <c r="A4" s="206"/>
      <c r="B4" s="206"/>
      <c r="C4" s="206"/>
    </row>
    <row r="5" spans="1:3" ht="15.75" customHeight="1" x14ac:dyDescent="0.2">
      <c r="A5" s="203" t="s">
        <v>215</v>
      </c>
      <c r="B5" s="204" t="s">
        <v>216</v>
      </c>
      <c r="C5" s="204" t="s">
        <v>567</v>
      </c>
    </row>
    <row r="6" spans="1:3" ht="12.75" x14ac:dyDescent="0.2">
      <c r="A6" s="92">
        <v>45516</v>
      </c>
      <c r="B6" s="93" t="s">
        <v>33</v>
      </c>
    </row>
    <row r="7" spans="1:3" ht="12.75" x14ac:dyDescent="0.2">
      <c r="A7" s="92">
        <v>45517</v>
      </c>
      <c r="B7" s="93" t="s">
        <v>35</v>
      </c>
    </row>
    <row r="8" spans="1:3" ht="12.75" x14ac:dyDescent="0.2">
      <c r="A8" s="92">
        <v>45518</v>
      </c>
      <c r="B8" s="93" t="s">
        <v>37</v>
      </c>
    </row>
    <row r="9" spans="1:3" ht="12.75" x14ac:dyDescent="0.2">
      <c r="A9" s="92">
        <v>45519</v>
      </c>
      <c r="B9" s="93" t="s">
        <v>39</v>
      </c>
    </row>
    <row r="10" spans="1:3" ht="12.75" x14ac:dyDescent="0.2">
      <c r="A10" s="92">
        <v>45520</v>
      </c>
      <c r="B10" s="93" t="s">
        <v>41</v>
      </c>
    </row>
    <row r="11" spans="1:3" ht="12.75" x14ac:dyDescent="0.2">
      <c r="A11" s="92">
        <v>45523</v>
      </c>
      <c r="B11" s="93" t="s">
        <v>33</v>
      </c>
    </row>
    <row r="12" spans="1:3" ht="12.75" x14ac:dyDescent="0.2">
      <c r="A12" s="92">
        <v>45524</v>
      </c>
      <c r="B12" s="93" t="s">
        <v>35</v>
      </c>
    </row>
    <row r="13" spans="1:3" ht="12.75" x14ac:dyDescent="0.2">
      <c r="A13" s="92">
        <v>45525</v>
      </c>
      <c r="B13" s="93" t="s">
        <v>37</v>
      </c>
    </row>
    <row r="14" spans="1:3" ht="12.75" x14ac:dyDescent="0.2">
      <c r="A14" s="92">
        <v>45526</v>
      </c>
      <c r="B14" s="93" t="s">
        <v>39</v>
      </c>
    </row>
    <row r="15" spans="1:3" ht="12.75" x14ac:dyDescent="0.2">
      <c r="A15" s="92">
        <v>45527</v>
      </c>
      <c r="B15" s="93" t="s">
        <v>41</v>
      </c>
    </row>
    <row r="16" spans="1:3" ht="12.75" x14ac:dyDescent="0.2">
      <c r="A16" s="92">
        <v>45530</v>
      </c>
      <c r="B16" s="93" t="s">
        <v>33</v>
      </c>
    </row>
    <row r="17" spans="1:2" ht="12.75" x14ac:dyDescent="0.2">
      <c r="A17" s="92">
        <v>45531</v>
      </c>
      <c r="B17" s="93" t="s">
        <v>35</v>
      </c>
    </row>
    <row r="18" spans="1:2" ht="12.75" x14ac:dyDescent="0.2">
      <c r="A18" s="92">
        <v>45532</v>
      </c>
      <c r="B18" s="93" t="s">
        <v>37</v>
      </c>
    </row>
    <row r="19" spans="1:2" ht="12.75" x14ac:dyDescent="0.2">
      <c r="A19" s="92">
        <v>45533</v>
      </c>
      <c r="B19" s="93" t="s">
        <v>39</v>
      </c>
    </row>
    <row r="20" spans="1:2" ht="12.75" x14ac:dyDescent="0.2">
      <c r="A20" s="92">
        <v>45534</v>
      </c>
      <c r="B20" s="93" t="s">
        <v>41</v>
      </c>
    </row>
    <row r="21" spans="1:2" ht="12.75" x14ac:dyDescent="0.2">
      <c r="A21" s="199">
        <v>45537</v>
      </c>
      <c r="B21" s="200" t="s">
        <v>33</v>
      </c>
    </row>
    <row r="22" spans="1:2" ht="12.75" x14ac:dyDescent="0.2">
      <c r="A22" s="92">
        <v>45538</v>
      </c>
      <c r="B22" s="93" t="s">
        <v>35</v>
      </c>
    </row>
    <row r="23" spans="1:2" ht="12.75" x14ac:dyDescent="0.2">
      <c r="A23" s="92">
        <v>45539</v>
      </c>
      <c r="B23" s="93" t="s">
        <v>37</v>
      </c>
    </row>
    <row r="24" spans="1:2" ht="12.75" x14ac:dyDescent="0.2">
      <c r="A24" s="92">
        <v>45540</v>
      </c>
      <c r="B24" s="93" t="s">
        <v>39</v>
      </c>
    </row>
    <row r="25" spans="1:2" ht="12.75" x14ac:dyDescent="0.2">
      <c r="A25" s="92">
        <v>45541</v>
      </c>
      <c r="B25" s="93" t="s">
        <v>41</v>
      </c>
    </row>
    <row r="26" spans="1:2" ht="12.75" x14ac:dyDescent="0.2">
      <c r="A26" s="92">
        <v>45544</v>
      </c>
      <c r="B26" s="93" t="s">
        <v>33</v>
      </c>
    </row>
    <row r="27" spans="1:2" ht="12.75" x14ac:dyDescent="0.2">
      <c r="A27" s="92">
        <v>45545</v>
      </c>
      <c r="B27" s="93" t="s">
        <v>35</v>
      </c>
    </row>
    <row r="28" spans="1:2" ht="12.75" x14ac:dyDescent="0.2">
      <c r="A28" s="92">
        <v>45546</v>
      </c>
      <c r="B28" s="93" t="s">
        <v>37</v>
      </c>
    </row>
    <row r="29" spans="1:2" ht="12.75" x14ac:dyDescent="0.2">
      <c r="A29" s="92">
        <v>45547</v>
      </c>
      <c r="B29" s="93" t="s">
        <v>39</v>
      </c>
    </row>
    <row r="30" spans="1:2" ht="12.75" x14ac:dyDescent="0.2">
      <c r="A30" s="92">
        <v>45548</v>
      </c>
      <c r="B30" s="93" t="s">
        <v>41</v>
      </c>
    </row>
    <row r="31" spans="1:2" ht="12.75" x14ac:dyDescent="0.2">
      <c r="A31" s="109">
        <v>45551</v>
      </c>
      <c r="B31" s="110" t="s">
        <v>33</v>
      </c>
    </row>
    <row r="32" spans="1:2" ht="12.75" x14ac:dyDescent="0.2">
      <c r="A32" s="92">
        <v>45552</v>
      </c>
      <c r="B32" s="93" t="s">
        <v>35</v>
      </c>
    </row>
    <row r="33" spans="1:2" ht="12.75" x14ac:dyDescent="0.2">
      <c r="A33" s="92">
        <v>45553</v>
      </c>
      <c r="B33" s="93" t="s">
        <v>37</v>
      </c>
    </row>
    <row r="34" spans="1:2" ht="12.75" x14ac:dyDescent="0.2">
      <c r="A34" s="92">
        <v>45554</v>
      </c>
      <c r="B34" s="93" t="s">
        <v>39</v>
      </c>
    </row>
    <row r="35" spans="1:2" ht="12.75" x14ac:dyDescent="0.2">
      <c r="A35" s="92">
        <v>45555</v>
      </c>
      <c r="B35" s="93" t="s">
        <v>41</v>
      </c>
    </row>
    <row r="36" spans="1:2" ht="12.75" x14ac:dyDescent="0.2">
      <c r="A36" s="92">
        <v>45558</v>
      </c>
      <c r="B36" s="93" t="s">
        <v>33</v>
      </c>
    </row>
    <row r="37" spans="1:2" ht="12.75" x14ac:dyDescent="0.2">
      <c r="A37" s="92">
        <v>45559</v>
      </c>
      <c r="B37" s="93" t="s">
        <v>35</v>
      </c>
    </row>
    <row r="38" spans="1:2" ht="12.75" x14ac:dyDescent="0.2">
      <c r="A38" s="92">
        <v>45560</v>
      </c>
      <c r="B38" s="93" t="s">
        <v>37</v>
      </c>
    </row>
    <row r="39" spans="1:2" ht="12.75" x14ac:dyDescent="0.2">
      <c r="A39" s="92">
        <v>45561</v>
      </c>
      <c r="B39" s="93" t="s">
        <v>39</v>
      </c>
    </row>
    <row r="40" spans="1:2" ht="12.75" x14ac:dyDescent="0.2">
      <c r="A40" s="92">
        <v>45562</v>
      </c>
      <c r="B40" s="93" t="s">
        <v>41</v>
      </c>
    </row>
    <row r="41" spans="1:2" ht="12.75" x14ac:dyDescent="0.2">
      <c r="A41" s="92">
        <v>45565</v>
      </c>
      <c r="B41" s="93" t="s">
        <v>33</v>
      </c>
    </row>
    <row r="42" spans="1:2" ht="12.75" x14ac:dyDescent="0.2">
      <c r="A42" s="92">
        <v>45566</v>
      </c>
      <c r="B42" s="93" t="s">
        <v>35</v>
      </c>
    </row>
    <row r="43" spans="1:2" ht="12.75" x14ac:dyDescent="0.2">
      <c r="A43" s="92">
        <v>45567</v>
      </c>
      <c r="B43" s="93" t="s">
        <v>37</v>
      </c>
    </row>
    <row r="44" spans="1:2" ht="12.75" x14ac:dyDescent="0.2">
      <c r="A44" s="92">
        <v>45568</v>
      </c>
      <c r="B44" s="93" t="s">
        <v>39</v>
      </c>
    </row>
    <row r="45" spans="1:2" ht="12.75" x14ac:dyDescent="0.2">
      <c r="A45" s="92">
        <v>45569</v>
      </c>
      <c r="B45" s="93" t="s">
        <v>41</v>
      </c>
    </row>
    <row r="46" spans="1:2" ht="12.75" x14ac:dyDescent="0.2">
      <c r="A46" s="103">
        <v>45572</v>
      </c>
      <c r="B46" s="104" t="s">
        <v>33</v>
      </c>
    </row>
    <row r="47" spans="1:2" ht="12.75" x14ac:dyDescent="0.2">
      <c r="A47" s="103">
        <v>45573</v>
      </c>
      <c r="B47" s="104" t="s">
        <v>35</v>
      </c>
    </row>
    <row r="48" spans="1:2" ht="12.75" x14ac:dyDescent="0.2">
      <c r="A48" s="103">
        <v>45574</v>
      </c>
      <c r="B48" s="104" t="s">
        <v>37</v>
      </c>
    </row>
    <row r="49" spans="1:2" ht="12.75" x14ac:dyDescent="0.2">
      <c r="A49" s="103">
        <v>45575</v>
      </c>
      <c r="B49" s="104" t="s">
        <v>39</v>
      </c>
    </row>
    <row r="50" spans="1:2" ht="12.75" x14ac:dyDescent="0.2">
      <c r="A50" s="103">
        <v>45576</v>
      </c>
      <c r="B50" s="104" t="s">
        <v>41</v>
      </c>
    </row>
    <row r="51" spans="1:2" ht="12.75" x14ac:dyDescent="0.2">
      <c r="A51" s="92">
        <v>45579</v>
      </c>
      <c r="B51" s="93" t="s">
        <v>33</v>
      </c>
    </row>
    <row r="52" spans="1:2" ht="12.75" x14ac:dyDescent="0.2">
      <c r="A52" s="92">
        <v>45580</v>
      </c>
      <c r="B52" s="93" t="s">
        <v>35</v>
      </c>
    </row>
    <row r="53" spans="1:2" ht="12.75" x14ac:dyDescent="0.2">
      <c r="A53" s="92">
        <v>45581</v>
      </c>
      <c r="B53" s="93" t="s">
        <v>37</v>
      </c>
    </row>
    <row r="54" spans="1:2" ht="12.75" x14ac:dyDescent="0.2">
      <c r="A54" s="92">
        <v>45582</v>
      </c>
      <c r="B54" s="93" t="s">
        <v>39</v>
      </c>
    </row>
    <row r="55" spans="1:2" ht="12.75" x14ac:dyDescent="0.2">
      <c r="A55" s="92">
        <v>45583</v>
      </c>
      <c r="B55" s="93" t="s">
        <v>41</v>
      </c>
    </row>
    <row r="56" spans="1:2" ht="12.75" x14ac:dyDescent="0.2">
      <c r="A56" s="92">
        <v>45586</v>
      </c>
      <c r="B56" s="93" t="s">
        <v>33</v>
      </c>
    </row>
    <row r="57" spans="1:2" ht="12.75" x14ac:dyDescent="0.2">
      <c r="A57" s="92">
        <v>45587</v>
      </c>
      <c r="B57" s="93" t="s">
        <v>35</v>
      </c>
    </row>
    <row r="58" spans="1:2" ht="12.75" x14ac:dyDescent="0.2">
      <c r="A58" s="92">
        <v>45588</v>
      </c>
      <c r="B58" s="93" t="s">
        <v>37</v>
      </c>
    </row>
    <row r="59" spans="1:2" ht="12.75" x14ac:dyDescent="0.2">
      <c r="A59" s="92">
        <v>45589</v>
      </c>
      <c r="B59" s="93" t="s">
        <v>39</v>
      </c>
    </row>
    <row r="60" spans="1:2" ht="12.75" x14ac:dyDescent="0.2">
      <c r="A60" s="92">
        <v>45590</v>
      </c>
      <c r="B60" s="93" t="s">
        <v>41</v>
      </c>
    </row>
    <row r="61" spans="1:2" ht="12.75" x14ac:dyDescent="0.2">
      <c r="A61" s="92">
        <v>45593</v>
      </c>
      <c r="B61" s="93" t="s">
        <v>33</v>
      </c>
    </row>
    <row r="62" spans="1:2" ht="12.75" x14ac:dyDescent="0.2">
      <c r="A62" s="92">
        <v>45594</v>
      </c>
      <c r="B62" s="93" t="s">
        <v>35</v>
      </c>
    </row>
    <row r="63" spans="1:2" ht="12.75" x14ac:dyDescent="0.2">
      <c r="A63" s="92">
        <v>45595</v>
      </c>
      <c r="B63" s="93" t="s">
        <v>37</v>
      </c>
    </row>
    <row r="64" spans="1:2" ht="12.75" x14ac:dyDescent="0.2">
      <c r="A64" s="92">
        <v>45596</v>
      </c>
      <c r="B64" s="93" t="s">
        <v>39</v>
      </c>
    </row>
    <row r="65" spans="1:2" ht="12.75" x14ac:dyDescent="0.2">
      <c r="A65" s="92">
        <v>45597</v>
      </c>
      <c r="B65" s="93" t="s">
        <v>41</v>
      </c>
    </row>
    <row r="66" spans="1:2" ht="12.75" x14ac:dyDescent="0.2">
      <c r="A66" s="117">
        <v>45600</v>
      </c>
      <c r="B66" s="118" t="s">
        <v>33</v>
      </c>
    </row>
    <row r="67" spans="1:2" ht="12.75" x14ac:dyDescent="0.2">
      <c r="A67" s="109">
        <v>45601</v>
      </c>
      <c r="B67" s="110" t="s">
        <v>35</v>
      </c>
    </row>
    <row r="68" spans="1:2" ht="12.75" x14ac:dyDescent="0.2">
      <c r="A68" s="92">
        <v>45602</v>
      </c>
      <c r="B68" s="93" t="s">
        <v>37</v>
      </c>
    </row>
    <row r="69" spans="1:2" ht="12.75" x14ac:dyDescent="0.2">
      <c r="A69" s="92">
        <v>45603</v>
      </c>
      <c r="B69" s="93" t="s">
        <v>39</v>
      </c>
    </row>
    <row r="70" spans="1:2" ht="12.75" x14ac:dyDescent="0.2">
      <c r="A70" s="92">
        <v>45604</v>
      </c>
      <c r="B70" s="93" t="s">
        <v>41</v>
      </c>
    </row>
    <row r="71" spans="1:2" ht="12.75" x14ac:dyDescent="0.2">
      <c r="A71" s="92">
        <v>45607</v>
      </c>
      <c r="B71" s="93" t="s">
        <v>33</v>
      </c>
    </row>
    <row r="72" spans="1:2" ht="12.75" x14ac:dyDescent="0.2">
      <c r="A72" s="92">
        <v>45608</v>
      </c>
      <c r="B72" s="93" t="s">
        <v>35</v>
      </c>
    </row>
    <row r="73" spans="1:2" ht="12.75" x14ac:dyDescent="0.2">
      <c r="A73" s="92">
        <v>45609</v>
      </c>
      <c r="B73" s="93" t="s">
        <v>37</v>
      </c>
    </row>
    <row r="74" spans="1:2" ht="12.75" x14ac:dyDescent="0.2">
      <c r="A74" s="92">
        <v>45610</v>
      </c>
      <c r="B74" s="93" t="s">
        <v>39</v>
      </c>
    </row>
    <row r="75" spans="1:2" ht="12.75" x14ac:dyDescent="0.2">
      <c r="A75" s="92">
        <v>45611</v>
      </c>
      <c r="B75" s="93" t="s">
        <v>41</v>
      </c>
    </row>
    <row r="76" spans="1:2" ht="12.75" x14ac:dyDescent="0.2">
      <c r="A76" s="92">
        <v>45614</v>
      </c>
      <c r="B76" s="93" t="s">
        <v>33</v>
      </c>
    </row>
    <row r="77" spans="1:2" ht="12.75" x14ac:dyDescent="0.2">
      <c r="A77" s="92">
        <v>45615</v>
      </c>
      <c r="B77" s="93" t="s">
        <v>35</v>
      </c>
    </row>
    <row r="78" spans="1:2" ht="12.75" x14ac:dyDescent="0.2">
      <c r="A78" s="92">
        <v>45616</v>
      </c>
      <c r="B78" s="93" t="s">
        <v>37</v>
      </c>
    </row>
    <row r="79" spans="1:2" ht="12.75" x14ac:dyDescent="0.2">
      <c r="A79" s="92">
        <v>45617</v>
      </c>
      <c r="B79" s="93" t="s">
        <v>39</v>
      </c>
    </row>
    <row r="80" spans="1:2" ht="12.75" x14ac:dyDescent="0.2">
      <c r="A80" s="92">
        <v>45618</v>
      </c>
      <c r="B80" s="93" t="s">
        <v>41</v>
      </c>
    </row>
    <row r="81" spans="1:2" ht="12.75" x14ac:dyDescent="0.2">
      <c r="A81" s="109">
        <v>45621</v>
      </c>
      <c r="B81" s="110" t="s">
        <v>33</v>
      </c>
    </row>
    <row r="82" spans="1:2" ht="12.75" x14ac:dyDescent="0.2">
      <c r="A82" s="109">
        <v>45622</v>
      </c>
      <c r="B82" s="110" t="s">
        <v>35</v>
      </c>
    </row>
    <row r="83" spans="1:2" ht="12.75" x14ac:dyDescent="0.2">
      <c r="A83" s="109">
        <v>45623</v>
      </c>
      <c r="B83" s="110" t="s">
        <v>37</v>
      </c>
    </row>
    <row r="84" spans="1:2" ht="12.75" x14ac:dyDescent="0.2">
      <c r="A84" s="109">
        <v>45624</v>
      </c>
      <c r="B84" s="110" t="s">
        <v>39</v>
      </c>
    </row>
    <row r="85" spans="1:2" ht="12.75" x14ac:dyDescent="0.2">
      <c r="A85" s="109">
        <v>45625</v>
      </c>
      <c r="B85" s="110" t="s">
        <v>41</v>
      </c>
    </row>
    <row r="86" spans="1:2" ht="12.75" x14ac:dyDescent="0.2">
      <c r="A86" s="92">
        <v>45628</v>
      </c>
      <c r="B86" s="93" t="s">
        <v>33</v>
      </c>
    </row>
    <row r="87" spans="1:2" ht="12.75" x14ac:dyDescent="0.2">
      <c r="A87" s="92">
        <v>45629</v>
      </c>
      <c r="B87" s="93" t="s">
        <v>35</v>
      </c>
    </row>
    <row r="88" spans="1:2" ht="12.75" x14ac:dyDescent="0.2">
      <c r="A88" s="92">
        <v>45630</v>
      </c>
      <c r="B88" s="93" t="s">
        <v>37</v>
      </c>
    </row>
    <row r="89" spans="1:2" ht="12.75" x14ac:dyDescent="0.2">
      <c r="A89" s="92">
        <v>45631</v>
      </c>
      <c r="B89" s="93" t="s">
        <v>39</v>
      </c>
    </row>
    <row r="90" spans="1:2" ht="12.75" x14ac:dyDescent="0.2">
      <c r="A90" s="92">
        <v>45632</v>
      </c>
      <c r="B90" s="93" t="s">
        <v>41</v>
      </c>
    </row>
    <row r="91" spans="1:2" ht="12.75" x14ac:dyDescent="0.2">
      <c r="A91" s="92">
        <v>45635</v>
      </c>
      <c r="B91" s="93" t="s">
        <v>33</v>
      </c>
    </row>
    <row r="92" spans="1:2" ht="12.75" x14ac:dyDescent="0.2">
      <c r="A92" s="92">
        <v>45636</v>
      </c>
      <c r="B92" s="93" t="s">
        <v>35</v>
      </c>
    </row>
    <row r="93" spans="1:2" ht="12.75" x14ac:dyDescent="0.2">
      <c r="A93" s="92">
        <v>45637</v>
      </c>
      <c r="B93" s="93" t="s">
        <v>37</v>
      </c>
    </row>
    <row r="94" spans="1:2" ht="12.75" x14ac:dyDescent="0.2">
      <c r="A94" s="92">
        <v>45638</v>
      </c>
      <c r="B94" s="93" t="s">
        <v>39</v>
      </c>
    </row>
    <row r="95" spans="1:2" ht="12.75" x14ac:dyDescent="0.2">
      <c r="A95" s="92">
        <v>45639</v>
      </c>
      <c r="B95" s="93" t="s">
        <v>41</v>
      </c>
    </row>
    <row r="96" spans="1:2" ht="12.75" x14ac:dyDescent="0.2">
      <c r="A96" s="92">
        <v>45642</v>
      </c>
      <c r="B96" s="93" t="s">
        <v>33</v>
      </c>
    </row>
    <row r="97" spans="1:2" ht="12.75" x14ac:dyDescent="0.2">
      <c r="A97" s="92">
        <v>45643</v>
      </c>
      <c r="B97" s="93" t="s">
        <v>35</v>
      </c>
    </row>
    <row r="98" spans="1:2" ht="12.75" x14ac:dyDescent="0.2">
      <c r="A98" s="92">
        <v>45644</v>
      </c>
      <c r="B98" s="93" t="s">
        <v>37</v>
      </c>
    </row>
    <row r="99" spans="1:2" ht="12.75" x14ac:dyDescent="0.2">
      <c r="A99" s="92">
        <v>45645</v>
      </c>
      <c r="B99" s="93" t="s">
        <v>39</v>
      </c>
    </row>
    <row r="100" spans="1:2" ht="12.75" x14ac:dyDescent="0.2">
      <c r="A100" s="92">
        <v>45646</v>
      </c>
      <c r="B100" s="93" t="s">
        <v>41</v>
      </c>
    </row>
    <row r="101" spans="1:2" ht="12.75" x14ac:dyDescent="0.2">
      <c r="A101" s="103">
        <v>45649</v>
      </c>
      <c r="B101" s="104" t="s">
        <v>33</v>
      </c>
    </row>
    <row r="102" spans="1:2" ht="12.75" x14ac:dyDescent="0.2">
      <c r="A102" s="103">
        <v>45650</v>
      </c>
      <c r="B102" s="104" t="s">
        <v>35</v>
      </c>
    </row>
    <row r="103" spans="1:2" ht="12.75" x14ac:dyDescent="0.2">
      <c r="A103" s="103">
        <v>45651</v>
      </c>
      <c r="B103" s="104" t="s">
        <v>37</v>
      </c>
    </row>
    <row r="104" spans="1:2" ht="12.75" x14ac:dyDescent="0.2">
      <c r="A104" s="103">
        <v>45652</v>
      </c>
      <c r="B104" s="104" t="s">
        <v>39</v>
      </c>
    </row>
    <row r="105" spans="1:2" ht="12.75" x14ac:dyDescent="0.2">
      <c r="A105" s="103">
        <v>45653</v>
      </c>
      <c r="B105" s="104" t="s">
        <v>41</v>
      </c>
    </row>
    <row r="106" spans="1:2" ht="12.75" x14ac:dyDescent="0.2">
      <c r="A106" s="103">
        <v>45656</v>
      </c>
      <c r="B106" s="104" t="s">
        <v>33</v>
      </c>
    </row>
    <row r="107" spans="1:2" ht="12.75" x14ac:dyDescent="0.2">
      <c r="A107" s="103">
        <v>45657</v>
      </c>
      <c r="B107" s="104" t="s">
        <v>35</v>
      </c>
    </row>
    <row r="108" spans="1:2" ht="12.75" x14ac:dyDescent="0.2">
      <c r="A108" s="103">
        <v>45658</v>
      </c>
      <c r="B108" s="104" t="s">
        <v>37</v>
      </c>
    </row>
    <row r="109" spans="1:2" ht="12.75" x14ac:dyDescent="0.2">
      <c r="A109" s="103">
        <v>45659</v>
      </c>
      <c r="B109" s="104" t="s">
        <v>39</v>
      </c>
    </row>
    <row r="110" spans="1:2" ht="12.75" x14ac:dyDescent="0.2">
      <c r="A110" s="103">
        <v>45660</v>
      </c>
      <c r="B110" s="104" t="s">
        <v>41</v>
      </c>
    </row>
    <row r="111" spans="1:2" ht="12.75" x14ac:dyDescent="0.2">
      <c r="A111" s="109">
        <v>45663</v>
      </c>
      <c r="B111" s="110" t="s">
        <v>33</v>
      </c>
    </row>
    <row r="112" spans="1:2" ht="12.75" x14ac:dyDescent="0.2">
      <c r="A112" s="109">
        <v>45664</v>
      </c>
      <c r="B112" s="110" t="s">
        <v>35</v>
      </c>
    </row>
    <row r="113" spans="1:2" ht="12.75" x14ac:dyDescent="0.2">
      <c r="A113" s="92">
        <v>45665</v>
      </c>
      <c r="B113" s="93" t="s">
        <v>37</v>
      </c>
    </row>
    <row r="114" spans="1:2" ht="12.75" x14ac:dyDescent="0.2">
      <c r="A114" s="92">
        <v>45666</v>
      </c>
      <c r="B114" s="93" t="s">
        <v>39</v>
      </c>
    </row>
    <row r="115" spans="1:2" ht="12.75" x14ac:dyDescent="0.2">
      <c r="A115" s="92">
        <v>45667</v>
      </c>
      <c r="B115" s="93" t="s">
        <v>41</v>
      </c>
    </row>
    <row r="116" spans="1:2" ht="12.75" x14ac:dyDescent="0.2">
      <c r="A116" s="92">
        <v>45670</v>
      </c>
      <c r="B116" s="93" t="s">
        <v>33</v>
      </c>
    </row>
    <row r="117" spans="1:2" ht="12.75" x14ac:dyDescent="0.2">
      <c r="A117" s="92">
        <v>45671</v>
      </c>
      <c r="B117" s="93" t="s">
        <v>35</v>
      </c>
    </row>
    <row r="118" spans="1:2" ht="12.75" x14ac:dyDescent="0.2">
      <c r="A118" s="92">
        <v>45672</v>
      </c>
      <c r="B118" s="93" t="s">
        <v>37</v>
      </c>
    </row>
    <row r="119" spans="1:2" ht="12.75" x14ac:dyDescent="0.2">
      <c r="A119" s="92">
        <v>45673</v>
      </c>
      <c r="B119" s="93" t="s">
        <v>39</v>
      </c>
    </row>
    <row r="120" spans="1:2" ht="12.75" x14ac:dyDescent="0.2">
      <c r="A120" s="92">
        <v>45674</v>
      </c>
      <c r="B120" s="93" t="s">
        <v>41</v>
      </c>
    </row>
    <row r="121" spans="1:2" ht="12.75" x14ac:dyDescent="0.2">
      <c r="A121" s="103">
        <v>45677</v>
      </c>
      <c r="B121" s="104" t="s">
        <v>33</v>
      </c>
    </row>
    <row r="122" spans="1:2" ht="12.75" x14ac:dyDescent="0.2">
      <c r="A122" s="92">
        <v>45678</v>
      </c>
      <c r="B122" s="93" t="s">
        <v>35</v>
      </c>
    </row>
    <row r="123" spans="1:2" ht="12.75" x14ac:dyDescent="0.2">
      <c r="A123" s="92">
        <v>45679</v>
      </c>
      <c r="B123" s="93" t="s">
        <v>37</v>
      </c>
    </row>
    <row r="124" spans="1:2" ht="12.75" x14ac:dyDescent="0.2">
      <c r="A124" s="92">
        <v>45680</v>
      </c>
      <c r="B124" s="93" t="s">
        <v>39</v>
      </c>
    </row>
    <row r="125" spans="1:2" ht="12.75" x14ac:dyDescent="0.2">
      <c r="A125" s="92">
        <v>45681</v>
      </c>
      <c r="B125" s="93" t="s">
        <v>41</v>
      </c>
    </row>
    <row r="126" spans="1:2" ht="12.75" x14ac:dyDescent="0.2">
      <c r="A126" s="92">
        <v>45684</v>
      </c>
      <c r="B126" s="93" t="s">
        <v>33</v>
      </c>
    </row>
    <row r="127" spans="1:2" ht="12.75" x14ac:dyDescent="0.2">
      <c r="A127" s="92">
        <v>45685</v>
      </c>
      <c r="B127" s="93" t="s">
        <v>35</v>
      </c>
    </row>
    <row r="128" spans="1:2" ht="12.75" x14ac:dyDescent="0.2">
      <c r="A128" s="92">
        <v>45686</v>
      </c>
      <c r="B128" s="93" t="s">
        <v>37</v>
      </c>
    </row>
    <row r="129" spans="1:2" ht="12.75" x14ac:dyDescent="0.2">
      <c r="A129" s="92">
        <v>45687</v>
      </c>
      <c r="B129" s="93" t="s">
        <v>39</v>
      </c>
    </row>
    <row r="130" spans="1:2" ht="12.75" x14ac:dyDescent="0.2">
      <c r="A130" s="92">
        <v>45688</v>
      </c>
      <c r="B130" s="93" t="s">
        <v>41</v>
      </c>
    </row>
    <row r="131" spans="1:2" ht="12.75" x14ac:dyDescent="0.2">
      <c r="A131" s="92">
        <v>45691</v>
      </c>
      <c r="B131" s="93" t="s">
        <v>33</v>
      </c>
    </row>
    <row r="132" spans="1:2" ht="12.75" x14ac:dyDescent="0.2">
      <c r="A132" s="92">
        <v>45692</v>
      </c>
      <c r="B132" s="93" t="s">
        <v>35</v>
      </c>
    </row>
    <row r="133" spans="1:2" ht="12.75" x14ac:dyDescent="0.2">
      <c r="A133" s="92">
        <v>45693</v>
      </c>
      <c r="B133" s="93" t="s">
        <v>37</v>
      </c>
    </row>
    <row r="134" spans="1:2" ht="12.75" x14ac:dyDescent="0.2">
      <c r="A134" s="92">
        <v>45694</v>
      </c>
      <c r="B134" s="93" t="s">
        <v>39</v>
      </c>
    </row>
    <row r="135" spans="1:2" ht="12.75" x14ac:dyDescent="0.2">
      <c r="A135" s="92">
        <v>45695</v>
      </c>
      <c r="B135" s="93" t="s">
        <v>41</v>
      </c>
    </row>
    <row r="136" spans="1:2" ht="12.75" x14ac:dyDescent="0.2">
      <c r="A136" s="109">
        <v>45698</v>
      </c>
      <c r="B136" s="110" t="s">
        <v>33</v>
      </c>
    </row>
    <row r="137" spans="1:2" ht="12.75" x14ac:dyDescent="0.2">
      <c r="A137" s="109">
        <v>45699</v>
      </c>
      <c r="B137" s="110" t="s">
        <v>35</v>
      </c>
    </row>
    <row r="138" spans="1:2" ht="12.75" x14ac:dyDescent="0.2">
      <c r="A138" s="92">
        <v>45700</v>
      </c>
      <c r="B138" s="93" t="s">
        <v>37</v>
      </c>
    </row>
    <row r="139" spans="1:2" ht="12.75" x14ac:dyDescent="0.2">
      <c r="A139" s="92">
        <v>45701</v>
      </c>
      <c r="B139" s="93" t="s">
        <v>39</v>
      </c>
    </row>
    <row r="140" spans="1:2" ht="12.75" x14ac:dyDescent="0.2">
      <c r="A140" s="92">
        <v>45702</v>
      </c>
      <c r="B140" s="93" t="s">
        <v>41</v>
      </c>
    </row>
    <row r="141" spans="1:2" ht="12.75" x14ac:dyDescent="0.2">
      <c r="A141" s="117">
        <v>45705</v>
      </c>
      <c r="B141" s="118" t="s">
        <v>33</v>
      </c>
    </row>
    <row r="142" spans="1:2" ht="12.75" x14ac:dyDescent="0.2">
      <c r="A142" s="92">
        <v>45706</v>
      </c>
      <c r="B142" s="93" t="s">
        <v>35</v>
      </c>
    </row>
    <row r="143" spans="1:2" ht="12.75" x14ac:dyDescent="0.2">
      <c r="A143" s="92">
        <v>45707</v>
      </c>
      <c r="B143" s="93" t="s">
        <v>37</v>
      </c>
    </row>
    <row r="144" spans="1:2" ht="12.75" x14ac:dyDescent="0.2">
      <c r="A144" s="92">
        <v>45708</v>
      </c>
      <c r="B144" s="93" t="s">
        <v>39</v>
      </c>
    </row>
    <row r="145" spans="1:2" ht="12.75" x14ac:dyDescent="0.2">
      <c r="A145" s="92">
        <v>45709</v>
      </c>
      <c r="B145" s="93" t="s">
        <v>41</v>
      </c>
    </row>
    <row r="146" spans="1:2" ht="12.75" x14ac:dyDescent="0.2">
      <c r="A146" s="92">
        <v>45712</v>
      </c>
      <c r="B146" s="93" t="s">
        <v>33</v>
      </c>
    </row>
    <row r="147" spans="1:2" ht="12.75" x14ac:dyDescent="0.2">
      <c r="A147" s="92">
        <v>45713</v>
      </c>
      <c r="B147" s="93" t="s">
        <v>35</v>
      </c>
    </row>
    <row r="148" spans="1:2" ht="12.75" x14ac:dyDescent="0.2">
      <c r="A148" s="92">
        <v>45714</v>
      </c>
      <c r="B148" s="93" t="s">
        <v>37</v>
      </c>
    </row>
    <row r="149" spans="1:2" ht="12.75" x14ac:dyDescent="0.2">
      <c r="A149" s="92">
        <v>45715</v>
      </c>
      <c r="B149" s="93" t="s">
        <v>39</v>
      </c>
    </row>
    <row r="150" spans="1:2" ht="12.75" x14ac:dyDescent="0.2">
      <c r="A150" s="92">
        <v>45716</v>
      </c>
      <c r="B150" s="93" t="s">
        <v>41</v>
      </c>
    </row>
    <row r="151" spans="1:2" ht="12.75" x14ac:dyDescent="0.2">
      <c r="A151" s="92">
        <v>45719</v>
      </c>
      <c r="B151" s="93" t="s">
        <v>33</v>
      </c>
    </row>
    <row r="152" spans="1:2" ht="12.75" x14ac:dyDescent="0.2">
      <c r="A152" s="92">
        <v>45720</v>
      </c>
      <c r="B152" s="93" t="s">
        <v>35</v>
      </c>
    </row>
    <row r="153" spans="1:2" ht="12.75" x14ac:dyDescent="0.2">
      <c r="A153" s="92">
        <v>45721</v>
      </c>
      <c r="B153" s="93" t="s">
        <v>37</v>
      </c>
    </row>
    <row r="154" spans="1:2" ht="12.75" x14ac:dyDescent="0.2">
      <c r="A154" s="92">
        <v>45722</v>
      </c>
      <c r="B154" s="93" t="s">
        <v>39</v>
      </c>
    </row>
    <row r="155" spans="1:2" ht="12.75" x14ac:dyDescent="0.2">
      <c r="A155" s="92">
        <v>45723</v>
      </c>
      <c r="B155" s="93" t="s">
        <v>41</v>
      </c>
    </row>
    <row r="156" spans="1:2" ht="12.75" x14ac:dyDescent="0.2">
      <c r="A156" s="123">
        <v>45726</v>
      </c>
      <c r="B156" s="124" t="s">
        <v>33</v>
      </c>
    </row>
    <row r="157" spans="1:2" ht="12.75" x14ac:dyDescent="0.2">
      <c r="A157" s="123">
        <v>45727</v>
      </c>
      <c r="B157" s="124" t="s">
        <v>35</v>
      </c>
    </row>
    <row r="158" spans="1:2" ht="12.75" x14ac:dyDescent="0.2">
      <c r="A158" s="123">
        <v>45728</v>
      </c>
      <c r="B158" s="124" t="s">
        <v>37</v>
      </c>
    </row>
    <row r="159" spans="1:2" ht="12.75" x14ac:dyDescent="0.2">
      <c r="A159" s="123">
        <v>45729</v>
      </c>
      <c r="B159" s="124" t="s">
        <v>39</v>
      </c>
    </row>
    <row r="160" spans="1:2" ht="12.75" x14ac:dyDescent="0.2">
      <c r="A160" s="123">
        <v>45730</v>
      </c>
      <c r="B160" s="124" t="s">
        <v>41</v>
      </c>
    </row>
    <row r="161" spans="1:2" ht="12.75" x14ac:dyDescent="0.2">
      <c r="A161" s="103">
        <v>45733</v>
      </c>
      <c r="B161" s="104" t="s">
        <v>33</v>
      </c>
    </row>
    <row r="162" spans="1:2" ht="12.75" x14ac:dyDescent="0.2">
      <c r="A162" s="103">
        <v>45734</v>
      </c>
      <c r="B162" s="104" t="s">
        <v>35</v>
      </c>
    </row>
    <row r="163" spans="1:2" ht="12.75" x14ac:dyDescent="0.2">
      <c r="A163" s="103">
        <v>45735</v>
      </c>
      <c r="B163" s="104" t="s">
        <v>37</v>
      </c>
    </row>
    <row r="164" spans="1:2" ht="12.75" x14ac:dyDescent="0.2">
      <c r="A164" s="103">
        <v>45736</v>
      </c>
      <c r="B164" s="104" t="s">
        <v>39</v>
      </c>
    </row>
    <row r="165" spans="1:2" ht="12.75" x14ac:dyDescent="0.2">
      <c r="A165" s="103">
        <v>45737</v>
      </c>
      <c r="B165" s="104" t="s">
        <v>41</v>
      </c>
    </row>
    <row r="166" spans="1:2" ht="12.75" x14ac:dyDescent="0.2">
      <c r="A166" s="92">
        <v>45740</v>
      </c>
      <c r="B166" s="93" t="s">
        <v>33</v>
      </c>
    </row>
    <row r="167" spans="1:2" ht="12.75" x14ac:dyDescent="0.2">
      <c r="A167" s="92">
        <v>45741</v>
      </c>
      <c r="B167" s="93" t="s">
        <v>35</v>
      </c>
    </row>
    <row r="168" spans="1:2" ht="12.75" x14ac:dyDescent="0.2">
      <c r="A168" s="92">
        <v>45742</v>
      </c>
      <c r="B168" s="93" t="s">
        <v>37</v>
      </c>
    </row>
    <row r="169" spans="1:2" ht="12.75" x14ac:dyDescent="0.2">
      <c r="A169" s="92">
        <v>45743</v>
      </c>
      <c r="B169" s="93" t="s">
        <v>39</v>
      </c>
    </row>
    <row r="170" spans="1:2" ht="12.75" x14ac:dyDescent="0.2">
      <c r="A170" s="92">
        <v>45744</v>
      </c>
      <c r="B170" s="93" t="s">
        <v>41</v>
      </c>
    </row>
    <row r="171" spans="1:2" ht="12.75" x14ac:dyDescent="0.2">
      <c r="A171" s="92">
        <v>45747</v>
      </c>
      <c r="B171" s="93" t="s">
        <v>33</v>
      </c>
    </row>
    <row r="172" spans="1:2" ht="12.75" x14ac:dyDescent="0.2">
      <c r="A172" s="92">
        <v>45748</v>
      </c>
      <c r="B172" s="93" t="s">
        <v>35</v>
      </c>
    </row>
    <row r="173" spans="1:2" ht="12.75" x14ac:dyDescent="0.2">
      <c r="A173" s="92">
        <v>45749</v>
      </c>
      <c r="B173" s="93" t="s">
        <v>37</v>
      </c>
    </row>
    <row r="174" spans="1:2" ht="12.75" x14ac:dyDescent="0.2">
      <c r="A174" s="92">
        <v>45750</v>
      </c>
      <c r="B174" s="93" t="s">
        <v>39</v>
      </c>
    </row>
    <row r="175" spans="1:2" ht="12.75" x14ac:dyDescent="0.2">
      <c r="A175" s="92">
        <v>45751</v>
      </c>
      <c r="B175" s="93" t="s">
        <v>41</v>
      </c>
    </row>
    <row r="176" spans="1:2" ht="12.75" x14ac:dyDescent="0.2">
      <c r="A176" s="92">
        <v>45754</v>
      </c>
      <c r="B176" s="93" t="s">
        <v>33</v>
      </c>
    </row>
    <row r="177" spans="1:2" ht="12.75" x14ac:dyDescent="0.2">
      <c r="A177" s="92">
        <v>45755</v>
      </c>
      <c r="B177" s="93" t="s">
        <v>35</v>
      </c>
    </row>
    <row r="178" spans="1:2" ht="12.75" x14ac:dyDescent="0.2">
      <c r="A178" s="92">
        <v>45756</v>
      </c>
      <c r="B178" s="93" t="s">
        <v>37</v>
      </c>
    </row>
    <row r="179" spans="1:2" ht="12.75" x14ac:dyDescent="0.2">
      <c r="A179" s="92">
        <v>45757</v>
      </c>
      <c r="B179" s="93" t="s">
        <v>39</v>
      </c>
    </row>
    <row r="180" spans="1:2" ht="12.75" x14ac:dyDescent="0.2">
      <c r="A180" s="92">
        <v>45758</v>
      </c>
      <c r="B180" s="93" t="s">
        <v>41</v>
      </c>
    </row>
    <row r="181" spans="1:2" ht="12.75" x14ac:dyDescent="0.2">
      <c r="A181" s="92">
        <v>45761</v>
      </c>
      <c r="B181" s="93" t="s">
        <v>33</v>
      </c>
    </row>
    <row r="182" spans="1:2" ht="12.75" x14ac:dyDescent="0.2">
      <c r="A182" s="92">
        <v>45762</v>
      </c>
      <c r="B182" s="93" t="s">
        <v>35</v>
      </c>
    </row>
    <row r="183" spans="1:2" ht="12.75" x14ac:dyDescent="0.2">
      <c r="A183" s="92">
        <v>45763</v>
      </c>
      <c r="B183" s="93" t="s">
        <v>37</v>
      </c>
    </row>
    <row r="184" spans="1:2" ht="12.75" x14ac:dyDescent="0.2">
      <c r="A184" s="92">
        <v>45764</v>
      </c>
      <c r="B184" s="93" t="s">
        <v>39</v>
      </c>
    </row>
    <row r="185" spans="1:2" ht="12.75" x14ac:dyDescent="0.2">
      <c r="A185" s="103">
        <v>45765</v>
      </c>
      <c r="B185" s="104" t="s">
        <v>41</v>
      </c>
    </row>
    <row r="186" spans="1:2" ht="12.75" x14ac:dyDescent="0.2">
      <c r="A186" s="103">
        <v>45768</v>
      </c>
      <c r="B186" s="104" t="s">
        <v>33</v>
      </c>
    </row>
    <row r="187" spans="1:2" ht="12.75" x14ac:dyDescent="0.2">
      <c r="A187" s="92">
        <v>45769</v>
      </c>
      <c r="B187" s="93" t="s">
        <v>35</v>
      </c>
    </row>
    <row r="188" spans="1:2" ht="12.75" x14ac:dyDescent="0.2">
      <c r="A188" s="92">
        <v>45770</v>
      </c>
      <c r="B188" s="93" t="s">
        <v>37</v>
      </c>
    </row>
    <row r="189" spans="1:2" ht="12.75" x14ac:dyDescent="0.2">
      <c r="A189" s="92">
        <v>45771</v>
      </c>
      <c r="B189" s="93" t="s">
        <v>39</v>
      </c>
    </row>
    <row r="190" spans="1:2" ht="12.75" x14ac:dyDescent="0.2">
      <c r="A190" s="92">
        <v>45772</v>
      </c>
      <c r="B190" s="93" t="s">
        <v>41</v>
      </c>
    </row>
    <row r="191" spans="1:2" ht="12.75" x14ac:dyDescent="0.2">
      <c r="A191" s="92">
        <v>45775</v>
      </c>
      <c r="B191" s="93" t="s">
        <v>33</v>
      </c>
    </row>
    <row r="192" spans="1:2" ht="12.75" x14ac:dyDescent="0.2">
      <c r="A192" s="92">
        <v>45776</v>
      </c>
      <c r="B192" s="93" t="s">
        <v>35</v>
      </c>
    </row>
    <row r="193" spans="1:2" ht="12.75" x14ac:dyDescent="0.2">
      <c r="A193" s="92">
        <v>45777</v>
      </c>
      <c r="B193" s="93" t="s">
        <v>37</v>
      </c>
    </row>
    <row r="194" spans="1:2" ht="12.75" x14ac:dyDescent="0.2">
      <c r="A194" s="92">
        <v>45778</v>
      </c>
      <c r="B194" s="93" t="s">
        <v>39</v>
      </c>
    </row>
    <row r="195" spans="1:2" ht="12.75" x14ac:dyDescent="0.2">
      <c r="A195" s="92">
        <v>45779</v>
      </c>
      <c r="B195" s="93" t="s">
        <v>41</v>
      </c>
    </row>
    <row r="196" spans="1:2" ht="12.75" x14ac:dyDescent="0.2">
      <c r="A196" s="92">
        <v>45782</v>
      </c>
      <c r="B196" s="93" t="s">
        <v>33</v>
      </c>
    </row>
    <row r="197" spans="1:2" ht="12.75" x14ac:dyDescent="0.2">
      <c r="A197" s="92">
        <v>45783</v>
      </c>
      <c r="B197" s="93" t="s">
        <v>35</v>
      </c>
    </row>
    <row r="198" spans="1:2" ht="12.75" x14ac:dyDescent="0.2">
      <c r="A198" s="92">
        <v>45784</v>
      </c>
      <c r="B198" s="93" t="s">
        <v>37</v>
      </c>
    </row>
    <row r="199" spans="1:2" ht="12.75" x14ac:dyDescent="0.2">
      <c r="A199" s="92">
        <v>45785</v>
      </c>
      <c r="B199" s="93" t="s">
        <v>39</v>
      </c>
    </row>
    <row r="200" spans="1:2" ht="12.75" x14ac:dyDescent="0.2">
      <c r="A200" s="92">
        <v>45786</v>
      </c>
      <c r="B200" s="93" t="s">
        <v>41</v>
      </c>
    </row>
    <row r="201" spans="1:2" ht="12.75" x14ac:dyDescent="0.2">
      <c r="A201" s="92">
        <v>45789</v>
      </c>
      <c r="B201" s="93" t="s">
        <v>33</v>
      </c>
    </row>
    <row r="202" spans="1:2" ht="12.75" x14ac:dyDescent="0.2">
      <c r="A202" s="92">
        <v>45790</v>
      </c>
      <c r="B202" s="93" t="s">
        <v>35</v>
      </c>
    </row>
    <row r="203" spans="1:2" ht="12.75" x14ac:dyDescent="0.2">
      <c r="A203" s="92">
        <v>45791</v>
      </c>
      <c r="B203" s="93" t="s">
        <v>37</v>
      </c>
    </row>
    <row r="204" spans="1:2" ht="12.75" x14ac:dyDescent="0.2">
      <c r="A204" s="92">
        <v>45792</v>
      </c>
      <c r="B204" s="93" t="s">
        <v>39</v>
      </c>
    </row>
    <row r="205" spans="1:2" ht="12.75" x14ac:dyDescent="0.2">
      <c r="A205" s="92">
        <v>45793</v>
      </c>
      <c r="B205" s="93" t="s">
        <v>41</v>
      </c>
    </row>
    <row r="206" spans="1:2" ht="12.75" x14ac:dyDescent="0.2">
      <c r="A206" s="92">
        <v>45796</v>
      </c>
      <c r="B206" s="93" t="s">
        <v>33</v>
      </c>
    </row>
    <row r="207" spans="1:2" ht="12.75" x14ac:dyDescent="0.2">
      <c r="A207" s="92">
        <v>45797</v>
      </c>
      <c r="B207" s="93" t="s">
        <v>35</v>
      </c>
    </row>
    <row r="208" spans="1:2" ht="12.75" x14ac:dyDescent="0.2">
      <c r="A208" s="92">
        <v>45798</v>
      </c>
      <c r="B208" s="93" t="s">
        <v>37</v>
      </c>
    </row>
    <row r="209" spans="1:2" ht="12.75" x14ac:dyDescent="0.2">
      <c r="A209" s="92">
        <v>45799</v>
      </c>
      <c r="B209" s="93" t="s">
        <v>39</v>
      </c>
    </row>
    <row r="210" spans="1:2" ht="12.75" x14ac:dyDescent="0.2">
      <c r="A210" s="92">
        <v>45800</v>
      </c>
      <c r="B210" s="93" t="s">
        <v>41</v>
      </c>
    </row>
    <row r="211" spans="1:2" ht="12.75" x14ac:dyDescent="0.2">
      <c r="A211" s="103">
        <v>45803</v>
      </c>
      <c r="B211" s="104" t="s">
        <v>33</v>
      </c>
    </row>
    <row r="212" spans="1:2" ht="12.75" x14ac:dyDescent="0.2">
      <c r="A212" s="92">
        <v>45804</v>
      </c>
      <c r="B212" s="93" t="s">
        <v>35</v>
      </c>
    </row>
    <row r="213" spans="1:2" ht="12.75" x14ac:dyDescent="0.2">
      <c r="A213" s="92">
        <v>45805</v>
      </c>
      <c r="B213" s="93" t="s">
        <v>37</v>
      </c>
    </row>
    <row r="214" spans="1:2" ht="12.75" x14ac:dyDescent="0.2">
      <c r="A214" s="92">
        <v>45806</v>
      </c>
      <c r="B214" s="125" t="s">
        <v>39</v>
      </c>
    </row>
    <row r="215" spans="1:2" ht="12.75" x14ac:dyDescent="0.2">
      <c r="A215" s="95"/>
      <c r="B215" s="95"/>
    </row>
    <row r="216" spans="1:2" ht="12.75" x14ac:dyDescent="0.2">
      <c r="A216" s="95"/>
      <c r="B216" s="95"/>
    </row>
    <row r="217" spans="1:2" ht="12.75" x14ac:dyDescent="0.2">
      <c r="A217" s="95"/>
      <c r="B217" s="95"/>
    </row>
    <row r="218" spans="1:2" ht="12.75" x14ac:dyDescent="0.2">
      <c r="A218" s="95"/>
      <c r="B218" s="95"/>
    </row>
    <row r="219" spans="1:2" ht="12.75" x14ac:dyDescent="0.2">
      <c r="A219" s="95"/>
      <c r="B219" s="95"/>
    </row>
    <row r="220" spans="1:2" ht="12.75" x14ac:dyDescent="0.2">
      <c r="A220" s="95"/>
      <c r="B220" s="95"/>
    </row>
    <row r="221" spans="1:2" ht="12.75" x14ac:dyDescent="0.2">
      <c r="A221" s="95"/>
      <c r="B221" s="95"/>
    </row>
    <row r="222" spans="1:2" ht="12.75" x14ac:dyDescent="0.2">
      <c r="A222" s="95"/>
      <c r="B222" s="95"/>
    </row>
    <row r="223" spans="1:2" ht="12.75" x14ac:dyDescent="0.2">
      <c r="A223" s="95"/>
      <c r="B223" s="95"/>
    </row>
    <row r="224" spans="1:2" ht="12.75" x14ac:dyDescent="0.2">
      <c r="A224" s="95"/>
      <c r="B224" s="95"/>
    </row>
    <row r="225" spans="1:2" ht="12.75" x14ac:dyDescent="0.2">
      <c r="A225" s="95"/>
      <c r="B225" s="95"/>
    </row>
    <row r="226" spans="1:2" ht="12.75" x14ac:dyDescent="0.2">
      <c r="A226" s="95"/>
      <c r="B226" s="95"/>
    </row>
    <row r="227" spans="1:2" ht="12.75" x14ac:dyDescent="0.2">
      <c r="A227" s="95"/>
      <c r="B227" s="95"/>
    </row>
    <row r="228" spans="1:2" ht="12.75" x14ac:dyDescent="0.2">
      <c r="A228" s="95"/>
      <c r="B228" s="95"/>
    </row>
    <row r="229" spans="1:2" ht="12.75" x14ac:dyDescent="0.2">
      <c r="A229" s="95"/>
      <c r="B229" s="95"/>
    </row>
    <row r="230" spans="1:2" ht="12.75" x14ac:dyDescent="0.2">
      <c r="A230" s="95"/>
      <c r="B230" s="95"/>
    </row>
    <row r="231" spans="1:2" ht="12.75" x14ac:dyDescent="0.2">
      <c r="A231" s="95"/>
      <c r="B231" s="95"/>
    </row>
    <row r="232" spans="1:2" ht="12.75" x14ac:dyDescent="0.2">
      <c r="A232" s="95"/>
      <c r="B232" s="95"/>
    </row>
    <row r="233" spans="1:2" ht="12.75" x14ac:dyDescent="0.2">
      <c r="A233" s="95"/>
      <c r="B233" s="95"/>
    </row>
    <row r="234" spans="1:2" ht="12.75" x14ac:dyDescent="0.2">
      <c r="A234" s="95"/>
      <c r="B234" s="95"/>
    </row>
    <row r="235" spans="1:2" ht="12.75" x14ac:dyDescent="0.2">
      <c r="A235" s="95"/>
      <c r="B235" s="95"/>
    </row>
    <row r="236" spans="1:2" ht="12.75" x14ac:dyDescent="0.2">
      <c r="A236" s="95"/>
      <c r="B236" s="95"/>
    </row>
    <row r="237" spans="1:2" ht="12.75" x14ac:dyDescent="0.2">
      <c r="A237" s="95"/>
      <c r="B237" s="95"/>
    </row>
    <row r="238" spans="1:2" ht="12.75" x14ac:dyDescent="0.2">
      <c r="A238" s="95"/>
      <c r="B238" s="95"/>
    </row>
    <row r="239" spans="1:2" ht="12.75" x14ac:dyDescent="0.2">
      <c r="A239" s="95"/>
      <c r="B239" s="95"/>
    </row>
    <row r="240" spans="1:2" ht="12.75" x14ac:dyDescent="0.2">
      <c r="A240" s="95"/>
      <c r="B240" s="95"/>
    </row>
    <row r="241" spans="1:2" ht="12.75" x14ac:dyDescent="0.2">
      <c r="A241" s="95"/>
      <c r="B241" s="95"/>
    </row>
    <row r="242" spans="1:2" ht="12.75" x14ac:dyDescent="0.2">
      <c r="A242" s="95"/>
      <c r="B242" s="95"/>
    </row>
    <row r="243" spans="1:2" ht="12.75" x14ac:dyDescent="0.2">
      <c r="A243" s="95"/>
      <c r="B243" s="95"/>
    </row>
    <row r="244" spans="1:2" ht="12.75" x14ac:dyDescent="0.2">
      <c r="A244" s="95"/>
      <c r="B244" s="95"/>
    </row>
    <row r="245" spans="1:2" ht="12.75" x14ac:dyDescent="0.2">
      <c r="A245" s="95"/>
      <c r="B245" s="95"/>
    </row>
    <row r="246" spans="1:2" ht="12.75" x14ac:dyDescent="0.2">
      <c r="A246" s="95"/>
      <c r="B246" s="95"/>
    </row>
    <row r="247" spans="1:2" ht="12.75" x14ac:dyDescent="0.2">
      <c r="A247" s="95"/>
      <c r="B247" s="95"/>
    </row>
    <row r="248" spans="1:2" ht="12.75" x14ac:dyDescent="0.2">
      <c r="A248" s="95"/>
      <c r="B248" s="95"/>
    </row>
    <row r="249" spans="1:2" ht="12.75" x14ac:dyDescent="0.2">
      <c r="A249" s="95"/>
      <c r="B249" s="95"/>
    </row>
    <row r="250" spans="1:2" ht="12.75" x14ac:dyDescent="0.2">
      <c r="A250" s="95"/>
      <c r="B250" s="95"/>
    </row>
    <row r="251" spans="1:2" ht="12.75" x14ac:dyDescent="0.2">
      <c r="A251" s="95"/>
      <c r="B251" s="95"/>
    </row>
    <row r="252" spans="1:2" ht="12.75" x14ac:dyDescent="0.2">
      <c r="A252" s="95"/>
      <c r="B252" s="95"/>
    </row>
    <row r="253" spans="1:2" ht="12.75" x14ac:dyDescent="0.2">
      <c r="A253" s="95"/>
      <c r="B253" s="95"/>
    </row>
    <row r="254" spans="1:2" ht="12.75" x14ac:dyDescent="0.2">
      <c r="A254" s="95"/>
      <c r="B254" s="95"/>
    </row>
    <row r="255" spans="1:2" ht="12.75" x14ac:dyDescent="0.2">
      <c r="A255" s="95"/>
      <c r="B255" s="95"/>
    </row>
    <row r="256" spans="1:2" ht="12.75" x14ac:dyDescent="0.2">
      <c r="A256" s="95"/>
      <c r="B256" s="95"/>
    </row>
    <row r="257" spans="1:2" ht="12.75" x14ac:dyDescent="0.2">
      <c r="A257" s="95"/>
      <c r="B257" s="95"/>
    </row>
    <row r="258" spans="1:2" ht="12.75" x14ac:dyDescent="0.2">
      <c r="A258" s="95"/>
      <c r="B258" s="95"/>
    </row>
    <row r="259" spans="1:2" ht="12.75" x14ac:dyDescent="0.2">
      <c r="A259" s="95"/>
      <c r="B259" s="95"/>
    </row>
    <row r="260" spans="1:2" ht="12.75" x14ac:dyDescent="0.2">
      <c r="A260" s="95"/>
      <c r="B260" s="95"/>
    </row>
    <row r="261" spans="1:2" ht="12.75" x14ac:dyDescent="0.2">
      <c r="A261" s="95"/>
      <c r="B261" s="95"/>
    </row>
    <row r="262" spans="1:2" ht="12.75" x14ac:dyDescent="0.2">
      <c r="A262" s="95"/>
      <c r="B262" s="95"/>
    </row>
    <row r="263" spans="1:2" ht="12.75" x14ac:dyDescent="0.2">
      <c r="A263" s="95"/>
      <c r="B263" s="95"/>
    </row>
    <row r="264" spans="1:2" ht="12.75" x14ac:dyDescent="0.2">
      <c r="A264" s="95"/>
      <c r="B264" s="95"/>
    </row>
    <row r="265" spans="1:2" ht="12.75" x14ac:dyDescent="0.2">
      <c r="A265" s="95"/>
      <c r="B265" s="95"/>
    </row>
    <row r="266" spans="1:2" ht="12.75" x14ac:dyDescent="0.2">
      <c r="A266" s="95"/>
      <c r="B266" s="95"/>
    </row>
    <row r="267" spans="1:2" ht="12.75" x14ac:dyDescent="0.2">
      <c r="A267" s="95"/>
      <c r="B267" s="95"/>
    </row>
    <row r="268" spans="1:2" ht="12.75" x14ac:dyDescent="0.2">
      <c r="A268" s="95"/>
      <c r="B268" s="95"/>
    </row>
    <row r="269" spans="1:2" ht="12.75" x14ac:dyDescent="0.2">
      <c r="A269" s="95"/>
      <c r="B269" s="95"/>
    </row>
    <row r="270" spans="1:2" ht="12.75" x14ac:dyDescent="0.2">
      <c r="A270" s="95"/>
      <c r="B270" s="95"/>
    </row>
    <row r="271" spans="1:2" ht="12.75" x14ac:dyDescent="0.2">
      <c r="A271" s="95"/>
      <c r="B271" s="95"/>
    </row>
    <row r="272" spans="1:2" ht="12.75" x14ac:dyDescent="0.2">
      <c r="A272" s="95"/>
      <c r="B272" s="95"/>
    </row>
    <row r="273" spans="1:2" ht="12.75" x14ac:dyDescent="0.2">
      <c r="A273" s="95"/>
      <c r="B273" s="95"/>
    </row>
    <row r="274" spans="1:2" ht="12.75" x14ac:dyDescent="0.2">
      <c r="A274" s="95"/>
      <c r="B274" s="95"/>
    </row>
    <row r="275" spans="1:2" ht="12.75" x14ac:dyDescent="0.2">
      <c r="A275" s="95"/>
      <c r="B275" s="95"/>
    </row>
    <row r="276" spans="1:2" ht="12.75" x14ac:dyDescent="0.2">
      <c r="A276" s="95"/>
      <c r="B276" s="95"/>
    </row>
    <row r="277" spans="1:2" ht="12.75" x14ac:dyDescent="0.2">
      <c r="A277" s="95"/>
      <c r="B277" s="95"/>
    </row>
    <row r="278" spans="1:2" ht="12.75" x14ac:dyDescent="0.2">
      <c r="A278" s="95"/>
      <c r="B278" s="95"/>
    </row>
    <row r="279" spans="1:2" ht="12.75" x14ac:dyDescent="0.2">
      <c r="A279" s="95"/>
      <c r="B279" s="95"/>
    </row>
    <row r="280" spans="1:2" ht="12.75" x14ac:dyDescent="0.2">
      <c r="A280" s="95"/>
      <c r="B280" s="95"/>
    </row>
    <row r="281" spans="1:2" ht="12.75" x14ac:dyDescent="0.2">
      <c r="A281" s="95"/>
      <c r="B281" s="95"/>
    </row>
    <row r="282" spans="1:2" ht="12.75" x14ac:dyDescent="0.2">
      <c r="A282" s="95"/>
      <c r="B282" s="95"/>
    </row>
    <row r="283" spans="1:2" ht="12.75" x14ac:dyDescent="0.2">
      <c r="A283" s="95"/>
      <c r="B283" s="95"/>
    </row>
    <row r="284" spans="1:2" ht="12.75" x14ac:dyDescent="0.2">
      <c r="A284" s="95"/>
      <c r="B284" s="95"/>
    </row>
    <row r="285" spans="1:2" ht="12.75" x14ac:dyDescent="0.2">
      <c r="A285" s="95"/>
      <c r="B285" s="95"/>
    </row>
    <row r="286" spans="1:2" ht="12.75" x14ac:dyDescent="0.2">
      <c r="A286" s="95"/>
      <c r="B286" s="95"/>
    </row>
    <row r="287" spans="1:2" ht="12.75" x14ac:dyDescent="0.2">
      <c r="A287" s="95"/>
      <c r="B287" s="95"/>
    </row>
    <row r="288" spans="1:2" ht="12.75" x14ac:dyDescent="0.2">
      <c r="A288" s="95"/>
      <c r="B288" s="95"/>
    </row>
    <row r="289" spans="1:2" ht="12.75" x14ac:dyDescent="0.2">
      <c r="A289" s="95"/>
      <c r="B289" s="95"/>
    </row>
    <row r="290" spans="1:2" ht="12.75" x14ac:dyDescent="0.2">
      <c r="A290" s="95"/>
      <c r="B290" s="95"/>
    </row>
    <row r="291" spans="1:2" ht="12.75" x14ac:dyDescent="0.2">
      <c r="A291" s="95"/>
      <c r="B291" s="95"/>
    </row>
    <row r="292" spans="1:2" ht="12.75" x14ac:dyDescent="0.2">
      <c r="A292" s="95"/>
      <c r="B292" s="95"/>
    </row>
    <row r="293" spans="1:2" ht="12.75" x14ac:dyDescent="0.2">
      <c r="A293" s="95"/>
      <c r="B293" s="95"/>
    </row>
    <row r="294" spans="1:2" ht="12.75" x14ac:dyDescent="0.2">
      <c r="A294" s="95"/>
      <c r="B294" s="95"/>
    </row>
    <row r="295" spans="1:2" ht="12.75" x14ac:dyDescent="0.2">
      <c r="A295" s="95"/>
      <c r="B295" s="95"/>
    </row>
    <row r="296" spans="1:2" ht="12.75" x14ac:dyDescent="0.2">
      <c r="A296" s="95"/>
      <c r="B296" s="95"/>
    </row>
    <row r="297" spans="1:2" ht="12.75" x14ac:dyDescent="0.2">
      <c r="A297" s="95"/>
      <c r="B297" s="95"/>
    </row>
    <row r="298" spans="1:2" ht="12.75" x14ac:dyDescent="0.2">
      <c r="A298" s="95"/>
      <c r="B298" s="95"/>
    </row>
    <row r="299" spans="1:2" ht="12.75" x14ac:dyDescent="0.2">
      <c r="A299" s="95"/>
      <c r="B299" s="95"/>
    </row>
    <row r="300" spans="1:2" ht="12.75" x14ac:dyDescent="0.2">
      <c r="A300" s="95"/>
      <c r="B300" s="95"/>
    </row>
    <row r="301" spans="1:2" ht="12.75" x14ac:dyDescent="0.2">
      <c r="A301" s="95"/>
      <c r="B301" s="95"/>
    </row>
    <row r="302" spans="1:2" ht="12.75" x14ac:dyDescent="0.2">
      <c r="A302" s="95"/>
      <c r="B302" s="95"/>
    </row>
    <row r="303" spans="1:2" ht="12.75" x14ac:dyDescent="0.2">
      <c r="A303" s="95"/>
      <c r="B303" s="95"/>
    </row>
    <row r="304" spans="1:2" ht="12.75" x14ac:dyDescent="0.2">
      <c r="A304" s="95"/>
      <c r="B304" s="95"/>
    </row>
    <row r="305" spans="1:2" ht="12.75" x14ac:dyDescent="0.2">
      <c r="A305" s="95"/>
      <c r="B305" s="95"/>
    </row>
    <row r="306" spans="1:2" ht="12.75" x14ac:dyDescent="0.2">
      <c r="A306" s="95"/>
      <c r="B306" s="95"/>
    </row>
    <row r="307" spans="1:2" ht="12.75" x14ac:dyDescent="0.2">
      <c r="A307" s="95"/>
      <c r="B307" s="95"/>
    </row>
    <row r="308" spans="1:2" ht="12.75" x14ac:dyDescent="0.2">
      <c r="A308" s="95"/>
      <c r="B308" s="95"/>
    </row>
    <row r="309" spans="1:2" ht="12.75" x14ac:dyDescent="0.2">
      <c r="A309" s="95"/>
      <c r="B309" s="95"/>
    </row>
    <row r="310" spans="1:2" ht="12.75" x14ac:dyDescent="0.2">
      <c r="A310" s="95"/>
      <c r="B310" s="95"/>
    </row>
    <row r="311" spans="1:2" ht="12.75" x14ac:dyDescent="0.2">
      <c r="A311" s="95"/>
      <c r="B311" s="95"/>
    </row>
    <row r="312" spans="1:2" ht="12.75" x14ac:dyDescent="0.2">
      <c r="A312" s="95"/>
      <c r="B312" s="95"/>
    </row>
    <row r="313" spans="1:2" ht="12.75" x14ac:dyDescent="0.2">
      <c r="A313" s="95"/>
      <c r="B313" s="95"/>
    </row>
    <row r="314" spans="1:2" ht="12.75" x14ac:dyDescent="0.2">
      <c r="A314" s="95"/>
      <c r="B314" s="95"/>
    </row>
    <row r="315" spans="1:2" ht="12.75" x14ac:dyDescent="0.2">
      <c r="A315" s="95"/>
      <c r="B315" s="95"/>
    </row>
    <row r="316" spans="1:2" ht="12.75" x14ac:dyDescent="0.2">
      <c r="A316" s="95"/>
      <c r="B316" s="95"/>
    </row>
    <row r="317" spans="1:2" ht="12.75" x14ac:dyDescent="0.2">
      <c r="A317" s="95"/>
      <c r="B317" s="95"/>
    </row>
    <row r="318" spans="1:2" ht="12.75" x14ac:dyDescent="0.2">
      <c r="A318" s="95"/>
      <c r="B318" s="95"/>
    </row>
    <row r="319" spans="1:2" ht="12.75" x14ac:dyDescent="0.2">
      <c r="A319" s="95"/>
      <c r="B319" s="95"/>
    </row>
    <row r="320" spans="1:2" ht="12.75" x14ac:dyDescent="0.2">
      <c r="A320" s="95"/>
      <c r="B320" s="95"/>
    </row>
    <row r="321" spans="1:2" ht="12.75" x14ac:dyDescent="0.2">
      <c r="A321" s="95"/>
      <c r="B321" s="95"/>
    </row>
    <row r="322" spans="1:2" ht="12.75" x14ac:dyDescent="0.2">
      <c r="A322" s="95"/>
      <c r="B322" s="95"/>
    </row>
    <row r="323" spans="1:2" ht="12.75" x14ac:dyDescent="0.2">
      <c r="A323" s="95"/>
      <c r="B323" s="95"/>
    </row>
    <row r="324" spans="1:2" ht="12.75" x14ac:dyDescent="0.2">
      <c r="A324" s="95"/>
      <c r="B324" s="95"/>
    </row>
    <row r="325" spans="1:2" ht="12.75" x14ac:dyDescent="0.2">
      <c r="A325" s="95"/>
      <c r="B325" s="95"/>
    </row>
    <row r="326" spans="1:2" ht="12.75" x14ac:dyDescent="0.2">
      <c r="A326" s="95"/>
      <c r="B326" s="95"/>
    </row>
    <row r="327" spans="1:2" ht="12.75" x14ac:dyDescent="0.2">
      <c r="A327" s="95"/>
      <c r="B327" s="95"/>
    </row>
    <row r="328" spans="1:2" ht="12.75" x14ac:dyDescent="0.2">
      <c r="A328" s="95"/>
      <c r="B328" s="95"/>
    </row>
    <row r="329" spans="1:2" ht="12.75" x14ac:dyDescent="0.2">
      <c r="A329" s="95"/>
      <c r="B329" s="95"/>
    </row>
    <row r="330" spans="1:2" ht="12.75" x14ac:dyDescent="0.2">
      <c r="A330" s="95"/>
      <c r="B330" s="95"/>
    </row>
    <row r="331" spans="1:2" ht="12.75" x14ac:dyDescent="0.2">
      <c r="A331" s="95"/>
      <c r="B331" s="95"/>
    </row>
    <row r="332" spans="1:2" ht="12.75" x14ac:dyDescent="0.2">
      <c r="A332" s="95"/>
      <c r="B332" s="95"/>
    </row>
    <row r="333" spans="1:2" ht="12.75" x14ac:dyDescent="0.2">
      <c r="A333" s="95"/>
      <c r="B333" s="95"/>
    </row>
    <row r="334" spans="1:2" ht="12.75" x14ac:dyDescent="0.2">
      <c r="A334" s="95"/>
      <c r="B334" s="95"/>
    </row>
    <row r="335" spans="1:2" ht="12.75" x14ac:dyDescent="0.2">
      <c r="A335" s="95"/>
      <c r="B335" s="95"/>
    </row>
    <row r="336" spans="1:2" ht="12.75" x14ac:dyDescent="0.2">
      <c r="A336" s="95"/>
      <c r="B336" s="95"/>
    </row>
    <row r="337" spans="1:2" ht="12.75" x14ac:dyDescent="0.2">
      <c r="A337" s="95"/>
      <c r="B337" s="95"/>
    </row>
    <row r="338" spans="1:2" ht="12.75" x14ac:dyDescent="0.2">
      <c r="A338" s="95"/>
      <c r="B338" s="95"/>
    </row>
    <row r="339" spans="1:2" ht="12.75" x14ac:dyDescent="0.2">
      <c r="A339" s="95"/>
      <c r="B339" s="95"/>
    </row>
    <row r="340" spans="1:2" ht="12.75" x14ac:dyDescent="0.2">
      <c r="A340" s="95"/>
      <c r="B340" s="95"/>
    </row>
    <row r="341" spans="1:2" ht="12.75" x14ac:dyDescent="0.2">
      <c r="A341" s="95"/>
      <c r="B341" s="95"/>
    </row>
    <row r="342" spans="1:2" ht="12.75" x14ac:dyDescent="0.2">
      <c r="A342" s="95"/>
      <c r="B342" s="95"/>
    </row>
    <row r="343" spans="1:2" ht="12.75" x14ac:dyDescent="0.2">
      <c r="A343" s="95"/>
      <c r="B343" s="95"/>
    </row>
    <row r="344" spans="1:2" ht="12.75" x14ac:dyDescent="0.2">
      <c r="A344" s="95"/>
      <c r="B344" s="95"/>
    </row>
    <row r="345" spans="1:2" ht="12.75" x14ac:dyDescent="0.2">
      <c r="A345" s="95"/>
      <c r="B345" s="95"/>
    </row>
    <row r="346" spans="1:2" ht="12.75" x14ac:dyDescent="0.2">
      <c r="A346" s="95"/>
      <c r="B346" s="95"/>
    </row>
    <row r="347" spans="1:2" ht="12.75" x14ac:dyDescent="0.2">
      <c r="A347" s="95"/>
      <c r="B347" s="95"/>
    </row>
    <row r="348" spans="1:2" ht="12.75" x14ac:dyDescent="0.2">
      <c r="A348" s="95"/>
      <c r="B348" s="95"/>
    </row>
    <row r="349" spans="1:2" ht="12.75" x14ac:dyDescent="0.2">
      <c r="A349" s="95"/>
      <c r="B349" s="95"/>
    </row>
    <row r="350" spans="1:2" ht="12.75" x14ac:dyDescent="0.2">
      <c r="A350" s="95"/>
      <c r="B350" s="95"/>
    </row>
    <row r="351" spans="1:2" ht="12.75" x14ac:dyDescent="0.2">
      <c r="A351" s="95"/>
      <c r="B351" s="95"/>
    </row>
    <row r="352" spans="1:2" ht="12.75" x14ac:dyDescent="0.2">
      <c r="A352" s="95"/>
      <c r="B352" s="95"/>
    </row>
    <row r="353" spans="1:2" ht="12.75" x14ac:dyDescent="0.2">
      <c r="A353" s="95"/>
      <c r="B353" s="95"/>
    </row>
    <row r="354" spans="1:2" ht="12.75" x14ac:dyDescent="0.2">
      <c r="A354" s="95"/>
      <c r="B354" s="95"/>
    </row>
    <row r="355" spans="1:2" ht="12.75" x14ac:dyDescent="0.2">
      <c r="A355" s="95"/>
      <c r="B355" s="95"/>
    </row>
    <row r="356" spans="1:2" ht="12.75" x14ac:dyDescent="0.2">
      <c r="A356" s="95"/>
      <c r="B356" s="95"/>
    </row>
    <row r="357" spans="1:2" ht="12.75" x14ac:dyDescent="0.2">
      <c r="A357" s="95"/>
      <c r="B357" s="95"/>
    </row>
    <row r="358" spans="1:2" ht="12.75" x14ac:dyDescent="0.2">
      <c r="A358" s="95"/>
      <c r="B358" s="95"/>
    </row>
    <row r="359" spans="1:2" ht="12.75" x14ac:dyDescent="0.2">
      <c r="A359" s="95"/>
      <c r="B359" s="95"/>
    </row>
    <row r="360" spans="1:2" ht="12.75" x14ac:dyDescent="0.2">
      <c r="A360" s="95"/>
      <c r="B360" s="95"/>
    </row>
    <row r="361" spans="1:2" ht="12.75" x14ac:dyDescent="0.2">
      <c r="A361" s="95"/>
      <c r="B361" s="95"/>
    </row>
    <row r="362" spans="1:2" ht="12.75" x14ac:dyDescent="0.2">
      <c r="A362" s="95"/>
      <c r="B362" s="95"/>
    </row>
    <row r="363" spans="1:2" ht="12.75" x14ac:dyDescent="0.2">
      <c r="A363" s="95"/>
      <c r="B363" s="95"/>
    </row>
    <row r="364" spans="1:2" ht="12.75" x14ac:dyDescent="0.2">
      <c r="A364" s="95"/>
      <c r="B364" s="95"/>
    </row>
    <row r="365" spans="1:2" ht="12.75" x14ac:dyDescent="0.2">
      <c r="A365" s="95"/>
      <c r="B365" s="95"/>
    </row>
    <row r="366" spans="1:2" ht="12.75" x14ac:dyDescent="0.2">
      <c r="A366" s="95"/>
      <c r="B366" s="95"/>
    </row>
    <row r="367" spans="1:2" ht="12.75" x14ac:dyDescent="0.2">
      <c r="A367" s="95"/>
      <c r="B367" s="95"/>
    </row>
    <row r="368" spans="1:2" ht="12.75" x14ac:dyDescent="0.2">
      <c r="A368" s="95"/>
      <c r="B368" s="95"/>
    </row>
    <row r="369" spans="1:2" ht="12.75" x14ac:dyDescent="0.2">
      <c r="A369" s="95"/>
      <c r="B369" s="95"/>
    </row>
    <row r="370" spans="1:2" ht="12.75" x14ac:dyDescent="0.2">
      <c r="A370" s="95"/>
      <c r="B370" s="95"/>
    </row>
    <row r="371" spans="1:2" ht="12.75" x14ac:dyDescent="0.2">
      <c r="A371" s="95"/>
      <c r="B371" s="95"/>
    </row>
    <row r="372" spans="1:2" ht="12.75" x14ac:dyDescent="0.2">
      <c r="A372" s="95"/>
      <c r="B372" s="95"/>
    </row>
    <row r="373" spans="1:2" ht="12.75" x14ac:dyDescent="0.2">
      <c r="A373" s="95"/>
      <c r="B373" s="95"/>
    </row>
    <row r="374" spans="1:2" ht="12.75" x14ac:dyDescent="0.2">
      <c r="A374" s="95"/>
      <c r="B374" s="95"/>
    </row>
    <row r="375" spans="1:2" ht="12.75" x14ac:dyDescent="0.2">
      <c r="A375" s="95"/>
      <c r="B375" s="95"/>
    </row>
    <row r="376" spans="1:2" ht="12.75" x14ac:dyDescent="0.2">
      <c r="A376" s="95"/>
      <c r="B376" s="95"/>
    </row>
    <row r="377" spans="1:2" ht="12.75" x14ac:dyDescent="0.2">
      <c r="A377" s="95"/>
      <c r="B377" s="95"/>
    </row>
    <row r="378" spans="1:2" ht="12.75" x14ac:dyDescent="0.2">
      <c r="A378" s="95"/>
      <c r="B378" s="95"/>
    </row>
    <row r="379" spans="1:2" ht="12.75" x14ac:dyDescent="0.2">
      <c r="A379" s="95"/>
      <c r="B379" s="95"/>
    </row>
    <row r="380" spans="1:2" ht="12.75" x14ac:dyDescent="0.2">
      <c r="A380" s="95"/>
      <c r="B380" s="95"/>
    </row>
    <row r="381" spans="1:2" ht="12.75" x14ac:dyDescent="0.2">
      <c r="A381" s="95"/>
      <c r="B381" s="95"/>
    </row>
    <row r="382" spans="1:2" ht="12.75" x14ac:dyDescent="0.2">
      <c r="A382" s="95"/>
      <c r="B382" s="95"/>
    </row>
    <row r="383" spans="1:2" ht="12.75" x14ac:dyDescent="0.2">
      <c r="A383" s="95"/>
      <c r="B383" s="95"/>
    </row>
    <row r="384" spans="1:2" ht="12.75" x14ac:dyDescent="0.2">
      <c r="A384" s="95"/>
      <c r="B384" s="95"/>
    </row>
    <row r="385" spans="1:2" ht="12.75" x14ac:dyDescent="0.2">
      <c r="A385" s="95"/>
      <c r="B385" s="95"/>
    </row>
    <row r="386" spans="1:2" ht="12.75" x14ac:dyDescent="0.2">
      <c r="A386" s="95"/>
      <c r="B386" s="95"/>
    </row>
    <row r="387" spans="1:2" ht="12.75" x14ac:dyDescent="0.2">
      <c r="A387" s="95"/>
      <c r="B387" s="95"/>
    </row>
    <row r="388" spans="1:2" ht="12.75" x14ac:dyDescent="0.2">
      <c r="A388" s="95"/>
      <c r="B388" s="95"/>
    </row>
    <row r="389" spans="1:2" ht="12.75" x14ac:dyDescent="0.2">
      <c r="A389" s="95"/>
      <c r="B389" s="95"/>
    </row>
    <row r="390" spans="1:2" ht="12.75" x14ac:dyDescent="0.2">
      <c r="A390" s="95"/>
      <c r="B390" s="95"/>
    </row>
    <row r="391" spans="1:2" ht="12.75" x14ac:dyDescent="0.2">
      <c r="A391" s="95"/>
      <c r="B391" s="95"/>
    </row>
    <row r="392" spans="1:2" ht="12.75" x14ac:dyDescent="0.2">
      <c r="A392" s="95"/>
      <c r="B392" s="95"/>
    </row>
    <row r="393" spans="1:2" ht="12.75" x14ac:dyDescent="0.2">
      <c r="A393" s="95"/>
      <c r="B393" s="95"/>
    </row>
    <row r="394" spans="1:2" ht="12.75" x14ac:dyDescent="0.2">
      <c r="A394" s="95"/>
      <c r="B394" s="95"/>
    </row>
    <row r="395" spans="1:2" ht="12.75" x14ac:dyDescent="0.2">
      <c r="A395" s="95"/>
      <c r="B395" s="95"/>
    </row>
    <row r="396" spans="1:2" ht="12.75" x14ac:dyDescent="0.2">
      <c r="A396" s="95"/>
      <c r="B396" s="95"/>
    </row>
    <row r="397" spans="1:2" ht="12.75" x14ac:dyDescent="0.2">
      <c r="A397" s="95"/>
      <c r="B397" s="95"/>
    </row>
    <row r="398" spans="1:2" ht="12.75" x14ac:dyDescent="0.2">
      <c r="A398" s="95"/>
      <c r="B398" s="95"/>
    </row>
    <row r="399" spans="1:2" ht="12.75" x14ac:dyDescent="0.2">
      <c r="A399" s="95"/>
      <c r="B399" s="95"/>
    </row>
    <row r="400" spans="1:2" ht="12.75" x14ac:dyDescent="0.2">
      <c r="A400" s="95"/>
      <c r="B400" s="95"/>
    </row>
    <row r="401" spans="1:2" ht="12.75" x14ac:dyDescent="0.2">
      <c r="A401" s="95"/>
      <c r="B401" s="95"/>
    </row>
    <row r="402" spans="1:2" ht="12.75" x14ac:dyDescent="0.2">
      <c r="A402" s="95"/>
      <c r="B402" s="95"/>
    </row>
    <row r="403" spans="1:2" ht="12.75" x14ac:dyDescent="0.2">
      <c r="A403" s="95"/>
      <c r="B403" s="95"/>
    </row>
    <row r="404" spans="1:2" ht="12.75" x14ac:dyDescent="0.2">
      <c r="A404" s="95"/>
      <c r="B404" s="95"/>
    </row>
    <row r="405" spans="1:2" ht="12.75" x14ac:dyDescent="0.2">
      <c r="A405" s="95"/>
      <c r="B405" s="95"/>
    </row>
    <row r="406" spans="1:2" ht="12.75" x14ac:dyDescent="0.2">
      <c r="A406" s="95"/>
      <c r="B406" s="95"/>
    </row>
    <row r="407" spans="1:2" ht="12.75" x14ac:dyDescent="0.2">
      <c r="A407" s="95"/>
      <c r="B407" s="95"/>
    </row>
    <row r="408" spans="1:2" ht="12.75" x14ac:dyDescent="0.2">
      <c r="A408" s="95"/>
      <c r="B408" s="95"/>
    </row>
    <row r="409" spans="1:2" ht="12.75" x14ac:dyDescent="0.2">
      <c r="A409" s="95"/>
      <c r="B409" s="95"/>
    </row>
    <row r="410" spans="1:2" ht="12.75" x14ac:dyDescent="0.2">
      <c r="A410" s="95"/>
      <c r="B410" s="95"/>
    </row>
    <row r="411" spans="1:2" ht="12.75" x14ac:dyDescent="0.2">
      <c r="A411" s="95"/>
      <c r="B411" s="95"/>
    </row>
    <row r="412" spans="1:2" ht="12.75" x14ac:dyDescent="0.2">
      <c r="A412" s="95"/>
      <c r="B412" s="95"/>
    </row>
    <row r="413" spans="1:2" ht="12.75" x14ac:dyDescent="0.2">
      <c r="A413" s="95"/>
      <c r="B413" s="95"/>
    </row>
    <row r="414" spans="1:2" ht="12.75" x14ac:dyDescent="0.2">
      <c r="A414" s="95"/>
      <c r="B414" s="95"/>
    </row>
    <row r="415" spans="1:2" ht="12.75" x14ac:dyDescent="0.2">
      <c r="A415" s="95"/>
      <c r="B415" s="95"/>
    </row>
    <row r="416" spans="1:2" ht="12.75" x14ac:dyDescent="0.2">
      <c r="A416" s="95"/>
      <c r="B416" s="95"/>
    </row>
    <row r="417" spans="1:2" ht="12.75" x14ac:dyDescent="0.2">
      <c r="A417" s="95"/>
      <c r="B417" s="95"/>
    </row>
    <row r="418" spans="1:2" ht="12.75" x14ac:dyDescent="0.2">
      <c r="A418" s="95"/>
      <c r="B418" s="95"/>
    </row>
    <row r="419" spans="1:2" ht="12.75" x14ac:dyDescent="0.2">
      <c r="A419" s="95"/>
      <c r="B419" s="95"/>
    </row>
    <row r="420" spans="1:2" ht="12.75" x14ac:dyDescent="0.2">
      <c r="A420" s="95"/>
      <c r="B420" s="95"/>
    </row>
    <row r="421" spans="1:2" ht="12.75" x14ac:dyDescent="0.2">
      <c r="A421" s="95"/>
      <c r="B421" s="95"/>
    </row>
    <row r="422" spans="1:2" ht="12.75" x14ac:dyDescent="0.2">
      <c r="A422" s="95"/>
      <c r="B422" s="95"/>
    </row>
    <row r="423" spans="1:2" ht="12.75" x14ac:dyDescent="0.2">
      <c r="A423" s="95"/>
      <c r="B423" s="95"/>
    </row>
    <row r="424" spans="1:2" ht="12.75" x14ac:dyDescent="0.2">
      <c r="A424" s="95"/>
      <c r="B424" s="95"/>
    </row>
    <row r="425" spans="1:2" ht="12.75" x14ac:dyDescent="0.2">
      <c r="A425" s="95"/>
      <c r="B425" s="95"/>
    </row>
    <row r="426" spans="1:2" ht="12.75" x14ac:dyDescent="0.2">
      <c r="A426" s="95"/>
      <c r="B426" s="95"/>
    </row>
    <row r="427" spans="1:2" ht="12.75" x14ac:dyDescent="0.2">
      <c r="A427" s="95"/>
      <c r="B427" s="95"/>
    </row>
    <row r="428" spans="1:2" ht="12.75" x14ac:dyDescent="0.2">
      <c r="A428" s="95"/>
      <c r="B428" s="95"/>
    </row>
    <row r="429" spans="1:2" ht="12.75" x14ac:dyDescent="0.2">
      <c r="A429" s="95"/>
      <c r="B429" s="95"/>
    </row>
    <row r="430" spans="1:2" ht="12.75" x14ac:dyDescent="0.2">
      <c r="A430" s="95"/>
      <c r="B430" s="95"/>
    </row>
    <row r="431" spans="1:2" ht="12.75" x14ac:dyDescent="0.2">
      <c r="A431" s="95"/>
      <c r="B431" s="95"/>
    </row>
    <row r="432" spans="1:2" ht="12.75" x14ac:dyDescent="0.2">
      <c r="A432" s="95"/>
      <c r="B432" s="95"/>
    </row>
    <row r="433" spans="1:2" ht="12.75" x14ac:dyDescent="0.2">
      <c r="A433" s="95"/>
      <c r="B433" s="95"/>
    </row>
    <row r="434" spans="1:2" ht="12.75" x14ac:dyDescent="0.2">
      <c r="A434" s="95"/>
      <c r="B434" s="95"/>
    </row>
    <row r="435" spans="1:2" ht="12.75" x14ac:dyDescent="0.2">
      <c r="A435" s="95"/>
      <c r="B435" s="95"/>
    </row>
    <row r="436" spans="1:2" ht="12.75" x14ac:dyDescent="0.2">
      <c r="A436" s="95"/>
      <c r="B436" s="95"/>
    </row>
    <row r="437" spans="1:2" ht="12.75" x14ac:dyDescent="0.2">
      <c r="A437" s="95"/>
      <c r="B437" s="95"/>
    </row>
    <row r="438" spans="1:2" ht="12.75" x14ac:dyDescent="0.2">
      <c r="A438" s="95"/>
      <c r="B438" s="95"/>
    </row>
    <row r="439" spans="1:2" ht="12.75" x14ac:dyDescent="0.2">
      <c r="A439" s="95"/>
      <c r="B439" s="95"/>
    </row>
    <row r="440" spans="1:2" ht="12.75" x14ac:dyDescent="0.2">
      <c r="A440" s="95"/>
      <c r="B440" s="95"/>
    </row>
    <row r="441" spans="1:2" ht="12.75" x14ac:dyDescent="0.2">
      <c r="A441" s="95"/>
      <c r="B441" s="95"/>
    </row>
    <row r="442" spans="1:2" ht="12.75" x14ac:dyDescent="0.2">
      <c r="A442" s="95"/>
      <c r="B442" s="95"/>
    </row>
    <row r="443" spans="1:2" ht="12.75" x14ac:dyDescent="0.2">
      <c r="A443" s="95"/>
      <c r="B443" s="95"/>
    </row>
    <row r="444" spans="1:2" ht="12.75" x14ac:dyDescent="0.2">
      <c r="A444" s="95"/>
      <c r="B444" s="95"/>
    </row>
    <row r="445" spans="1:2" ht="12.75" x14ac:dyDescent="0.2">
      <c r="A445" s="95"/>
      <c r="B445" s="95"/>
    </row>
    <row r="446" spans="1:2" ht="12.75" x14ac:dyDescent="0.2">
      <c r="A446" s="95"/>
      <c r="B446" s="95"/>
    </row>
    <row r="447" spans="1:2" ht="12.75" x14ac:dyDescent="0.2">
      <c r="A447" s="95"/>
      <c r="B447" s="95"/>
    </row>
    <row r="448" spans="1:2" ht="12.75" x14ac:dyDescent="0.2">
      <c r="A448" s="95"/>
      <c r="B448" s="95"/>
    </row>
    <row r="449" spans="1:2" ht="12.75" x14ac:dyDescent="0.2">
      <c r="A449" s="95"/>
      <c r="B449" s="95"/>
    </row>
    <row r="450" spans="1:2" ht="12.75" x14ac:dyDescent="0.2">
      <c r="A450" s="95"/>
      <c r="B450" s="95"/>
    </row>
    <row r="451" spans="1:2" ht="12.75" x14ac:dyDescent="0.2">
      <c r="A451" s="95"/>
      <c r="B451" s="95"/>
    </row>
    <row r="452" spans="1:2" ht="12.75" x14ac:dyDescent="0.2">
      <c r="A452" s="95"/>
      <c r="B452" s="95"/>
    </row>
    <row r="453" spans="1:2" ht="12.75" x14ac:dyDescent="0.2">
      <c r="A453" s="95"/>
      <c r="B453" s="95"/>
    </row>
    <row r="454" spans="1:2" ht="12.75" x14ac:dyDescent="0.2">
      <c r="A454" s="95"/>
      <c r="B454" s="95"/>
    </row>
    <row r="455" spans="1:2" ht="12.75" x14ac:dyDescent="0.2">
      <c r="A455" s="95"/>
      <c r="B455" s="95"/>
    </row>
    <row r="456" spans="1:2" ht="12.75" x14ac:dyDescent="0.2">
      <c r="A456" s="95"/>
      <c r="B456" s="95"/>
    </row>
    <row r="457" spans="1:2" ht="12.75" x14ac:dyDescent="0.2">
      <c r="A457" s="95"/>
      <c r="B457" s="95"/>
    </row>
    <row r="458" spans="1:2" ht="12.75" x14ac:dyDescent="0.2">
      <c r="A458" s="95"/>
      <c r="B458" s="95"/>
    </row>
    <row r="459" spans="1:2" ht="12.75" x14ac:dyDescent="0.2">
      <c r="A459" s="95"/>
      <c r="B459" s="95"/>
    </row>
    <row r="460" spans="1:2" ht="12.75" x14ac:dyDescent="0.2">
      <c r="A460" s="95"/>
      <c r="B460" s="95"/>
    </row>
    <row r="461" spans="1:2" ht="12.75" x14ac:dyDescent="0.2">
      <c r="A461" s="95"/>
      <c r="B461" s="95"/>
    </row>
    <row r="462" spans="1:2" ht="12.75" x14ac:dyDescent="0.2">
      <c r="A462" s="95"/>
      <c r="B462" s="95"/>
    </row>
    <row r="463" spans="1:2" ht="12.75" x14ac:dyDescent="0.2">
      <c r="A463" s="95"/>
      <c r="B463" s="95"/>
    </row>
    <row r="464" spans="1:2" ht="12.75" x14ac:dyDescent="0.2">
      <c r="A464" s="95"/>
      <c r="B464" s="95"/>
    </row>
    <row r="465" spans="1:2" ht="12.75" x14ac:dyDescent="0.2">
      <c r="A465" s="95"/>
      <c r="B465" s="95"/>
    </row>
    <row r="466" spans="1:2" ht="12.75" x14ac:dyDescent="0.2">
      <c r="A466" s="95"/>
      <c r="B466" s="95"/>
    </row>
    <row r="467" spans="1:2" ht="12.75" x14ac:dyDescent="0.2">
      <c r="A467" s="95"/>
      <c r="B467" s="95"/>
    </row>
    <row r="468" spans="1:2" ht="12.75" x14ac:dyDescent="0.2">
      <c r="A468" s="95"/>
      <c r="B468" s="95"/>
    </row>
    <row r="469" spans="1:2" ht="12.75" x14ac:dyDescent="0.2">
      <c r="A469" s="95"/>
      <c r="B469" s="95"/>
    </row>
    <row r="470" spans="1:2" ht="12.75" x14ac:dyDescent="0.2">
      <c r="A470" s="95"/>
      <c r="B470" s="95"/>
    </row>
    <row r="471" spans="1:2" ht="12.75" x14ac:dyDescent="0.2">
      <c r="A471" s="95"/>
      <c r="B471" s="95"/>
    </row>
    <row r="472" spans="1:2" ht="12.75" x14ac:dyDescent="0.2">
      <c r="A472" s="95"/>
      <c r="B472" s="95"/>
    </row>
    <row r="473" spans="1:2" ht="12.75" x14ac:dyDescent="0.2">
      <c r="A473" s="95"/>
      <c r="B473" s="95"/>
    </row>
    <row r="474" spans="1:2" ht="12.75" x14ac:dyDescent="0.2">
      <c r="A474" s="95"/>
      <c r="B474" s="95"/>
    </row>
    <row r="475" spans="1:2" ht="12.75" x14ac:dyDescent="0.2">
      <c r="A475" s="95"/>
      <c r="B475" s="95"/>
    </row>
    <row r="476" spans="1:2" ht="12.75" x14ac:dyDescent="0.2">
      <c r="A476" s="95"/>
      <c r="B476" s="95"/>
    </row>
    <row r="477" spans="1:2" ht="12.75" x14ac:dyDescent="0.2">
      <c r="A477" s="95"/>
      <c r="B477" s="95"/>
    </row>
    <row r="478" spans="1:2" ht="12.75" x14ac:dyDescent="0.2">
      <c r="A478" s="95"/>
      <c r="B478" s="95"/>
    </row>
    <row r="479" spans="1:2" ht="12.75" x14ac:dyDescent="0.2">
      <c r="A479" s="95"/>
      <c r="B479" s="95"/>
    </row>
    <row r="480" spans="1:2" ht="12.75" x14ac:dyDescent="0.2">
      <c r="A480" s="95"/>
      <c r="B480" s="95"/>
    </row>
    <row r="481" spans="1:2" ht="12.75" x14ac:dyDescent="0.2">
      <c r="A481" s="95"/>
      <c r="B481" s="95"/>
    </row>
    <row r="482" spans="1:2" ht="12.75" x14ac:dyDescent="0.2">
      <c r="A482" s="95"/>
      <c r="B482" s="95"/>
    </row>
    <row r="483" spans="1:2" ht="12.75" x14ac:dyDescent="0.2">
      <c r="A483" s="95"/>
      <c r="B483" s="95"/>
    </row>
    <row r="484" spans="1:2" ht="12.75" x14ac:dyDescent="0.2">
      <c r="A484" s="95"/>
      <c r="B484" s="95"/>
    </row>
    <row r="485" spans="1:2" ht="12.75" x14ac:dyDescent="0.2">
      <c r="A485" s="95"/>
      <c r="B485" s="95"/>
    </row>
    <row r="486" spans="1:2" ht="12.75" x14ac:dyDescent="0.2">
      <c r="A486" s="95"/>
      <c r="B486" s="95"/>
    </row>
    <row r="487" spans="1:2" ht="12.75" x14ac:dyDescent="0.2">
      <c r="A487" s="95"/>
      <c r="B487" s="95"/>
    </row>
    <row r="488" spans="1:2" ht="12.75" x14ac:dyDescent="0.2">
      <c r="A488" s="95"/>
      <c r="B488" s="95"/>
    </row>
    <row r="489" spans="1:2" ht="12.75" x14ac:dyDescent="0.2">
      <c r="A489" s="95"/>
      <c r="B489" s="95"/>
    </row>
    <row r="490" spans="1:2" ht="12.75" x14ac:dyDescent="0.2">
      <c r="A490" s="95"/>
      <c r="B490" s="95"/>
    </row>
    <row r="491" spans="1:2" ht="12.75" x14ac:dyDescent="0.2">
      <c r="A491" s="95"/>
      <c r="B491" s="95"/>
    </row>
    <row r="492" spans="1:2" ht="12.75" x14ac:dyDescent="0.2">
      <c r="A492" s="95"/>
      <c r="B492" s="95"/>
    </row>
    <row r="493" spans="1:2" ht="12.75" x14ac:dyDescent="0.2">
      <c r="A493" s="95"/>
      <c r="B493" s="95"/>
    </row>
    <row r="494" spans="1:2" ht="12.75" x14ac:dyDescent="0.2">
      <c r="A494" s="95"/>
      <c r="B494" s="95"/>
    </row>
    <row r="495" spans="1:2" ht="12.75" x14ac:dyDescent="0.2">
      <c r="A495" s="95"/>
      <c r="B495" s="95"/>
    </row>
    <row r="496" spans="1:2" ht="12.75" x14ac:dyDescent="0.2">
      <c r="A496" s="95"/>
      <c r="B496" s="95"/>
    </row>
    <row r="497" spans="1:2" ht="12.75" x14ac:dyDescent="0.2">
      <c r="A497" s="95"/>
      <c r="B497" s="95"/>
    </row>
    <row r="498" spans="1:2" ht="12.75" x14ac:dyDescent="0.2">
      <c r="A498" s="95"/>
      <c r="B498" s="95"/>
    </row>
    <row r="499" spans="1:2" ht="12.75" x14ac:dyDescent="0.2">
      <c r="A499" s="95"/>
      <c r="B499" s="95"/>
    </row>
    <row r="500" spans="1:2" ht="12.75" x14ac:dyDescent="0.2">
      <c r="A500" s="95"/>
      <c r="B500" s="95"/>
    </row>
    <row r="501" spans="1:2" ht="12.75" x14ac:dyDescent="0.2">
      <c r="A501" s="95"/>
      <c r="B501" s="95"/>
    </row>
    <row r="502" spans="1:2" ht="12.75" x14ac:dyDescent="0.2">
      <c r="A502" s="95"/>
      <c r="B502" s="95"/>
    </row>
    <row r="503" spans="1:2" ht="12.75" x14ac:dyDescent="0.2">
      <c r="A503" s="95"/>
      <c r="B503" s="95"/>
    </row>
    <row r="504" spans="1:2" ht="12.75" x14ac:dyDescent="0.2">
      <c r="A504" s="95"/>
      <c r="B504" s="95"/>
    </row>
    <row r="505" spans="1:2" ht="12.75" x14ac:dyDescent="0.2">
      <c r="A505" s="95"/>
      <c r="B505" s="95"/>
    </row>
    <row r="506" spans="1:2" ht="12.75" x14ac:dyDescent="0.2">
      <c r="A506" s="95"/>
      <c r="B506" s="95"/>
    </row>
    <row r="507" spans="1:2" ht="12.75" x14ac:dyDescent="0.2">
      <c r="A507" s="95"/>
      <c r="B507" s="95"/>
    </row>
    <row r="508" spans="1:2" ht="12.75" x14ac:dyDescent="0.2">
      <c r="A508" s="95"/>
      <c r="B508" s="95"/>
    </row>
    <row r="509" spans="1:2" ht="12.75" x14ac:dyDescent="0.2">
      <c r="A509" s="95"/>
      <c r="B509" s="95"/>
    </row>
    <row r="510" spans="1:2" ht="12.75" x14ac:dyDescent="0.2">
      <c r="A510" s="95"/>
      <c r="B510" s="95"/>
    </row>
    <row r="511" spans="1:2" ht="12.75" x14ac:dyDescent="0.2">
      <c r="A511" s="95"/>
      <c r="B511" s="95"/>
    </row>
    <row r="512" spans="1:2" ht="12.75" x14ac:dyDescent="0.2">
      <c r="A512" s="95"/>
      <c r="B512" s="95"/>
    </row>
    <row r="513" spans="1:2" ht="12.75" x14ac:dyDescent="0.2">
      <c r="A513" s="95"/>
      <c r="B513" s="95"/>
    </row>
    <row r="514" spans="1:2" ht="12.75" x14ac:dyDescent="0.2">
      <c r="A514" s="95"/>
      <c r="B514" s="95"/>
    </row>
    <row r="515" spans="1:2" ht="12.75" x14ac:dyDescent="0.2">
      <c r="A515" s="95"/>
      <c r="B515" s="95"/>
    </row>
    <row r="516" spans="1:2" ht="12.75" x14ac:dyDescent="0.2">
      <c r="A516" s="95"/>
      <c r="B516" s="95"/>
    </row>
    <row r="517" spans="1:2" ht="12.75" x14ac:dyDescent="0.2">
      <c r="A517" s="95"/>
      <c r="B517" s="95"/>
    </row>
    <row r="518" spans="1:2" ht="12.75" x14ac:dyDescent="0.2">
      <c r="A518" s="95"/>
      <c r="B518" s="95"/>
    </row>
    <row r="519" spans="1:2" ht="12.75" x14ac:dyDescent="0.2">
      <c r="A519" s="95"/>
      <c r="B519" s="95"/>
    </row>
    <row r="520" spans="1:2" ht="12.75" x14ac:dyDescent="0.2">
      <c r="A520" s="95"/>
      <c r="B520" s="95"/>
    </row>
    <row r="521" spans="1:2" ht="12.75" x14ac:dyDescent="0.2">
      <c r="A521" s="95"/>
      <c r="B521" s="95"/>
    </row>
    <row r="522" spans="1:2" ht="12.75" x14ac:dyDescent="0.2">
      <c r="A522" s="95"/>
      <c r="B522" s="95"/>
    </row>
    <row r="523" spans="1:2" ht="12.75" x14ac:dyDescent="0.2">
      <c r="A523" s="95"/>
      <c r="B523" s="95"/>
    </row>
    <row r="524" spans="1:2" ht="12.75" x14ac:dyDescent="0.2">
      <c r="A524" s="95"/>
      <c r="B524" s="95"/>
    </row>
    <row r="525" spans="1:2" ht="12.75" x14ac:dyDescent="0.2">
      <c r="A525" s="95"/>
      <c r="B525" s="95"/>
    </row>
    <row r="526" spans="1:2" ht="12.75" x14ac:dyDescent="0.2">
      <c r="A526" s="95"/>
      <c r="B526" s="95"/>
    </row>
    <row r="527" spans="1:2" ht="12.75" x14ac:dyDescent="0.2">
      <c r="A527" s="95"/>
      <c r="B527" s="95"/>
    </row>
    <row r="528" spans="1:2" ht="12.75" x14ac:dyDescent="0.2">
      <c r="A528" s="95"/>
      <c r="B528" s="95"/>
    </row>
    <row r="529" spans="1:2" ht="12.75" x14ac:dyDescent="0.2">
      <c r="A529" s="95"/>
      <c r="B529" s="95"/>
    </row>
    <row r="530" spans="1:2" ht="12.75" x14ac:dyDescent="0.2">
      <c r="A530" s="95"/>
      <c r="B530" s="95"/>
    </row>
    <row r="531" spans="1:2" ht="12.75" x14ac:dyDescent="0.2">
      <c r="A531" s="95"/>
      <c r="B531" s="95"/>
    </row>
    <row r="532" spans="1:2" ht="12.75" x14ac:dyDescent="0.2">
      <c r="A532" s="95"/>
      <c r="B532" s="95"/>
    </row>
    <row r="533" spans="1:2" ht="12.75" x14ac:dyDescent="0.2">
      <c r="A533" s="95"/>
      <c r="B533" s="95"/>
    </row>
    <row r="534" spans="1:2" ht="12.75" x14ac:dyDescent="0.2">
      <c r="A534" s="95"/>
      <c r="B534" s="95"/>
    </row>
    <row r="535" spans="1:2" ht="12.75" x14ac:dyDescent="0.2">
      <c r="A535" s="95"/>
      <c r="B535" s="95"/>
    </row>
    <row r="536" spans="1:2" ht="12.75" x14ac:dyDescent="0.2">
      <c r="A536" s="95"/>
      <c r="B536" s="95"/>
    </row>
    <row r="537" spans="1:2" ht="12.75" x14ac:dyDescent="0.2">
      <c r="A537" s="95"/>
      <c r="B537" s="95"/>
    </row>
    <row r="538" spans="1:2" ht="12.75" x14ac:dyDescent="0.2">
      <c r="A538" s="95"/>
      <c r="B538" s="95"/>
    </row>
    <row r="539" spans="1:2" ht="12.75" x14ac:dyDescent="0.2">
      <c r="A539" s="95"/>
      <c r="B539" s="95"/>
    </row>
    <row r="540" spans="1:2" ht="12.75" x14ac:dyDescent="0.2">
      <c r="A540" s="95"/>
      <c r="B540" s="95"/>
    </row>
    <row r="541" spans="1:2" ht="12.75" x14ac:dyDescent="0.2">
      <c r="A541" s="95"/>
      <c r="B541" s="95"/>
    </row>
    <row r="542" spans="1:2" ht="12.75" x14ac:dyDescent="0.2">
      <c r="A542" s="95"/>
      <c r="B542" s="95"/>
    </row>
    <row r="543" spans="1:2" ht="12.75" x14ac:dyDescent="0.2">
      <c r="A543" s="95"/>
      <c r="B543" s="95"/>
    </row>
    <row r="544" spans="1:2" ht="12.75" x14ac:dyDescent="0.2">
      <c r="A544" s="95"/>
      <c r="B544" s="95"/>
    </row>
    <row r="545" spans="1:2" ht="12.75" x14ac:dyDescent="0.2">
      <c r="A545" s="95"/>
      <c r="B545" s="95"/>
    </row>
    <row r="546" spans="1:2" ht="12.75" x14ac:dyDescent="0.2">
      <c r="A546" s="95"/>
      <c r="B546" s="95"/>
    </row>
    <row r="547" spans="1:2" ht="12.75" x14ac:dyDescent="0.2">
      <c r="A547" s="95"/>
      <c r="B547" s="95"/>
    </row>
    <row r="548" spans="1:2" ht="12.75" x14ac:dyDescent="0.2">
      <c r="A548" s="95"/>
      <c r="B548" s="95"/>
    </row>
    <row r="549" spans="1:2" ht="12.75" x14ac:dyDescent="0.2">
      <c r="A549" s="95"/>
      <c r="B549" s="95"/>
    </row>
    <row r="550" spans="1:2" ht="12.75" x14ac:dyDescent="0.2">
      <c r="A550" s="95"/>
      <c r="B550" s="95"/>
    </row>
    <row r="551" spans="1:2" ht="12.75" x14ac:dyDescent="0.2">
      <c r="A551" s="95"/>
      <c r="B551" s="95"/>
    </row>
    <row r="552" spans="1:2" ht="12.75" x14ac:dyDescent="0.2">
      <c r="A552" s="95"/>
      <c r="B552" s="95"/>
    </row>
    <row r="553" spans="1:2" ht="12.75" x14ac:dyDescent="0.2">
      <c r="A553" s="95"/>
      <c r="B553" s="95"/>
    </row>
    <row r="554" spans="1:2" ht="12.75" x14ac:dyDescent="0.2">
      <c r="A554" s="95"/>
      <c r="B554" s="95"/>
    </row>
    <row r="555" spans="1:2" ht="12.75" x14ac:dyDescent="0.2">
      <c r="A555" s="95"/>
      <c r="B555" s="95"/>
    </row>
    <row r="556" spans="1:2" ht="12.75" x14ac:dyDescent="0.2">
      <c r="A556" s="95"/>
      <c r="B556" s="95"/>
    </row>
    <row r="557" spans="1:2" ht="12.75" x14ac:dyDescent="0.2">
      <c r="A557" s="95"/>
      <c r="B557" s="95"/>
    </row>
    <row r="558" spans="1:2" ht="12.75" x14ac:dyDescent="0.2">
      <c r="A558" s="95"/>
      <c r="B558" s="95"/>
    </row>
    <row r="559" spans="1:2" ht="12.75" x14ac:dyDescent="0.2">
      <c r="A559" s="95"/>
      <c r="B559" s="95"/>
    </row>
    <row r="560" spans="1:2" ht="12.75" x14ac:dyDescent="0.2">
      <c r="A560" s="95"/>
      <c r="B560" s="95"/>
    </row>
    <row r="561" spans="1:2" ht="12.75" x14ac:dyDescent="0.2">
      <c r="A561" s="95"/>
      <c r="B561" s="95"/>
    </row>
    <row r="562" spans="1:2" ht="12.75" x14ac:dyDescent="0.2">
      <c r="A562" s="95"/>
      <c r="B562" s="95"/>
    </row>
    <row r="563" spans="1:2" ht="12.75" x14ac:dyDescent="0.2">
      <c r="A563" s="95"/>
      <c r="B563" s="95"/>
    </row>
    <row r="564" spans="1:2" ht="12.75" x14ac:dyDescent="0.2">
      <c r="A564" s="95"/>
      <c r="B564" s="95"/>
    </row>
    <row r="565" spans="1:2" ht="12.75" x14ac:dyDescent="0.2">
      <c r="A565" s="95"/>
      <c r="B565" s="95"/>
    </row>
    <row r="566" spans="1:2" ht="12.75" x14ac:dyDescent="0.2">
      <c r="A566" s="95"/>
      <c r="B566" s="95"/>
    </row>
    <row r="567" spans="1:2" ht="12.75" x14ac:dyDescent="0.2">
      <c r="A567" s="95"/>
      <c r="B567" s="95"/>
    </row>
    <row r="568" spans="1:2" ht="12.75" x14ac:dyDescent="0.2">
      <c r="A568" s="95"/>
      <c r="B568" s="95"/>
    </row>
    <row r="569" spans="1:2" ht="12.75" x14ac:dyDescent="0.2">
      <c r="A569" s="95"/>
      <c r="B569" s="95"/>
    </row>
    <row r="570" spans="1:2" ht="12.75" x14ac:dyDescent="0.2">
      <c r="A570" s="95"/>
      <c r="B570" s="95"/>
    </row>
    <row r="571" spans="1:2" ht="12.75" x14ac:dyDescent="0.2">
      <c r="A571" s="95"/>
      <c r="B571" s="95"/>
    </row>
    <row r="572" spans="1:2" ht="12.75" x14ac:dyDescent="0.2">
      <c r="A572" s="95"/>
      <c r="B572" s="95"/>
    </row>
    <row r="573" spans="1:2" ht="12.75" x14ac:dyDescent="0.2">
      <c r="A573" s="95"/>
      <c r="B573" s="95"/>
    </row>
    <row r="574" spans="1:2" ht="12.75" x14ac:dyDescent="0.2">
      <c r="A574" s="95"/>
      <c r="B574" s="95"/>
    </row>
    <row r="575" spans="1:2" ht="12.75" x14ac:dyDescent="0.2">
      <c r="A575" s="95"/>
      <c r="B575" s="95"/>
    </row>
    <row r="576" spans="1:2" ht="12.75" x14ac:dyDescent="0.2">
      <c r="A576" s="95"/>
      <c r="B576" s="95"/>
    </row>
    <row r="577" spans="1:2" ht="12.75" x14ac:dyDescent="0.2">
      <c r="A577" s="95"/>
      <c r="B577" s="95"/>
    </row>
    <row r="578" spans="1:2" ht="12.75" x14ac:dyDescent="0.2">
      <c r="A578" s="95"/>
      <c r="B578" s="95"/>
    </row>
    <row r="579" spans="1:2" ht="12.75" x14ac:dyDescent="0.2">
      <c r="A579" s="95"/>
      <c r="B579" s="95"/>
    </row>
    <row r="580" spans="1:2" ht="12.75" x14ac:dyDescent="0.2">
      <c r="A580" s="95"/>
      <c r="B580" s="95"/>
    </row>
    <row r="581" spans="1:2" ht="12.75" x14ac:dyDescent="0.2">
      <c r="A581" s="95"/>
      <c r="B581" s="95"/>
    </row>
    <row r="582" spans="1:2" ht="12.75" x14ac:dyDescent="0.2">
      <c r="A582" s="95"/>
      <c r="B582" s="95"/>
    </row>
    <row r="583" spans="1:2" ht="12.75" x14ac:dyDescent="0.2">
      <c r="A583" s="95"/>
      <c r="B583" s="95"/>
    </row>
    <row r="584" spans="1:2" ht="12.75" x14ac:dyDescent="0.2">
      <c r="A584" s="95"/>
      <c r="B584" s="95"/>
    </row>
    <row r="585" spans="1:2" ht="12.75" x14ac:dyDescent="0.2">
      <c r="A585" s="95"/>
      <c r="B585" s="95"/>
    </row>
    <row r="586" spans="1:2" ht="12.75" x14ac:dyDescent="0.2">
      <c r="A586" s="95"/>
      <c r="B586" s="95"/>
    </row>
    <row r="587" spans="1:2" ht="12.75" x14ac:dyDescent="0.2">
      <c r="A587" s="95"/>
      <c r="B587" s="95"/>
    </row>
    <row r="588" spans="1:2" ht="12.75" x14ac:dyDescent="0.2">
      <c r="A588" s="95"/>
      <c r="B588" s="95"/>
    </row>
    <row r="589" spans="1:2" ht="12.75" x14ac:dyDescent="0.2">
      <c r="A589" s="95"/>
      <c r="B589" s="95"/>
    </row>
    <row r="590" spans="1:2" ht="12.75" x14ac:dyDescent="0.2">
      <c r="A590" s="95"/>
      <c r="B590" s="95"/>
    </row>
    <row r="591" spans="1:2" ht="12.75" x14ac:dyDescent="0.2">
      <c r="A591" s="95"/>
      <c r="B591" s="95"/>
    </row>
    <row r="592" spans="1:2" ht="12.75" x14ac:dyDescent="0.2">
      <c r="A592" s="95"/>
      <c r="B592" s="95"/>
    </row>
    <row r="593" spans="1:2" ht="12.75" x14ac:dyDescent="0.2">
      <c r="A593" s="95"/>
      <c r="B593" s="95"/>
    </row>
    <row r="594" spans="1:2" ht="12.75" x14ac:dyDescent="0.2">
      <c r="A594" s="95"/>
      <c r="B594" s="95"/>
    </row>
    <row r="595" spans="1:2" ht="12.75" x14ac:dyDescent="0.2">
      <c r="A595" s="95"/>
      <c r="B595" s="95"/>
    </row>
    <row r="596" spans="1:2" ht="12.75" x14ac:dyDescent="0.2">
      <c r="A596" s="95"/>
      <c r="B596" s="95"/>
    </row>
    <row r="597" spans="1:2" ht="12.75" x14ac:dyDescent="0.2">
      <c r="A597" s="95"/>
      <c r="B597" s="95"/>
    </row>
    <row r="598" spans="1:2" ht="12.75" x14ac:dyDescent="0.2">
      <c r="A598" s="95"/>
      <c r="B598" s="95"/>
    </row>
    <row r="599" spans="1:2" ht="12.75" x14ac:dyDescent="0.2">
      <c r="A599" s="95"/>
      <c r="B599" s="95"/>
    </row>
    <row r="600" spans="1:2" ht="12.75" x14ac:dyDescent="0.2">
      <c r="A600" s="95"/>
      <c r="B600" s="95"/>
    </row>
    <row r="601" spans="1:2" ht="12.75" x14ac:dyDescent="0.2">
      <c r="A601" s="95"/>
      <c r="B601" s="95"/>
    </row>
    <row r="602" spans="1:2" ht="12.75" x14ac:dyDescent="0.2">
      <c r="A602" s="95"/>
      <c r="B602" s="95"/>
    </row>
    <row r="603" spans="1:2" ht="12.75" x14ac:dyDescent="0.2">
      <c r="A603" s="95"/>
      <c r="B603" s="95"/>
    </row>
    <row r="604" spans="1:2" ht="12.75" x14ac:dyDescent="0.2">
      <c r="A604" s="95"/>
      <c r="B604" s="95"/>
    </row>
    <row r="605" spans="1:2" ht="12.75" x14ac:dyDescent="0.2">
      <c r="A605" s="95"/>
      <c r="B605" s="95"/>
    </row>
    <row r="606" spans="1:2" ht="12.75" x14ac:dyDescent="0.2">
      <c r="A606" s="95"/>
      <c r="B606" s="95"/>
    </row>
    <row r="607" spans="1:2" ht="12.75" x14ac:dyDescent="0.2">
      <c r="A607" s="95"/>
      <c r="B607" s="95"/>
    </row>
    <row r="608" spans="1:2" ht="12.75" x14ac:dyDescent="0.2">
      <c r="A608" s="95"/>
      <c r="B608" s="95"/>
    </row>
    <row r="609" spans="1:2" ht="12.75" x14ac:dyDescent="0.2">
      <c r="A609" s="95"/>
      <c r="B609" s="95"/>
    </row>
    <row r="610" spans="1:2" ht="12.75" x14ac:dyDescent="0.2">
      <c r="A610" s="95"/>
      <c r="B610" s="95"/>
    </row>
    <row r="611" spans="1:2" ht="12.75" x14ac:dyDescent="0.2">
      <c r="A611" s="95"/>
      <c r="B611" s="95"/>
    </row>
    <row r="612" spans="1:2" ht="12.75" x14ac:dyDescent="0.2">
      <c r="A612" s="95"/>
      <c r="B612" s="95"/>
    </row>
    <row r="613" spans="1:2" ht="12.75" x14ac:dyDescent="0.2">
      <c r="A613" s="95"/>
      <c r="B613" s="95"/>
    </row>
    <row r="614" spans="1:2" ht="12.75" x14ac:dyDescent="0.2">
      <c r="A614" s="95"/>
      <c r="B614" s="95"/>
    </row>
    <row r="615" spans="1:2" ht="12.75" x14ac:dyDescent="0.2">
      <c r="A615" s="95"/>
      <c r="B615" s="95"/>
    </row>
    <row r="616" spans="1:2" ht="12.75" x14ac:dyDescent="0.2">
      <c r="A616" s="95"/>
      <c r="B616" s="95"/>
    </row>
    <row r="617" spans="1:2" ht="12.75" x14ac:dyDescent="0.2">
      <c r="A617" s="95"/>
      <c r="B617" s="95"/>
    </row>
    <row r="618" spans="1:2" ht="12.75" x14ac:dyDescent="0.2">
      <c r="A618" s="95"/>
      <c r="B618" s="95"/>
    </row>
    <row r="619" spans="1:2" ht="12.75" x14ac:dyDescent="0.2">
      <c r="A619" s="95"/>
      <c r="B619" s="95"/>
    </row>
    <row r="620" spans="1:2" ht="12.75" x14ac:dyDescent="0.2">
      <c r="A620" s="95"/>
      <c r="B620" s="95"/>
    </row>
    <row r="621" spans="1:2" ht="12.75" x14ac:dyDescent="0.2">
      <c r="A621" s="95"/>
      <c r="B621" s="95"/>
    </row>
    <row r="622" spans="1:2" ht="12.75" x14ac:dyDescent="0.2">
      <c r="A622" s="95"/>
      <c r="B622" s="95"/>
    </row>
    <row r="623" spans="1:2" ht="12.75" x14ac:dyDescent="0.2">
      <c r="A623" s="95"/>
      <c r="B623" s="95"/>
    </row>
    <row r="624" spans="1:2" ht="12.75" x14ac:dyDescent="0.2">
      <c r="A624" s="95"/>
      <c r="B624" s="95"/>
    </row>
    <row r="625" spans="1:2" ht="12.75" x14ac:dyDescent="0.2">
      <c r="A625" s="95"/>
      <c r="B625" s="95"/>
    </row>
    <row r="626" spans="1:2" ht="12.75" x14ac:dyDescent="0.2">
      <c r="A626" s="95"/>
      <c r="B626" s="95"/>
    </row>
    <row r="627" spans="1:2" ht="12.75" x14ac:dyDescent="0.2">
      <c r="A627" s="95"/>
      <c r="B627" s="95"/>
    </row>
    <row r="628" spans="1:2" ht="12.75" x14ac:dyDescent="0.2">
      <c r="A628" s="95"/>
      <c r="B628" s="95"/>
    </row>
    <row r="629" spans="1:2" ht="12.75" x14ac:dyDescent="0.2">
      <c r="A629" s="95"/>
      <c r="B629" s="95"/>
    </row>
    <row r="630" spans="1:2" ht="12.75" x14ac:dyDescent="0.2">
      <c r="A630" s="95"/>
      <c r="B630" s="95"/>
    </row>
    <row r="631" spans="1:2" ht="12.75" x14ac:dyDescent="0.2">
      <c r="A631" s="95"/>
      <c r="B631" s="95"/>
    </row>
    <row r="632" spans="1:2" ht="12.75" x14ac:dyDescent="0.2">
      <c r="A632" s="95"/>
      <c r="B632" s="95"/>
    </row>
    <row r="633" spans="1:2" ht="12.75" x14ac:dyDescent="0.2">
      <c r="A633" s="95"/>
      <c r="B633" s="95"/>
    </row>
    <row r="634" spans="1:2" ht="12.75" x14ac:dyDescent="0.2">
      <c r="A634" s="95"/>
      <c r="B634" s="95"/>
    </row>
    <row r="635" spans="1:2" ht="12.75" x14ac:dyDescent="0.2">
      <c r="A635" s="95"/>
      <c r="B635" s="95"/>
    </row>
    <row r="636" spans="1:2" ht="12.75" x14ac:dyDescent="0.2">
      <c r="A636" s="95"/>
      <c r="B636" s="95"/>
    </row>
    <row r="637" spans="1:2" ht="12.75" x14ac:dyDescent="0.2">
      <c r="A637" s="95"/>
      <c r="B637" s="95"/>
    </row>
    <row r="638" spans="1:2" ht="12.75" x14ac:dyDescent="0.2">
      <c r="A638" s="95"/>
      <c r="B638" s="95"/>
    </row>
    <row r="639" spans="1:2" ht="12.75" x14ac:dyDescent="0.2">
      <c r="A639" s="95"/>
      <c r="B639" s="95"/>
    </row>
    <row r="640" spans="1:2" ht="12.75" x14ac:dyDescent="0.2">
      <c r="A640" s="95"/>
      <c r="B640" s="95"/>
    </row>
    <row r="641" spans="1:2" ht="12.75" x14ac:dyDescent="0.2">
      <c r="A641" s="95"/>
      <c r="B641" s="95"/>
    </row>
    <row r="642" spans="1:2" ht="12.75" x14ac:dyDescent="0.2">
      <c r="A642" s="95"/>
      <c r="B642" s="95"/>
    </row>
    <row r="643" spans="1:2" ht="12.75" x14ac:dyDescent="0.2">
      <c r="A643" s="95"/>
      <c r="B643" s="95"/>
    </row>
    <row r="644" spans="1:2" ht="12.75" x14ac:dyDescent="0.2">
      <c r="A644" s="95"/>
      <c r="B644" s="95"/>
    </row>
    <row r="645" spans="1:2" ht="12.75" x14ac:dyDescent="0.2">
      <c r="A645" s="95"/>
      <c r="B645" s="95"/>
    </row>
    <row r="646" spans="1:2" ht="12.75" x14ac:dyDescent="0.2">
      <c r="A646" s="95"/>
      <c r="B646" s="95"/>
    </row>
    <row r="647" spans="1:2" ht="12.75" x14ac:dyDescent="0.2">
      <c r="A647" s="95"/>
      <c r="B647" s="95"/>
    </row>
    <row r="648" spans="1:2" ht="12.75" x14ac:dyDescent="0.2">
      <c r="A648" s="95"/>
      <c r="B648" s="95"/>
    </row>
    <row r="649" spans="1:2" ht="12.75" x14ac:dyDescent="0.2">
      <c r="A649" s="95"/>
      <c r="B649" s="95"/>
    </row>
    <row r="650" spans="1:2" ht="12.75" x14ac:dyDescent="0.2">
      <c r="A650" s="95"/>
      <c r="B650" s="95"/>
    </row>
    <row r="651" spans="1:2" ht="12.75" x14ac:dyDescent="0.2">
      <c r="A651" s="95"/>
      <c r="B651" s="95"/>
    </row>
    <row r="652" spans="1:2" ht="12.75" x14ac:dyDescent="0.2">
      <c r="A652" s="95"/>
      <c r="B652" s="95"/>
    </row>
    <row r="653" spans="1:2" ht="12.75" x14ac:dyDescent="0.2">
      <c r="A653" s="95"/>
      <c r="B653" s="95"/>
    </row>
    <row r="654" spans="1:2" ht="12.75" x14ac:dyDescent="0.2">
      <c r="A654" s="95"/>
      <c r="B654" s="95"/>
    </row>
    <row r="655" spans="1:2" ht="12.75" x14ac:dyDescent="0.2">
      <c r="A655" s="95"/>
      <c r="B655" s="95"/>
    </row>
    <row r="656" spans="1:2" ht="12.75" x14ac:dyDescent="0.2">
      <c r="A656" s="95"/>
      <c r="B656" s="95"/>
    </row>
    <row r="657" spans="1:2" ht="12.75" x14ac:dyDescent="0.2">
      <c r="A657" s="95"/>
      <c r="B657" s="95"/>
    </row>
    <row r="658" spans="1:2" ht="12.75" x14ac:dyDescent="0.2">
      <c r="A658" s="95"/>
      <c r="B658" s="95"/>
    </row>
    <row r="659" spans="1:2" ht="12.75" x14ac:dyDescent="0.2">
      <c r="A659" s="95"/>
      <c r="B659" s="95"/>
    </row>
    <row r="660" spans="1:2" ht="12.75" x14ac:dyDescent="0.2">
      <c r="A660" s="95"/>
      <c r="B660" s="95"/>
    </row>
    <row r="661" spans="1:2" ht="12.75" x14ac:dyDescent="0.2">
      <c r="A661" s="95"/>
      <c r="B661" s="95"/>
    </row>
    <row r="662" spans="1:2" ht="12.75" x14ac:dyDescent="0.2">
      <c r="A662" s="95"/>
      <c r="B662" s="95"/>
    </row>
    <row r="663" spans="1:2" ht="12.75" x14ac:dyDescent="0.2">
      <c r="A663" s="95"/>
      <c r="B663" s="95"/>
    </row>
    <row r="664" spans="1:2" ht="12.75" x14ac:dyDescent="0.2">
      <c r="A664" s="95"/>
      <c r="B664" s="95"/>
    </row>
    <row r="665" spans="1:2" ht="12.75" x14ac:dyDescent="0.2">
      <c r="A665" s="95"/>
      <c r="B665" s="95"/>
    </row>
    <row r="666" spans="1:2" ht="12.75" x14ac:dyDescent="0.2">
      <c r="A666" s="95"/>
      <c r="B666" s="95"/>
    </row>
    <row r="667" spans="1:2" ht="12.75" x14ac:dyDescent="0.2">
      <c r="A667" s="95"/>
      <c r="B667" s="95"/>
    </row>
    <row r="668" spans="1:2" ht="12.75" x14ac:dyDescent="0.2">
      <c r="A668" s="95"/>
      <c r="B668" s="95"/>
    </row>
    <row r="669" spans="1:2" ht="12.75" x14ac:dyDescent="0.2">
      <c r="A669" s="95"/>
      <c r="B669" s="95"/>
    </row>
    <row r="670" spans="1:2" ht="12.75" x14ac:dyDescent="0.2">
      <c r="A670" s="95"/>
      <c r="B670" s="95"/>
    </row>
    <row r="671" spans="1:2" ht="12.75" x14ac:dyDescent="0.2">
      <c r="A671" s="95"/>
      <c r="B671" s="95"/>
    </row>
    <row r="672" spans="1:2" ht="12.75" x14ac:dyDescent="0.2">
      <c r="A672" s="95"/>
      <c r="B672" s="95"/>
    </row>
    <row r="673" spans="1:2" ht="12.75" x14ac:dyDescent="0.2">
      <c r="A673" s="95"/>
      <c r="B673" s="95"/>
    </row>
    <row r="674" spans="1:2" ht="12.75" x14ac:dyDescent="0.2">
      <c r="A674" s="95"/>
      <c r="B674" s="95"/>
    </row>
    <row r="675" spans="1:2" ht="12.75" x14ac:dyDescent="0.2">
      <c r="A675" s="95"/>
      <c r="B675" s="95"/>
    </row>
    <row r="676" spans="1:2" ht="12.75" x14ac:dyDescent="0.2">
      <c r="A676" s="95"/>
      <c r="B676" s="95"/>
    </row>
    <row r="677" spans="1:2" ht="12.75" x14ac:dyDescent="0.2">
      <c r="A677" s="95"/>
      <c r="B677" s="95"/>
    </row>
    <row r="678" spans="1:2" ht="12.75" x14ac:dyDescent="0.2">
      <c r="A678" s="95"/>
      <c r="B678" s="95"/>
    </row>
    <row r="679" spans="1:2" ht="12.75" x14ac:dyDescent="0.2">
      <c r="A679" s="95"/>
      <c r="B679" s="95"/>
    </row>
    <row r="680" spans="1:2" ht="12.75" x14ac:dyDescent="0.2">
      <c r="A680" s="95"/>
      <c r="B680" s="95"/>
    </row>
    <row r="681" spans="1:2" ht="12.75" x14ac:dyDescent="0.2">
      <c r="A681" s="95"/>
      <c r="B681" s="95"/>
    </row>
    <row r="682" spans="1:2" ht="12.75" x14ac:dyDescent="0.2">
      <c r="A682" s="95"/>
      <c r="B682" s="95"/>
    </row>
    <row r="683" spans="1:2" ht="12.75" x14ac:dyDescent="0.2">
      <c r="A683" s="95"/>
      <c r="B683" s="95"/>
    </row>
    <row r="684" spans="1:2" ht="12.75" x14ac:dyDescent="0.2">
      <c r="A684" s="95"/>
      <c r="B684" s="95"/>
    </row>
    <row r="685" spans="1:2" ht="12.75" x14ac:dyDescent="0.2">
      <c r="A685" s="95"/>
      <c r="B685" s="95"/>
    </row>
    <row r="686" spans="1:2" ht="12.75" x14ac:dyDescent="0.2">
      <c r="A686" s="95"/>
      <c r="B686" s="95"/>
    </row>
    <row r="687" spans="1:2" ht="12.75" x14ac:dyDescent="0.2">
      <c r="A687" s="95"/>
      <c r="B687" s="95"/>
    </row>
    <row r="688" spans="1:2" ht="12.75" x14ac:dyDescent="0.2">
      <c r="A688" s="95"/>
      <c r="B688" s="95"/>
    </row>
    <row r="689" spans="1:2" ht="12.75" x14ac:dyDescent="0.2">
      <c r="A689" s="95"/>
      <c r="B689" s="95"/>
    </row>
    <row r="690" spans="1:2" ht="12.75" x14ac:dyDescent="0.2">
      <c r="A690" s="95"/>
      <c r="B690" s="95"/>
    </row>
    <row r="691" spans="1:2" ht="12.75" x14ac:dyDescent="0.2">
      <c r="A691" s="95"/>
      <c r="B691" s="95"/>
    </row>
    <row r="692" spans="1:2" ht="12.75" x14ac:dyDescent="0.2">
      <c r="A692" s="95"/>
      <c r="B692" s="95"/>
    </row>
    <row r="693" spans="1:2" ht="12.75" x14ac:dyDescent="0.2">
      <c r="A693" s="95"/>
      <c r="B693" s="95"/>
    </row>
    <row r="694" spans="1:2" ht="12.75" x14ac:dyDescent="0.2">
      <c r="A694" s="95"/>
      <c r="B694" s="95"/>
    </row>
    <row r="695" spans="1:2" ht="12.75" x14ac:dyDescent="0.2">
      <c r="A695" s="95"/>
      <c r="B695" s="95"/>
    </row>
    <row r="696" spans="1:2" ht="12.75" x14ac:dyDescent="0.2">
      <c r="A696" s="95"/>
      <c r="B696" s="95"/>
    </row>
    <row r="697" spans="1:2" ht="12.75" x14ac:dyDescent="0.2">
      <c r="A697" s="95"/>
      <c r="B697" s="95"/>
    </row>
    <row r="698" spans="1:2" ht="12.75" x14ac:dyDescent="0.2">
      <c r="A698" s="95"/>
      <c r="B698" s="95"/>
    </row>
    <row r="699" spans="1:2" ht="12.75" x14ac:dyDescent="0.2">
      <c r="A699" s="95"/>
      <c r="B699" s="95"/>
    </row>
    <row r="700" spans="1:2" ht="12.75" x14ac:dyDescent="0.2">
      <c r="A700" s="95"/>
      <c r="B700" s="95"/>
    </row>
    <row r="701" spans="1:2" ht="12.75" x14ac:dyDescent="0.2">
      <c r="A701" s="95"/>
      <c r="B701" s="95"/>
    </row>
    <row r="702" spans="1:2" ht="12.75" x14ac:dyDescent="0.2">
      <c r="A702" s="95"/>
      <c r="B702" s="95"/>
    </row>
    <row r="703" spans="1:2" ht="12.75" x14ac:dyDescent="0.2">
      <c r="A703" s="95"/>
      <c r="B703" s="95"/>
    </row>
    <row r="704" spans="1:2" ht="12.75" x14ac:dyDescent="0.2">
      <c r="A704" s="95"/>
      <c r="B704" s="95"/>
    </row>
    <row r="705" spans="1:2" ht="12.75" x14ac:dyDescent="0.2">
      <c r="A705" s="95"/>
      <c r="B705" s="95"/>
    </row>
    <row r="706" spans="1:2" ht="12.75" x14ac:dyDescent="0.2">
      <c r="A706" s="95"/>
      <c r="B706" s="95"/>
    </row>
    <row r="707" spans="1:2" ht="12.75" x14ac:dyDescent="0.2">
      <c r="A707" s="95"/>
      <c r="B707" s="95"/>
    </row>
    <row r="708" spans="1:2" ht="12.75" x14ac:dyDescent="0.2">
      <c r="A708" s="95"/>
      <c r="B708" s="95"/>
    </row>
    <row r="709" spans="1:2" ht="12.75" x14ac:dyDescent="0.2">
      <c r="A709" s="95"/>
      <c r="B709" s="95"/>
    </row>
    <row r="710" spans="1:2" ht="12.75" x14ac:dyDescent="0.2">
      <c r="A710" s="95"/>
      <c r="B710" s="95"/>
    </row>
    <row r="711" spans="1:2" ht="12.75" x14ac:dyDescent="0.2">
      <c r="A711" s="95"/>
      <c r="B711" s="95"/>
    </row>
    <row r="712" spans="1:2" ht="12.75" x14ac:dyDescent="0.2">
      <c r="A712" s="95"/>
      <c r="B712" s="95"/>
    </row>
    <row r="713" spans="1:2" ht="12.75" x14ac:dyDescent="0.2">
      <c r="A713" s="95"/>
      <c r="B713" s="95"/>
    </row>
    <row r="714" spans="1:2" ht="12.75" x14ac:dyDescent="0.2">
      <c r="A714" s="95"/>
      <c r="B714" s="95"/>
    </row>
    <row r="715" spans="1:2" ht="12.75" x14ac:dyDescent="0.2">
      <c r="A715" s="95"/>
      <c r="B715" s="95"/>
    </row>
    <row r="716" spans="1:2" ht="12.75" x14ac:dyDescent="0.2">
      <c r="A716" s="95"/>
      <c r="B716" s="95"/>
    </row>
    <row r="717" spans="1:2" ht="12.75" x14ac:dyDescent="0.2">
      <c r="A717" s="95"/>
      <c r="B717" s="95"/>
    </row>
    <row r="718" spans="1:2" ht="12.75" x14ac:dyDescent="0.2">
      <c r="A718" s="95"/>
      <c r="B718" s="95"/>
    </row>
    <row r="719" spans="1:2" ht="12.75" x14ac:dyDescent="0.2">
      <c r="A719" s="95"/>
      <c r="B719" s="95"/>
    </row>
    <row r="720" spans="1:2" ht="12.75" x14ac:dyDescent="0.2">
      <c r="A720" s="95"/>
      <c r="B720" s="95"/>
    </row>
    <row r="721" spans="1:2" ht="12.75" x14ac:dyDescent="0.2">
      <c r="A721" s="95"/>
      <c r="B721" s="95"/>
    </row>
    <row r="722" spans="1:2" ht="12.75" x14ac:dyDescent="0.2">
      <c r="A722" s="95"/>
      <c r="B722" s="95"/>
    </row>
    <row r="723" spans="1:2" ht="12.75" x14ac:dyDescent="0.2">
      <c r="A723" s="95"/>
      <c r="B723" s="95"/>
    </row>
    <row r="724" spans="1:2" ht="12.75" x14ac:dyDescent="0.2">
      <c r="A724" s="95"/>
      <c r="B724" s="95"/>
    </row>
    <row r="725" spans="1:2" ht="12.75" x14ac:dyDescent="0.2">
      <c r="A725" s="95"/>
      <c r="B725" s="95"/>
    </row>
    <row r="726" spans="1:2" ht="12.75" x14ac:dyDescent="0.2">
      <c r="A726" s="95"/>
      <c r="B726" s="95"/>
    </row>
    <row r="727" spans="1:2" ht="12.75" x14ac:dyDescent="0.2">
      <c r="A727" s="95"/>
      <c r="B727" s="95"/>
    </row>
    <row r="728" spans="1:2" ht="12.75" x14ac:dyDescent="0.2">
      <c r="A728" s="95"/>
      <c r="B728" s="95"/>
    </row>
    <row r="729" spans="1:2" ht="12.75" x14ac:dyDescent="0.2">
      <c r="A729" s="95"/>
      <c r="B729" s="95"/>
    </row>
    <row r="730" spans="1:2" ht="12.75" x14ac:dyDescent="0.2">
      <c r="A730" s="95"/>
      <c r="B730" s="95"/>
    </row>
    <row r="731" spans="1:2" ht="12.75" x14ac:dyDescent="0.2">
      <c r="A731" s="95"/>
      <c r="B731" s="95"/>
    </row>
    <row r="732" spans="1:2" ht="12.75" x14ac:dyDescent="0.2">
      <c r="A732" s="95"/>
      <c r="B732" s="95"/>
    </row>
    <row r="733" spans="1:2" ht="12.75" x14ac:dyDescent="0.2">
      <c r="A733" s="95"/>
      <c r="B733" s="95"/>
    </row>
    <row r="734" spans="1:2" ht="12.75" x14ac:dyDescent="0.2">
      <c r="A734" s="95"/>
      <c r="B734" s="95"/>
    </row>
    <row r="735" spans="1:2" ht="12.75" x14ac:dyDescent="0.2">
      <c r="A735" s="95"/>
      <c r="B735" s="95"/>
    </row>
    <row r="736" spans="1:2" ht="12.75" x14ac:dyDescent="0.2">
      <c r="A736" s="95"/>
      <c r="B736" s="95"/>
    </row>
    <row r="737" spans="1:2" ht="12.75" x14ac:dyDescent="0.2">
      <c r="A737" s="95"/>
      <c r="B737" s="95"/>
    </row>
    <row r="738" spans="1:2" ht="12.75" x14ac:dyDescent="0.2">
      <c r="A738" s="95"/>
      <c r="B738" s="95"/>
    </row>
    <row r="739" spans="1:2" ht="12.75" x14ac:dyDescent="0.2">
      <c r="A739" s="95"/>
      <c r="B739" s="95"/>
    </row>
    <row r="740" spans="1:2" ht="12.75" x14ac:dyDescent="0.2">
      <c r="A740" s="95"/>
      <c r="B740" s="95"/>
    </row>
    <row r="741" spans="1:2" ht="12.75" x14ac:dyDescent="0.2">
      <c r="A741" s="95"/>
      <c r="B741" s="95"/>
    </row>
    <row r="742" spans="1:2" ht="12.75" x14ac:dyDescent="0.2">
      <c r="A742" s="95"/>
      <c r="B742" s="95"/>
    </row>
    <row r="743" spans="1:2" ht="12.75" x14ac:dyDescent="0.2">
      <c r="A743" s="95"/>
      <c r="B743" s="95"/>
    </row>
    <row r="744" spans="1:2" ht="12.75" x14ac:dyDescent="0.2">
      <c r="A744" s="95"/>
      <c r="B744" s="95"/>
    </row>
    <row r="745" spans="1:2" ht="12.75" x14ac:dyDescent="0.2">
      <c r="A745" s="95"/>
      <c r="B745" s="95"/>
    </row>
    <row r="746" spans="1:2" ht="12.75" x14ac:dyDescent="0.2">
      <c r="A746" s="95"/>
      <c r="B746" s="95"/>
    </row>
    <row r="747" spans="1:2" ht="12.75" x14ac:dyDescent="0.2">
      <c r="A747" s="95"/>
      <c r="B747" s="95"/>
    </row>
    <row r="748" spans="1:2" ht="12.75" x14ac:dyDescent="0.2">
      <c r="A748" s="95"/>
      <c r="B748" s="95"/>
    </row>
    <row r="749" spans="1:2" ht="12.75" x14ac:dyDescent="0.2">
      <c r="A749" s="95"/>
      <c r="B749" s="95"/>
    </row>
    <row r="750" spans="1:2" ht="12.75" x14ac:dyDescent="0.2">
      <c r="A750" s="95"/>
      <c r="B750" s="95"/>
    </row>
    <row r="751" spans="1:2" ht="12.75" x14ac:dyDescent="0.2">
      <c r="A751" s="95"/>
      <c r="B751" s="95"/>
    </row>
    <row r="752" spans="1:2" ht="12.75" x14ac:dyDescent="0.2">
      <c r="A752" s="95"/>
      <c r="B752" s="95"/>
    </row>
    <row r="753" spans="1:2" ht="12.75" x14ac:dyDescent="0.2">
      <c r="A753" s="95"/>
      <c r="B753" s="95"/>
    </row>
    <row r="754" spans="1:2" ht="12.75" x14ac:dyDescent="0.2">
      <c r="A754" s="95"/>
      <c r="B754" s="95"/>
    </row>
    <row r="755" spans="1:2" ht="12.75" x14ac:dyDescent="0.2">
      <c r="A755" s="95"/>
      <c r="B755" s="95"/>
    </row>
    <row r="756" spans="1:2" ht="12.75" x14ac:dyDescent="0.2">
      <c r="A756" s="95"/>
      <c r="B756" s="95"/>
    </row>
    <row r="757" spans="1:2" ht="12.75" x14ac:dyDescent="0.2">
      <c r="A757" s="95"/>
      <c r="B757" s="95"/>
    </row>
    <row r="758" spans="1:2" ht="12.75" x14ac:dyDescent="0.2">
      <c r="A758" s="95"/>
      <c r="B758" s="95"/>
    </row>
    <row r="759" spans="1:2" ht="12.75" x14ac:dyDescent="0.2">
      <c r="A759" s="95"/>
      <c r="B759" s="95"/>
    </row>
    <row r="760" spans="1:2" ht="12.75" x14ac:dyDescent="0.2">
      <c r="A760" s="95"/>
      <c r="B760" s="95"/>
    </row>
    <row r="761" spans="1:2" ht="12.75" x14ac:dyDescent="0.2">
      <c r="A761" s="95"/>
      <c r="B761" s="95"/>
    </row>
    <row r="762" spans="1:2" ht="12.75" x14ac:dyDescent="0.2">
      <c r="A762" s="95"/>
      <c r="B762" s="95"/>
    </row>
    <row r="763" spans="1:2" ht="12.75" x14ac:dyDescent="0.2">
      <c r="A763" s="95"/>
      <c r="B763" s="95"/>
    </row>
    <row r="764" spans="1:2" ht="12.75" x14ac:dyDescent="0.2">
      <c r="A764" s="95"/>
      <c r="B764" s="95"/>
    </row>
    <row r="765" spans="1:2" ht="12.75" x14ac:dyDescent="0.2">
      <c r="A765" s="95"/>
      <c r="B765" s="95"/>
    </row>
    <row r="766" spans="1:2" ht="12.75" x14ac:dyDescent="0.2">
      <c r="A766" s="95"/>
      <c r="B766" s="95"/>
    </row>
    <row r="767" spans="1:2" ht="12.75" x14ac:dyDescent="0.2">
      <c r="A767" s="95"/>
      <c r="B767" s="95"/>
    </row>
    <row r="768" spans="1:2" ht="12.75" x14ac:dyDescent="0.2">
      <c r="A768" s="95"/>
      <c r="B768" s="95"/>
    </row>
    <row r="769" spans="1:2" ht="12.75" x14ac:dyDescent="0.2">
      <c r="A769" s="95"/>
      <c r="B769" s="95"/>
    </row>
    <row r="770" spans="1:2" ht="12.75" x14ac:dyDescent="0.2">
      <c r="A770" s="95"/>
      <c r="B770" s="95"/>
    </row>
    <row r="771" spans="1:2" ht="12.75" x14ac:dyDescent="0.2">
      <c r="A771" s="95"/>
      <c r="B771" s="95"/>
    </row>
    <row r="772" spans="1:2" ht="12.75" x14ac:dyDescent="0.2">
      <c r="A772" s="95"/>
      <c r="B772" s="95"/>
    </row>
    <row r="773" spans="1:2" ht="12.75" x14ac:dyDescent="0.2">
      <c r="A773" s="95"/>
      <c r="B773" s="95"/>
    </row>
    <row r="774" spans="1:2" ht="12.75" x14ac:dyDescent="0.2">
      <c r="A774" s="95"/>
      <c r="B774" s="95"/>
    </row>
    <row r="775" spans="1:2" ht="12.75" x14ac:dyDescent="0.2">
      <c r="A775" s="95"/>
      <c r="B775" s="95"/>
    </row>
    <row r="776" spans="1:2" ht="12.75" x14ac:dyDescent="0.2">
      <c r="A776" s="95"/>
      <c r="B776" s="95"/>
    </row>
    <row r="777" spans="1:2" ht="12.75" x14ac:dyDescent="0.2">
      <c r="A777" s="95"/>
      <c r="B777" s="95"/>
    </row>
    <row r="778" spans="1:2" ht="12.75" x14ac:dyDescent="0.2">
      <c r="A778" s="95"/>
      <c r="B778" s="95"/>
    </row>
    <row r="779" spans="1:2" ht="12.75" x14ac:dyDescent="0.2">
      <c r="A779" s="95"/>
      <c r="B779" s="95"/>
    </row>
    <row r="780" spans="1:2" ht="12.75" x14ac:dyDescent="0.2">
      <c r="A780" s="95"/>
      <c r="B780" s="95"/>
    </row>
    <row r="781" spans="1:2" ht="12.75" x14ac:dyDescent="0.2">
      <c r="A781" s="95"/>
      <c r="B781" s="95"/>
    </row>
    <row r="782" spans="1:2" ht="12.75" x14ac:dyDescent="0.2">
      <c r="A782" s="95"/>
      <c r="B782" s="95"/>
    </row>
    <row r="783" spans="1:2" ht="12.75" x14ac:dyDescent="0.2">
      <c r="A783" s="95"/>
      <c r="B783" s="95"/>
    </row>
    <row r="784" spans="1:2" ht="12.75" x14ac:dyDescent="0.2">
      <c r="A784" s="95"/>
      <c r="B784" s="95"/>
    </row>
    <row r="785" spans="1:2" ht="12.75" x14ac:dyDescent="0.2">
      <c r="A785" s="95"/>
      <c r="B785" s="95"/>
    </row>
    <row r="786" spans="1:2" ht="12.75" x14ac:dyDescent="0.2">
      <c r="A786" s="95"/>
      <c r="B786" s="95"/>
    </row>
    <row r="787" spans="1:2" ht="12.75" x14ac:dyDescent="0.2">
      <c r="A787" s="95"/>
      <c r="B787" s="95"/>
    </row>
    <row r="788" spans="1:2" ht="12.75" x14ac:dyDescent="0.2">
      <c r="A788" s="95"/>
      <c r="B788" s="95"/>
    </row>
    <row r="789" spans="1:2" ht="12.75" x14ac:dyDescent="0.2">
      <c r="A789" s="95"/>
      <c r="B789" s="95"/>
    </row>
    <row r="790" spans="1:2" ht="12.75" x14ac:dyDescent="0.2">
      <c r="A790" s="95"/>
      <c r="B790" s="95"/>
    </row>
    <row r="791" spans="1:2" ht="12.75" x14ac:dyDescent="0.2">
      <c r="A791" s="95"/>
      <c r="B791" s="95"/>
    </row>
    <row r="792" spans="1:2" ht="12.75" x14ac:dyDescent="0.2">
      <c r="A792" s="95"/>
      <c r="B792" s="95"/>
    </row>
    <row r="793" spans="1:2" ht="12.75" x14ac:dyDescent="0.2">
      <c r="A793" s="95"/>
      <c r="B793" s="95"/>
    </row>
    <row r="794" spans="1:2" ht="12.75" x14ac:dyDescent="0.2">
      <c r="A794" s="95"/>
      <c r="B794" s="95"/>
    </row>
    <row r="795" spans="1:2" ht="12.75" x14ac:dyDescent="0.2">
      <c r="A795" s="95"/>
      <c r="B795" s="95"/>
    </row>
    <row r="796" spans="1:2" ht="12.75" x14ac:dyDescent="0.2">
      <c r="A796" s="95"/>
      <c r="B796" s="95"/>
    </row>
    <row r="797" spans="1:2" ht="12.75" x14ac:dyDescent="0.2">
      <c r="A797" s="95"/>
      <c r="B797" s="95"/>
    </row>
    <row r="798" spans="1:2" ht="12.75" x14ac:dyDescent="0.2">
      <c r="A798" s="95"/>
      <c r="B798" s="95"/>
    </row>
    <row r="799" spans="1:2" ht="12.75" x14ac:dyDescent="0.2">
      <c r="A799" s="95"/>
      <c r="B799" s="95"/>
    </row>
    <row r="800" spans="1:2" ht="12.75" x14ac:dyDescent="0.2">
      <c r="A800" s="95"/>
      <c r="B800" s="95"/>
    </row>
    <row r="801" spans="1:2" ht="12.75" x14ac:dyDescent="0.2">
      <c r="A801" s="95"/>
      <c r="B801" s="95"/>
    </row>
    <row r="802" spans="1:2" ht="12.75" x14ac:dyDescent="0.2">
      <c r="A802" s="95"/>
      <c r="B802" s="95"/>
    </row>
    <row r="803" spans="1:2" ht="12.75" x14ac:dyDescent="0.2">
      <c r="A803" s="95"/>
      <c r="B803" s="95"/>
    </row>
    <row r="804" spans="1:2" ht="12.75" x14ac:dyDescent="0.2">
      <c r="A804" s="95"/>
      <c r="B804" s="95"/>
    </row>
    <row r="805" spans="1:2" ht="12.75" x14ac:dyDescent="0.2">
      <c r="A805" s="95"/>
      <c r="B805" s="95"/>
    </row>
    <row r="806" spans="1:2" ht="12.75" x14ac:dyDescent="0.2">
      <c r="A806" s="95"/>
      <c r="B806" s="95"/>
    </row>
    <row r="807" spans="1:2" ht="12.75" x14ac:dyDescent="0.2">
      <c r="A807" s="95"/>
      <c r="B807" s="95"/>
    </row>
    <row r="808" spans="1:2" ht="12.75" x14ac:dyDescent="0.2">
      <c r="A808" s="95"/>
      <c r="B808" s="95"/>
    </row>
    <row r="809" spans="1:2" ht="12.75" x14ac:dyDescent="0.2">
      <c r="A809" s="95"/>
      <c r="B809" s="95"/>
    </row>
    <row r="810" spans="1:2" ht="12.75" x14ac:dyDescent="0.2">
      <c r="A810" s="95"/>
      <c r="B810" s="95"/>
    </row>
    <row r="811" spans="1:2" ht="12.75" x14ac:dyDescent="0.2">
      <c r="A811" s="95"/>
      <c r="B811" s="95"/>
    </row>
    <row r="812" spans="1:2" ht="12.75" x14ac:dyDescent="0.2">
      <c r="A812" s="95"/>
      <c r="B812" s="95"/>
    </row>
    <row r="813" spans="1:2" ht="12.75" x14ac:dyDescent="0.2">
      <c r="A813" s="95"/>
      <c r="B813" s="95"/>
    </row>
    <row r="814" spans="1:2" ht="12.75" x14ac:dyDescent="0.2">
      <c r="A814" s="95"/>
      <c r="B814" s="95"/>
    </row>
    <row r="815" spans="1:2" ht="12.75" x14ac:dyDescent="0.2">
      <c r="A815" s="95"/>
      <c r="B815" s="95"/>
    </row>
    <row r="816" spans="1:2" ht="12.75" x14ac:dyDescent="0.2">
      <c r="A816" s="95"/>
      <c r="B816" s="95"/>
    </row>
    <row r="817" spans="1:2" ht="12.75" x14ac:dyDescent="0.2">
      <c r="A817" s="95"/>
      <c r="B817" s="95"/>
    </row>
    <row r="818" spans="1:2" ht="12.75" x14ac:dyDescent="0.2">
      <c r="A818" s="95"/>
      <c r="B818" s="95"/>
    </row>
    <row r="819" spans="1:2" ht="12.75" x14ac:dyDescent="0.2">
      <c r="A819" s="95"/>
      <c r="B819" s="95"/>
    </row>
    <row r="820" spans="1:2" ht="12.75" x14ac:dyDescent="0.2">
      <c r="A820" s="95"/>
      <c r="B820" s="95"/>
    </row>
    <row r="821" spans="1:2" ht="12.75" x14ac:dyDescent="0.2">
      <c r="A821" s="95"/>
      <c r="B821" s="95"/>
    </row>
    <row r="822" spans="1:2" ht="12.75" x14ac:dyDescent="0.2">
      <c r="A822" s="95"/>
      <c r="B822" s="95"/>
    </row>
    <row r="823" spans="1:2" ht="12.75" x14ac:dyDescent="0.2">
      <c r="A823" s="95"/>
      <c r="B823" s="95"/>
    </row>
    <row r="824" spans="1:2" ht="12.75" x14ac:dyDescent="0.2">
      <c r="A824" s="95"/>
      <c r="B824" s="95"/>
    </row>
    <row r="825" spans="1:2" ht="12.75" x14ac:dyDescent="0.2">
      <c r="A825" s="95"/>
      <c r="B825" s="95"/>
    </row>
    <row r="826" spans="1:2" ht="12.75" x14ac:dyDescent="0.2">
      <c r="A826" s="95"/>
      <c r="B826" s="95"/>
    </row>
    <row r="827" spans="1:2" ht="12.75" x14ac:dyDescent="0.2">
      <c r="A827" s="95"/>
      <c r="B827" s="95"/>
    </row>
    <row r="828" spans="1:2" ht="12.75" x14ac:dyDescent="0.2">
      <c r="A828" s="95"/>
      <c r="B828" s="95"/>
    </row>
    <row r="829" spans="1:2" ht="12.75" x14ac:dyDescent="0.2">
      <c r="A829" s="95"/>
      <c r="B829" s="95"/>
    </row>
    <row r="830" spans="1:2" ht="12.75" x14ac:dyDescent="0.2">
      <c r="A830" s="95"/>
      <c r="B830" s="95"/>
    </row>
    <row r="831" spans="1:2" ht="12.75" x14ac:dyDescent="0.2">
      <c r="A831" s="95"/>
      <c r="B831" s="95"/>
    </row>
    <row r="832" spans="1:2" ht="12.75" x14ac:dyDescent="0.2">
      <c r="A832" s="95"/>
      <c r="B832" s="95"/>
    </row>
    <row r="833" spans="1:2" ht="12.75" x14ac:dyDescent="0.2">
      <c r="A833" s="95"/>
      <c r="B833" s="95"/>
    </row>
    <row r="834" spans="1:2" ht="12.75" x14ac:dyDescent="0.2">
      <c r="A834" s="95"/>
      <c r="B834" s="95"/>
    </row>
    <row r="835" spans="1:2" ht="12.75" x14ac:dyDescent="0.2">
      <c r="A835" s="95"/>
      <c r="B835" s="95"/>
    </row>
    <row r="836" spans="1:2" ht="12.75" x14ac:dyDescent="0.2">
      <c r="A836" s="95"/>
      <c r="B836" s="95"/>
    </row>
    <row r="837" spans="1:2" ht="12.75" x14ac:dyDescent="0.2">
      <c r="A837" s="95"/>
      <c r="B837" s="95"/>
    </row>
    <row r="838" spans="1:2" ht="12.75" x14ac:dyDescent="0.2">
      <c r="A838" s="95"/>
      <c r="B838" s="95"/>
    </row>
    <row r="839" spans="1:2" ht="12.75" x14ac:dyDescent="0.2">
      <c r="A839" s="95"/>
      <c r="B839" s="95"/>
    </row>
    <row r="840" spans="1:2" ht="12.75" x14ac:dyDescent="0.2">
      <c r="A840" s="95"/>
      <c r="B840" s="95"/>
    </row>
    <row r="841" spans="1:2" ht="12.75" x14ac:dyDescent="0.2">
      <c r="A841" s="95"/>
      <c r="B841" s="95"/>
    </row>
    <row r="842" spans="1:2" ht="12.75" x14ac:dyDescent="0.2">
      <c r="A842" s="95"/>
      <c r="B842" s="95"/>
    </row>
    <row r="843" spans="1:2" ht="12.75" x14ac:dyDescent="0.2">
      <c r="A843" s="95"/>
      <c r="B843" s="95"/>
    </row>
    <row r="844" spans="1:2" ht="12.75" x14ac:dyDescent="0.2">
      <c r="A844" s="95"/>
      <c r="B844" s="95"/>
    </row>
    <row r="845" spans="1:2" ht="12.75" x14ac:dyDescent="0.2">
      <c r="A845" s="95"/>
      <c r="B845" s="95"/>
    </row>
    <row r="846" spans="1:2" ht="12.75" x14ac:dyDescent="0.2">
      <c r="A846" s="95"/>
      <c r="B846" s="95"/>
    </row>
    <row r="847" spans="1:2" ht="12.75" x14ac:dyDescent="0.2">
      <c r="A847" s="95"/>
      <c r="B847" s="95"/>
    </row>
    <row r="848" spans="1:2" ht="12.75" x14ac:dyDescent="0.2">
      <c r="A848" s="95"/>
      <c r="B848" s="95"/>
    </row>
    <row r="849" spans="1:2" ht="12.75" x14ac:dyDescent="0.2">
      <c r="A849" s="95"/>
      <c r="B849" s="95"/>
    </row>
    <row r="850" spans="1:2" ht="12.75" x14ac:dyDescent="0.2">
      <c r="A850" s="95"/>
      <c r="B850" s="95"/>
    </row>
    <row r="851" spans="1:2" ht="12.75" x14ac:dyDescent="0.2">
      <c r="A851" s="95"/>
      <c r="B851" s="95"/>
    </row>
    <row r="852" spans="1:2" ht="12.75" x14ac:dyDescent="0.2">
      <c r="A852" s="95"/>
      <c r="B852" s="95"/>
    </row>
    <row r="853" spans="1:2" ht="12.75" x14ac:dyDescent="0.2">
      <c r="A853" s="95"/>
      <c r="B853" s="95"/>
    </row>
    <row r="854" spans="1:2" ht="12.75" x14ac:dyDescent="0.2">
      <c r="A854" s="95"/>
      <c r="B854" s="95"/>
    </row>
    <row r="855" spans="1:2" ht="12.75" x14ac:dyDescent="0.2">
      <c r="A855" s="95"/>
      <c r="B855" s="95"/>
    </row>
    <row r="856" spans="1:2" ht="12.75" x14ac:dyDescent="0.2">
      <c r="A856" s="95"/>
      <c r="B856" s="95"/>
    </row>
    <row r="857" spans="1:2" ht="12.75" x14ac:dyDescent="0.2">
      <c r="A857" s="95"/>
      <c r="B857" s="95"/>
    </row>
    <row r="858" spans="1:2" ht="12.75" x14ac:dyDescent="0.2">
      <c r="A858" s="95"/>
      <c r="B858" s="95"/>
    </row>
    <row r="859" spans="1:2" ht="12.75" x14ac:dyDescent="0.2">
      <c r="A859" s="95"/>
      <c r="B859" s="95"/>
    </row>
    <row r="860" spans="1:2" ht="12.75" x14ac:dyDescent="0.2">
      <c r="A860" s="95"/>
      <c r="B860" s="95"/>
    </row>
    <row r="861" spans="1:2" ht="12.75" x14ac:dyDescent="0.2">
      <c r="A861" s="95"/>
      <c r="B861" s="95"/>
    </row>
    <row r="862" spans="1:2" ht="12.75" x14ac:dyDescent="0.2">
      <c r="A862" s="95"/>
      <c r="B862" s="95"/>
    </row>
    <row r="863" spans="1:2" ht="12.75" x14ac:dyDescent="0.2">
      <c r="A863" s="95"/>
      <c r="B863" s="95"/>
    </row>
    <row r="864" spans="1:2" ht="12.75" x14ac:dyDescent="0.2">
      <c r="A864" s="95"/>
      <c r="B864" s="95"/>
    </row>
    <row r="865" spans="1:2" ht="12.75" x14ac:dyDescent="0.2">
      <c r="A865" s="95"/>
      <c r="B865" s="95"/>
    </row>
    <row r="866" spans="1:2" ht="12.75" x14ac:dyDescent="0.2">
      <c r="A866" s="95"/>
      <c r="B866" s="95"/>
    </row>
    <row r="867" spans="1:2" ht="12.75" x14ac:dyDescent="0.2">
      <c r="A867" s="95"/>
      <c r="B867" s="95"/>
    </row>
    <row r="868" spans="1:2" ht="12.75" x14ac:dyDescent="0.2">
      <c r="A868" s="95"/>
      <c r="B868" s="95"/>
    </row>
    <row r="869" spans="1:2" ht="12.75" x14ac:dyDescent="0.2">
      <c r="A869" s="95"/>
      <c r="B869" s="95"/>
    </row>
    <row r="870" spans="1:2" ht="12.75" x14ac:dyDescent="0.2">
      <c r="A870" s="95"/>
      <c r="B870" s="95"/>
    </row>
    <row r="871" spans="1:2" ht="12.75" x14ac:dyDescent="0.2">
      <c r="A871" s="95"/>
      <c r="B871" s="95"/>
    </row>
    <row r="872" spans="1:2" ht="12.75" x14ac:dyDescent="0.2">
      <c r="A872" s="95"/>
      <c r="B872" s="95"/>
    </row>
    <row r="873" spans="1:2" ht="12.75" x14ac:dyDescent="0.2">
      <c r="A873" s="95"/>
      <c r="B873" s="95"/>
    </row>
    <row r="874" spans="1:2" ht="12.75" x14ac:dyDescent="0.2">
      <c r="A874" s="95"/>
      <c r="B874" s="95"/>
    </row>
    <row r="875" spans="1:2" ht="12.75" x14ac:dyDescent="0.2">
      <c r="A875" s="95"/>
      <c r="B875" s="95"/>
    </row>
    <row r="876" spans="1:2" ht="12.75" x14ac:dyDescent="0.2">
      <c r="A876" s="95"/>
      <c r="B876" s="95"/>
    </row>
    <row r="877" spans="1:2" ht="12.75" x14ac:dyDescent="0.2">
      <c r="A877" s="95"/>
      <c r="B877" s="95"/>
    </row>
    <row r="878" spans="1:2" ht="12.75" x14ac:dyDescent="0.2">
      <c r="A878" s="95"/>
      <c r="B878" s="95"/>
    </row>
    <row r="879" spans="1:2" ht="12.75" x14ac:dyDescent="0.2">
      <c r="A879" s="95"/>
      <c r="B879" s="95"/>
    </row>
    <row r="880" spans="1:2" ht="12.75" x14ac:dyDescent="0.2">
      <c r="A880" s="95"/>
      <c r="B880" s="95"/>
    </row>
    <row r="881" spans="1:2" ht="12.75" x14ac:dyDescent="0.2">
      <c r="A881" s="95"/>
      <c r="B881" s="95"/>
    </row>
    <row r="882" spans="1:2" ht="12.75" x14ac:dyDescent="0.2">
      <c r="A882" s="95"/>
      <c r="B882" s="95"/>
    </row>
    <row r="883" spans="1:2" ht="12.75" x14ac:dyDescent="0.2">
      <c r="A883" s="95"/>
      <c r="B883" s="95"/>
    </row>
    <row r="884" spans="1:2" ht="12.75" x14ac:dyDescent="0.2">
      <c r="A884" s="95"/>
      <c r="B884" s="95"/>
    </row>
    <row r="885" spans="1:2" ht="12.75" x14ac:dyDescent="0.2">
      <c r="A885" s="95"/>
      <c r="B885" s="95"/>
    </row>
    <row r="886" spans="1:2" ht="12.75" x14ac:dyDescent="0.2">
      <c r="A886" s="95"/>
      <c r="B886" s="95"/>
    </row>
    <row r="887" spans="1:2" ht="12.75" x14ac:dyDescent="0.2">
      <c r="A887" s="95"/>
      <c r="B887" s="95"/>
    </row>
    <row r="888" spans="1:2" ht="12.75" x14ac:dyDescent="0.2">
      <c r="A888" s="95"/>
      <c r="B888" s="95"/>
    </row>
    <row r="889" spans="1:2" ht="12.75" x14ac:dyDescent="0.2">
      <c r="A889" s="95"/>
      <c r="B889" s="95"/>
    </row>
    <row r="890" spans="1:2" ht="12.75" x14ac:dyDescent="0.2">
      <c r="A890" s="95"/>
      <c r="B890" s="95"/>
    </row>
    <row r="891" spans="1:2" ht="12.75" x14ac:dyDescent="0.2">
      <c r="A891" s="95"/>
      <c r="B891" s="95"/>
    </row>
    <row r="892" spans="1:2" ht="12.75" x14ac:dyDescent="0.2">
      <c r="A892" s="95"/>
      <c r="B892" s="95"/>
    </row>
    <row r="893" spans="1:2" ht="12.75" x14ac:dyDescent="0.2">
      <c r="A893" s="95"/>
      <c r="B893" s="95"/>
    </row>
    <row r="894" spans="1:2" ht="12.75" x14ac:dyDescent="0.2">
      <c r="A894" s="95"/>
      <c r="B894" s="95"/>
    </row>
    <row r="895" spans="1:2" ht="12.75" x14ac:dyDescent="0.2">
      <c r="A895" s="95"/>
      <c r="B895" s="95"/>
    </row>
    <row r="896" spans="1:2" ht="12.75" x14ac:dyDescent="0.2">
      <c r="A896" s="95"/>
      <c r="B896" s="95"/>
    </row>
    <row r="897" spans="1:2" ht="12.75" x14ac:dyDescent="0.2">
      <c r="A897" s="95"/>
      <c r="B897" s="95"/>
    </row>
    <row r="898" spans="1:2" ht="12.75" x14ac:dyDescent="0.2">
      <c r="A898" s="95"/>
      <c r="B898" s="95"/>
    </row>
    <row r="899" spans="1:2" ht="12.75" x14ac:dyDescent="0.2">
      <c r="A899" s="95"/>
      <c r="B899" s="95"/>
    </row>
    <row r="900" spans="1:2" ht="12.75" x14ac:dyDescent="0.2">
      <c r="A900" s="95"/>
      <c r="B900" s="95"/>
    </row>
    <row r="901" spans="1:2" ht="12.75" x14ac:dyDescent="0.2">
      <c r="A901" s="95"/>
      <c r="B901" s="95"/>
    </row>
    <row r="902" spans="1:2" ht="12.75" x14ac:dyDescent="0.2">
      <c r="A902" s="95"/>
      <c r="B902" s="95"/>
    </row>
    <row r="903" spans="1:2" ht="12.75" x14ac:dyDescent="0.2">
      <c r="A903" s="95"/>
      <c r="B903" s="95"/>
    </row>
    <row r="904" spans="1:2" ht="12.75" x14ac:dyDescent="0.2">
      <c r="A904" s="95"/>
      <c r="B904" s="95"/>
    </row>
    <row r="905" spans="1:2" ht="12.75" x14ac:dyDescent="0.2">
      <c r="A905" s="95"/>
      <c r="B905" s="95"/>
    </row>
    <row r="906" spans="1:2" ht="12.75" x14ac:dyDescent="0.2">
      <c r="A906" s="95"/>
      <c r="B906" s="95"/>
    </row>
    <row r="907" spans="1:2" ht="12.75" x14ac:dyDescent="0.2">
      <c r="A907" s="95"/>
      <c r="B907" s="95"/>
    </row>
    <row r="908" spans="1:2" ht="12.75" x14ac:dyDescent="0.2">
      <c r="A908" s="95"/>
      <c r="B908" s="95"/>
    </row>
    <row r="909" spans="1:2" ht="12.75" x14ac:dyDescent="0.2">
      <c r="A909" s="95"/>
      <c r="B909" s="95"/>
    </row>
    <row r="910" spans="1:2" ht="12.75" x14ac:dyDescent="0.2">
      <c r="A910" s="95"/>
      <c r="B910" s="95"/>
    </row>
    <row r="911" spans="1:2" ht="12.75" x14ac:dyDescent="0.2">
      <c r="A911" s="95"/>
      <c r="B911" s="95"/>
    </row>
    <row r="912" spans="1:2" ht="12.75" x14ac:dyDescent="0.2">
      <c r="A912" s="95"/>
      <c r="B912" s="95"/>
    </row>
    <row r="913" spans="1:2" ht="12.75" x14ac:dyDescent="0.2">
      <c r="A913" s="95"/>
      <c r="B913" s="95"/>
    </row>
    <row r="914" spans="1:2" ht="12.75" x14ac:dyDescent="0.2">
      <c r="A914" s="95"/>
      <c r="B914" s="95"/>
    </row>
    <row r="915" spans="1:2" ht="12.75" x14ac:dyDescent="0.2">
      <c r="A915" s="95"/>
      <c r="B915" s="95"/>
    </row>
    <row r="916" spans="1:2" ht="12.75" x14ac:dyDescent="0.2">
      <c r="A916" s="95"/>
      <c r="B916" s="95"/>
    </row>
    <row r="917" spans="1:2" ht="12.75" x14ac:dyDescent="0.2">
      <c r="A917" s="95"/>
      <c r="B917" s="95"/>
    </row>
    <row r="918" spans="1:2" ht="12.75" x14ac:dyDescent="0.2">
      <c r="A918" s="95"/>
      <c r="B918" s="95"/>
    </row>
    <row r="919" spans="1:2" ht="12.75" x14ac:dyDescent="0.2">
      <c r="A919" s="95"/>
      <c r="B919" s="95"/>
    </row>
    <row r="920" spans="1:2" ht="12.75" x14ac:dyDescent="0.2">
      <c r="A920" s="95"/>
      <c r="B920" s="95"/>
    </row>
    <row r="921" spans="1:2" ht="12.75" x14ac:dyDescent="0.2">
      <c r="A921" s="95"/>
      <c r="B921" s="95"/>
    </row>
    <row r="922" spans="1:2" ht="12.75" x14ac:dyDescent="0.2">
      <c r="A922" s="95"/>
      <c r="B922" s="95"/>
    </row>
    <row r="923" spans="1:2" ht="12.75" x14ac:dyDescent="0.2">
      <c r="A923" s="95"/>
      <c r="B923" s="95"/>
    </row>
    <row r="924" spans="1:2" ht="12.75" x14ac:dyDescent="0.2">
      <c r="A924" s="95"/>
      <c r="B924" s="95"/>
    </row>
    <row r="925" spans="1:2" ht="12.75" x14ac:dyDescent="0.2">
      <c r="A925" s="95"/>
      <c r="B925" s="95"/>
    </row>
    <row r="926" spans="1:2" ht="12.75" x14ac:dyDescent="0.2">
      <c r="A926" s="95"/>
      <c r="B926" s="95"/>
    </row>
    <row r="927" spans="1:2" ht="12.75" x14ac:dyDescent="0.2">
      <c r="A927" s="95"/>
      <c r="B927" s="95"/>
    </row>
    <row r="928" spans="1:2" ht="12.75" x14ac:dyDescent="0.2">
      <c r="A928" s="95"/>
      <c r="B928" s="95"/>
    </row>
    <row r="929" spans="1:2" ht="12.75" x14ac:dyDescent="0.2">
      <c r="A929" s="95"/>
      <c r="B929" s="95"/>
    </row>
    <row r="930" spans="1:2" ht="12.75" x14ac:dyDescent="0.2">
      <c r="A930" s="95"/>
      <c r="B930" s="95"/>
    </row>
    <row r="931" spans="1:2" ht="12.75" x14ac:dyDescent="0.2">
      <c r="A931" s="95"/>
      <c r="B931" s="95"/>
    </row>
    <row r="932" spans="1:2" ht="12.75" x14ac:dyDescent="0.2">
      <c r="A932" s="95"/>
      <c r="B932" s="95"/>
    </row>
    <row r="933" spans="1:2" ht="12.75" x14ac:dyDescent="0.2">
      <c r="A933" s="95"/>
      <c r="B933" s="95"/>
    </row>
    <row r="934" spans="1:2" ht="12.75" x14ac:dyDescent="0.2">
      <c r="A934" s="95"/>
      <c r="B934" s="95"/>
    </row>
    <row r="935" spans="1:2" ht="12.75" x14ac:dyDescent="0.2">
      <c r="A935" s="95"/>
      <c r="B935" s="95"/>
    </row>
    <row r="936" spans="1:2" ht="12.75" x14ac:dyDescent="0.2">
      <c r="A936" s="95"/>
      <c r="B936" s="95"/>
    </row>
    <row r="937" spans="1:2" ht="12.75" x14ac:dyDescent="0.2">
      <c r="A937" s="95"/>
      <c r="B937" s="95"/>
    </row>
    <row r="938" spans="1:2" ht="12.75" x14ac:dyDescent="0.2">
      <c r="A938" s="95"/>
      <c r="B938" s="95"/>
    </row>
    <row r="939" spans="1:2" ht="12.75" x14ac:dyDescent="0.2">
      <c r="A939" s="95"/>
      <c r="B939" s="95"/>
    </row>
    <row r="940" spans="1:2" ht="12.75" x14ac:dyDescent="0.2">
      <c r="A940" s="95"/>
      <c r="B940" s="95"/>
    </row>
    <row r="941" spans="1:2" ht="12.75" x14ac:dyDescent="0.2">
      <c r="A941" s="95"/>
      <c r="B941" s="95"/>
    </row>
    <row r="942" spans="1:2" ht="12.75" x14ac:dyDescent="0.2">
      <c r="A942" s="95"/>
      <c r="B942" s="95"/>
    </row>
    <row r="943" spans="1:2" ht="12.75" x14ac:dyDescent="0.2">
      <c r="A943" s="95"/>
      <c r="B943" s="95"/>
    </row>
    <row r="944" spans="1:2" ht="12.75" x14ac:dyDescent="0.2">
      <c r="A944" s="95"/>
      <c r="B944" s="95"/>
    </row>
    <row r="945" spans="1:2" ht="12.75" x14ac:dyDescent="0.2">
      <c r="A945" s="95"/>
      <c r="B945" s="95"/>
    </row>
    <row r="946" spans="1:2" ht="12.75" x14ac:dyDescent="0.2">
      <c r="A946" s="95"/>
      <c r="B946" s="95"/>
    </row>
    <row r="947" spans="1:2" ht="12.75" x14ac:dyDescent="0.2">
      <c r="A947" s="95"/>
      <c r="B947" s="95"/>
    </row>
    <row r="948" spans="1:2" ht="12.75" x14ac:dyDescent="0.2">
      <c r="A948" s="95"/>
      <c r="B948" s="95"/>
    </row>
    <row r="949" spans="1:2" ht="12.75" x14ac:dyDescent="0.2">
      <c r="A949" s="95"/>
      <c r="B949" s="95"/>
    </row>
    <row r="950" spans="1:2" ht="12.75" x14ac:dyDescent="0.2">
      <c r="A950" s="95"/>
      <c r="B950" s="95"/>
    </row>
    <row r="951" spans="1:2" ht="12.75" x14ac:dyDescent="0.2">
      <c r="A951" s="95"/>
      <c r="B951" s="95"/>
    </row>
    <row r="952" spans="1:2" ht="12.75" x14ac:dyDescent="0.2">
      <c r="A952" s="95"/>
      <c r="B952" s="95"/>
    </row>
    <row r="953" spans="1:2" ht="12.75" x14ac:dyDescent="0.2">
      <c r="A953" s="95"/>
      <c r="B953" s="95"/>
    </row>
    <row r="954" spans="1:2" ht="12.75" x14ac:dyDescent="0.2">
      <c r="A954" s="95"/>
      <c r="B954" s="95"/>
    </row>
    <row r="955" spans="1:2" ht="12.75" x14ac:dyDescent="0.2">
      <c r="A955" s="95"/>
      <c r="B955" s="95"/>
    </row>
    <row r="956" spans="1:2" ht="12.75" x14ac:dyDescent="0.2">
      <c r="A956" s="95"/>
      <c r="B956" s="95"/>
    </row>
    <row r="957" spans="1:2" ht="12.75" x14ac:dyDescent="0.2">
      <c r="A957" s="95"/>
      <c r="B957" s="95"/>
    </row>
    <row r="958" spans="1:2" ht="12.75" x14ac:dyDescent="0.2">
      <c r="A958" s="95"/>
      <c r="B958" s="95"/>
    </row>
    <row r="959" spans="1:2" ht="12.75" x14ac:dyDescent="0.2">
      <c r="A959" s="95"/>
      <c r="B959" s="95"/>
    </row>
    <row r="960" spans="1:2" ht="12.75" x14ac:dyDescent="0.2">
      <c r="A960" s="95"/>
      <c r="B960" s="95"/>
    </row>
    <row r="961" spans="1:2" ht="12.75" x14ac:dyDescent="0.2">
      <c r="A961" s="95"/>
      <c r="B961" s="95"/>
    </row>
    <row r="962" spans="1:2" ht="12.75" x14ac:dyDescent="0.2">
      <c r="A962" s="95"/>
      <c r="B962" s="95"/>
    </row>
    <row r="963" spans="1:2" ht="12.75" x14ac:dyDescent="0.2">
      <c r="A963" s="95"/>
      <c r="B963" s="95"/>
    </row>
    <row r="964" spans="1:2" ht="12.75" x14ac:dyDescent="0.2">
      <c r="A964" s="95"/>
      <c r="B964" s="95"/>
    </row>
    <row r="965" spans="1:2" ht="12.75" x14ac:dyDescent="0.2">
      <c r="A965" s="95"/>
      <c r="B965" s="95"/>
    </row>
    <row r="966" spans="1:2" ht="12.75" x14ac:dyDescent="0.2">
      <c r="A966" s="95"/>
      <c r="B966" s="95"/>
    </row>
    <row r="967" spans="1:2" ht="12.75" x14ac:dyDescent="0.2">
      <c r="A967" s="95"/>
      <c r="B967" s="95"/>
    </row>
    <row r="968" spans="1:2" ht="12.75" x14ac:dyDescent="0.2">
      <c r="A968" s="95"/>
      <c r="B968" s="95"/>
    </row>
    <row r="969" spans="1:2" ht="12.75" x14ac:dyDescent="0.2">
      <c r="A969" s="95"/>
      <c r="B969" s="95"/>
    </row>
    <row r="970" spans="1:2" ht="12.75" x14ac:dyDescent="0.2">
      <c r="A970" s="95"/>
      <c r="B970" s="95"/>
    </row>
    <row r="971" spans="1:2" ht="12.75" x14ac:dyDescent="0.2">
      <c r="A971" s="95"/>
      <c r="B971" s="95"/>
    </row>
    <row r="972" spans="1:2" ht="12.75" x14ac:dyDescent="0.2">
      <c r="A972" s="95"/>
      <c r="B972" s="95"/>
    </row>
    <row r="973" spans="1:2" ht="12.75" x14ac:dyDescent="0.2">
      <c r="A973" s="95"/>
      <c r="B973" s="95"/>
    </row>
    <row r="974" spans="1:2" ht="12.75" x14ac:dyDescent="0.2">
      <c r="A974" s="95"/>
      <c r="B974" s="95"/>
    </row>
    <row r="975" spans="1:2" ht="12.75" x14ac:dyDescent="0.2">
      <c r="A975" s="95"/>
      <c r="B975" s="95"/>
    </row>
    <row r="976" spans="1:2" ht="12.75" x14ac:dyDescent="0.2">
      <c r="A976" s="95"/>
      <c r="B976" s="95"/>
    </row>
    <row r="977" spans="1:2" ht="12.75" x14ac:dyDescent="0.2">
      <c r="A977" s="95"/>
      <c r="B977" s="95"/>
    </row>
    <row r="978" spans="1:2" ht="12.75" x14ac:dyDescent="0.2">
      <c r="A978" s="95"/>
      <c r="B978" s="95"/>
    </row>
    <row r="979" spans="1:2" ht="12.75" x14ac:dyDescent="0.2">
      <c r="A979" s="95"/>
      <c r="B979" s="95"/>
    </row>
    <row r="980" spans="1:2" ht="12.75" x14ac:dyDescent="0.2">
      <c r="A980" s="95"/>
      <c r="B980" s="95"/>
    </row>
    <row r="981" spans="1:2" ht="12.75" x14ac:dyDescent="0.2">
      <c r="A981" s="95"/>
      <c r="B981" s="95"/>
    </row>
    <row r="982" spans="1:2" ht="12.75" x14ac:dyDescent="0.2">
      <c r="A982" s="95"/>
      <c r="B982" s="95"/>
    </row>
    <row r="983" spans="1:2" ht="12.75" x14ac:dyDescent="0.2">
      <c r="A983" s="95"/>
      <c r="B983" s="95"/>
    </row>
    <row r="984" spans="1:2" ht="12.75" x14ac:dyDescent="0.2">
      <c r="A984" s="95"/>
      <c r="B984" s="95"/>
    </row>
    <row r="985" spans="1:2" ht="12.75" x14ac:dyDescent="0.2">
      <c r="A985" s="95"/>
      <c r="B985" s="95"/>
    </row>
    <row r="986" spans="1:2" ht="12.75" x14ac:dyDescent="0.2">
      <c r="A986" s="95"/>
      <c r="B986" s="95"/>
    </row>
    <row r="987" spans="1:2" ht="12.75" x14ac:dyDescent="0.2">
      <c r="A987" s="95"/>
      <c r="B987" s="95"/>
    </row>
    <row r="988" spans="1:2" ht="12.75" x14ac:dyDescent="0.2">
      <c r="A988" s="95"/>
      <c r="B988" s="95"/>
    </row>
    <row r="989" spans="1:2" ht="12.75" x14ac:dyDescent="0.2">
      <c r="A989" s="95"/>
      <c r="B989" s="95"/>
    </row>
    <row r="990" spans="1:2" ht="12.75" x14ac:dyDescent="0.2">
      <c r="A990" s="95"/>
      <c r="B990" s="95"/>
    </row>
    <row r="991" spans="1:2" ht="12.75" x14ac:dyDescent="0.2">
      <c r="A991" s="95"/>
      <c r="B991" s="95"/>
    </row>
    <row r="992" spans="1:2" ht="12.75" x14ac:dyDescent="0.2">
      <c r="A992" s="95"/>
      <c r="B992" s="95"/>
    </row>
    <row r="993" spans="1:2" ht="12.75" x14ac:dyDescent="0.2">
      <c r="A993" s="95"/>
      <c r="B993" s="95"/>
    </row>
    <row r="994" spans="1:2" ht="12.75" x14ac:dyDescent="0.2">
      <c r="A994" s="95"/>
      <c r="B994" s="95"/>
    </row>
    <row r="995" spans="1:2" ht="12.75" x14ac:dyDescent="0.2">
      <c r="A995" s="95"/>
      <c r="B995" s="95"/>
    </row>
    <row r="996" spans="1:2" ht="12.75" x14ac:dyDescent="0.2">
      <c r="A996" s="95"/>
      <c r="B996" s="95"/>
    </row>
  </sheetData>
  <mergeCells count="2">
    <mergeCell ref="B1:C1"/>
    <mergeCell ref="A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District ADAEnrollment</vt:lpstr>
      <vt:lpstr>SECA</vt:lpstr>
      <vt:lpstr>CECA</vt:lpstr>
      <vt:lpstr>Sheldon Elementary</vt:lpstr>
      <vt:lpstr>SLE</vt:lpstr>
      <vt:lpstr>GE</vt:lpstr>
      <vt:lpstr>CE</vt:lpstr>
      <vt:lpstr>KMS</vt:lpstr>
      <vt:lpstr>NMS</vt:lpstr>
      <vt:lpstr>ME</vt:lpstr>
      <vt:lpstr>9TH CAMP</vt:lpstr>
      <vt:lpstr>KHS</vt:lpstr>
      <vt:lpstr>ECHS</vt:lpstr>
      <vt:lpstr>KASE</vt:lpstr>
      <vt:lpstr>HIGH SCHOOL</vt:lpstr>
      <vt:lpstr>SAMPLE</vt:lpstr>
      <vt:lpstr>Highpoint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2025-03-11T17:40:36Z</dcterms:created>
  <dcterms:modified xsi:type="dcterms:W3CDTF">2025-03-27T18:18:29Z</dcterms:modified>
</cp:coreProperties>
</file>