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609DFF4D-2B82-407F-B226-CBA3A1E794B4}" xr6:coauthVersionLast="47" xr6:coauthVersionMax="47" xr10:uidLastSave="{00000000-0000-0000-0000-000000000000}"/>
  <bookViews>
    <workbookView xWindow="-4704" yWindow="-17388" windowWidth="30936" windowHeight="17040" xr2:uid="{03C36838-D589-46EE-813F-553BEE0017D1}"/>
  </bookViews>
  <sheets>
    <sheet name="record-Algebra-I-DB-Calculated" sheetId="1" r:id="rId1"/>
  </sheets>
  <definedNames>
    <definedName name="_xlnm._FilterDatabase" localSheetId="0" hidden="1">'record-Algebra-I-DB-Calculated'!$A$1:$Q$56</definedName>
  </definedNames>
  <calcPr calcId="181029"/>
</workbook>
</file>

<file path=xl/calcChain.xml><?xml version="1.0" encoding="utf-8"?>
<calcChain xmlns="http://schemas.openxmlformats.org/spreadsheetml/2006/main">
  <c r="I57" i="1" l="1"/>
  <c r="J57" i="1" s="1"/>
  <c r="K57" i="1"/>
  <c r="L57" i="1"/>
  <c r="N57" i="1"/>
  <c r="O57" i="1"/>
  <c r="Q57" i="1" s="1"/>
  <c r="P57" i="1"/>
  <c r="I58" i="1"/>
  <c r="J58" i="1"/>
  <c r="M58" i="1" s="1"/>
  <c r="K58" i="1"/>
  <c r="L58" i="1" s="1"/>
  <c r="N58" i="1"/>
  <c r="O58" i="1"/>
  <c r="P58" i="1"/>
  <c r="I59" i="1"/>
  <c r="J59" i="1"/>
  <c r="K59" i="1"/>
  <c r="L59" i="1" s="1"/>
  <c r="N59" i="1"/>
  <c r="Q59" i="1" s="1"/>
  <c r="O59" i="1"/>
  <c r="P59" i="1"/>
  <c r="I60" i="1"/>
  <c r="J60" i="1" s="1"/>
  <c r="M60" i="1" s="1"/>
  <c r="K60" i="1"/>
  <c r="L60" i="1"/>
  <c r="N60" i="1"/>
  <c r="O60" i="1"/>
  <c r="P60" i="1"/>
  <c r="Q60" i="1"/>
  <c r="I61" i="1"/>
  <c r="J61" i="1" s="1"/>
  <c r="M61" i="1" s="1"/>
  <c r="K61" i="1"/>
  <c r="L61" i="1"/>
  <c r="N61" i="1"/>
  <c r="O61" i="1"/>
  <c r="P61" i="1"/>
  <c r="I62" i="1"/>
  <c r="J62" i="1"/>
  <c r="K62" i="1"/>
  <c r="L62" i="1" s="1"/>
  <c r="N62" i="1"/>
  <c r="Q62" i="1" s="1"/>
  <c r="O62" i="1"/>
  <c r="P62" i="1"/>
  <c r="I63" i="1"/>
  <c r="J63" i="1"/>
  <c r="M63" i="1" s="1"/>
  <c r="K63" i="1"/>
  <c r="L63" i="1" s="1"/>
  <c r="N63" i="1"/>
  <c r="Q63" i="1" s="1"/>
  <c r="O63" i="1"/>
  <c r="P63" i="1"/>
  <c r="I64" i="1"/>
  <c r="J64" i="1" s="1"/>
  <c r="K64" i="1"/>
  <c r="L64" i="1"/>
  <c r="M64" i="1"/>
  <c r="N64" i="1"/>
  <c r="O64" i="1"/>
  <c r="P64" i="1"/>
  <c r="Q64" i="1"/>
  <c r="I65" i="1"/>
  <c r="J65" i="1" s="1"/>
  <c r="K65" i="1"/>
  <c r="L65" i="1"/>
  <c r="N65" i="1"/>
  <c r="O65" i="1"/>
  <c r="Q65" i="1" s="1"/>
  <c r="P65" i="1"/>
  <c r="I66" i="1"/>
  <c r="J66" i="1"/>
  <c r="M66" i="1" s="1"/>
  <c r="K66" i="1"/>
  <c r="L66" i="1" s="1"/>
  <c r="N66" i="1"/>
  <c r="O66" i="1"/>
  <c r="P66" i="1"/>
  <c r="I67" i="1"/>
  <c r="J67" i="1"/>
  <c r="K67" i="1"/>
  <c r="L67" i="1" s="1"/>
  <c r="N67" i="1"/>
  <c r="Q67" i="1" s="1"/>
  <c r="O67" i="1"/>
  <c r="P67" i="1"/>
  <c r="I68" i="1"/>
  <c r="J68" i="1" s="1"/>
  <c r="M68" i="1" s="1"/>
  <c r="K68" i="1"/>
  <c r="L68" i="1"/>
  <c r="N68" i="1"/>
  <c r="O68" i="1"/>
  <c r="P68" i="1"/>
  <c r="Q68" i="1"/>
  <c r="I69" i="1"/>
  <c r="J69" i="1" s="1"/>
  <c r="M69" i="1" s="1"/>
  <c r="K69" i="1"/>
  <c r="L69" i="1"/>
  <c r="N69" i="1"/>
  <c r="O69" i="1"/>
  <c r="P69" i="1"/>
  <c r="I70" i="1"/>
  <c r="J70" i="1"/>
  <c r="K70" i="1"/>
  <c r="L70" i="1" s="1"/>
  <c r="N70" i="1"/>
  <c r="Q70" i="1" s="1"/>
  <c r="O70" i="1"/>
  <c r="P70" i="1"/>
  <c r="I71" i="1"/>
  <c r="J71" i="1"/>
  <c r="M71" i="1" s="1"/>
  <c r="K71" i="1"/>
  <c r="L71" i="1" s="1"/>
  <c r="N71" i="1"/>
  <c r="Q71" i="1" s="1"/>
  <c r="O71" i="1"/>
  <c r="P71" i="1"/>
  <c r="I72" i="1"/>
  <c r="J72" i="1" s="1"/>
  <c r="K72" i="1"/>
  <c r="L72" i="1"/>
  <c r="M72" i="1"/>
  <c r="N72" i="1"/>
  <c r="O72" i="1"/>
  <c r="P72" i="1"/>
  <c r="Q72" i="1"/>
  <c r="I73" i="1"/>
  <c r="J73" i="1" s="1"/>
  <c r="K73" i="1"/>
  <c r="L73" i="1"/>
  <c r="N73" i="1"/>
  <c r="O73" i="1"/>
  <c r="Q73" i="1" s="1"/>
  <c r="P73" i="1"/>
  <c r="I74" i="1"/>
  <c r="J74" i="1"/>
  <c r="M74" i="1" s="1"/>
  <c r="K74" i="1"/>
  <c r="L74" i="1" s="1"/>
  <c r="N74" i="1"/>
  <c r="O74" i="1"/>
  <c r="P74" i="1"/>
  <c r="I75" i="1"/>
  <c r="J75" i="1"/>
  <c r="K75" i="1"/>
  <c r="L75" i="1" s="1"/>
  <c r="N75" i="1"/>
  <c r="Q75" i="1" s="1"/>
  <c r="O75" i="1"/>
  <c r="P75" i="1"/>
  <c r="I76" i="1"/>
  <c r="J76" i="1" s="1"/>
  <c r="M76" i="1" s="1"/>
  <c r="K76" i="1"/>
  <c r="L76" i="1"/>
  <c r="N76" i="1"/>
  <c r="O76" i="1"/>
  <c r="P76" i="1"/>
  <c r="Q76" i="1"/>
  <c r="I77" i="1"/>
  <c r="J77" i="1" s="1"/>
  <c r="M77" i="1" s="1"/>
  <c r="K77" i="1"/>
  <c r="L77" i="1"/>
  <c r="N77" i="1"/>
  <c r="O77" i="1"/>
  <c r="P77" i="1"/>
  <c r="I78" i="1"/>
  <c r="J78" i="1"/>
  <c r="K78" i="1"/>
  <c r="L78" i="1" s="1"/>
  <c r="N78" i="1"/>
  <c r="Q78" i="1" s="1"/>
  <c r="O78" i="1"/>
  <c r="P78" i="1"/>
  <c r="I79" i="1"/>
  <c r="J79" i="1"/>
  <c r="M79" i="1" s="1"/>
  <c r="K79" i="1"/>
  <c r="L79" i="1" s="1"/>
  <c r="N79" i="1"/>
  <c r="Q79" i="1" s="1"/>
  <c r="O79" i="1"/>
  <c r="P79" i="1"/>
  <c r="I80" i="1"/>
  <c r="J80" i="1" s="1"/>
  <c r="K80" i="1"/>
  <c r="L80" i="1"/>
  <c r="M80" i="1"/>
  <c r="N80" i="1"/>
  <c r="O80" i="1"/>
  <c r="P80" i="1"/>
  <c r="Q80" i="1"/>
  <c r="I81" i="1"/>
  <c r="J81" i="1" s="1"/>
  <c r="K81" i="1"/>
  <c r="L81" i="1"/>
  <c r="N81" i="1"/>
  <c r="O81" i="1"/>
  <c r="Q81" i="1" s="1"/>
  <c r="P81" i="1"/>
  <c r="I82" i="1"/>
  <c r="J82" i="1"/>
  <c r="M82" i="1" s="1"/>
  <c r="K82" i="1"/>
  <c r="L82" i="1" s="1"/>
  <c r="N82" i="1"/>
  <c r="O82" i="1"/>
  <c r="P82" i="1"/>
  <c r="I83" i="1"/>
  <c r="J83" i="1"/>
  <c r="K83" i="1"/>
  <c r="L83" i="1" s="1"/>
  <c r="N83" i="1"/>
  <c r="Q83" i="1" s="1"/>
  <c r="O83" i="1"/>
  <c r="P83" i="1"/>
  <c r="I84" i="1"/>
  <c r="J84" i="1" s="1"/>
  <c r="M84" i="1" s="1"/>
  <c r="K84" i="1"/>
  <c r="L84" i="1"/>
  <c r="N84" i="1"/>
  <c r="O84" i="1"/>
  <c r="P84" i="1"/>
  <c r="Q84" i="1"/>
  <c r="I85" i="1"/>
  <c r="J85" i="1" s="1"/>
  <c r="M85" i="1" s="1"/>
  <c r="K85" i="1"/>
  <c r="L85" i="1"/>
  <c r="N85" i="1"/>
  <c r="O85" i="1"/>
  <c r="P85" i="1"/>
  <c r="I86" i="1"/>
  <c r="J86" i="1"/>
  <c r="K86" i="1"/>
  <c r="L86" i="1" s="1"/>
  <c r="N86" i="1"/>
  <c r="Q86" i="1" s="1"/>
  <c r="O86" i="1"/>
  <c r="P86" i="1"/>
  <c r="I87" i="1"/>
  <c r="J87" i="1"/>
  <c r="M87" i="1" s="1"/>
  <c r="K87" i="1"/>
  <c r="L87" i="1" s="1"/>
  <c r="N87" i="1"/>
  <c r="Q87" i="1" s="1"/>
  <c r="O87" i="1"/>
  <c r="P87" i="1"/>
  <c r="I88" i="1"/>
  <c r="J88" i="1" s="1"/>
  <c r="K88" i="1"/>
  <c r="L88" i="1"/>
  <c r="M88" i="1"/>
  <c r="N88" i="1"/>
  <c r="O88" i="1"/>
  <c r="P88" i="1"/>
  <c r="Q88" i="1"/>
  <c r="I89" i="1"/>
  <c r="J89" i="1" s="1"/>
  <c r="K89" i="1"/>
  <c r="L89" i="1"/>
  <c r="N89" i="1"/>
  <c r="O89" i="1"/>
  <c r="Q89" i="1" s="1"/>
  <c r="P89" i="1"/>
  <c r="I90" i="1"/>
  <c r="J90" i="1"/>
  <c r="M90" i="1" s="1"/>
  <c r="K90" i="1"/>
  <c r="L90" i="1" s="1"/>
  <c r="N90" i="1"/>
  <c r="O90" i="1"/>
  <c r="P90" i="1"/>
  <c r="I91" i="1"/>
  <c r="J91" i="1"/>
  <c r="K91" i="1"/>
  <c r="L91" i="1" s="1"/>
  <c r="N91" i="1"/>
  <c r="Q91" i="1" s="1"/>
  <c r="O91" i="1"/>
  <c r="P91" i="1"/>
  <c r="I92" i="1"/>
  <c r="J92" i="1" s="1"/>
  <c r="M92" i="1" s="1"/>
  <c r="K92" i="1"/>
  <c r="L92" i="1"/>
  <c r="N92" i="1"/>
  <c r="O92" i="1"/>
  <c r="P92" i="1"/>
  <c r="Q92" i="1"/>
  <c r="I93" i="1"/>
  <c r="J93" i="1" s="1"/>
  <c r="M93" i="1" s="1"/>
  <c r="K93" i="1"/>
  <c r="L93" i="1"/>
  <c r="N93" i="1"/>
  <c r="O93" i="1"/>
  <c r="P93" i="1"/>
  <c r="I94" i="1"/>
  <c r="J94" i="1"/>
  <c r="K94" i="1"/>
  <c r="L94" i="1" s="1"/>
  <c r="N94" i="1"/>
  <c r="Q94" i="1" s="1"/>
  <c r="O94" i="1"/>
  <c r="P94" i="1"/>
  <c r="I95" i="1"/>
  <c r="J95" i="1"/>
  <c r="M95" i="1" s="1"/>
  <c r="K95" i="1"/>
  <c r="L95" i="1" s="1"/>
  <c r="N95" i="1"/>
  <c r="Q95" i="1" s="1"/>
  <c r="O95" i="1"/>
  <c r="P95" i="1"/>
  <c r="I96" i="1"/>
  <c r="J96" i="1" s="1"/>
  <c r="K96" i="1"/>
  <c r="L96" i="1"/>
  <c r="M96" i="1"/>
  <c r="N96" i="1"/>
  <c r="O96" i="1"/>
  <c r="P96" i="1"/>
  <c r="Q96" i="1"/>
  <c r="I97" i="1"/>
  <c r="J97" i="1" s="1"/>
  <c r="M97" i="1" s="1"/>
  <c r="K97" i="1"/>
  <c r="L97" i="1"/>
  <c r="N97" i="1"/>
  <c r="Q97" i="1" s="1"/>
  <c r="O97" i="1"/>
  <c r="P97" i="1"/>
  <c r="I98" i="1"/>
  <c r="J98" i="1"/>
  <c r="M98" i="1" s="1"/>
  <c r="K98" i="1"/>
  <c r="L98" i="1" s="1"/>
  <c r="N98" i="1"/>
  <c r="O98" i="1"/>
  <c r="P98" i="1"/>
  <c r="I99" i="1"/>
  <c r="J99" i="1"/>
  <c r="K99" i="1"/>
  <c r="L99" i="1" s="1"/>
  <c r="N99" i="1"/>
  <c r="Q99" i="1" s="1"/>
  <c r="O99" i="1"/>
  <c r="P99" i="1"/>
  <c r="I100" i="1"/>
  <c r="J100" i="1" s="1"/>
  <c r="M100" i="1" s="1"/>
  <c r="K100" i="1"/>
  <c r="L100" i="1"/>
  <c r="N100" i="1"/>
  <c r="O100" i="1"/>
  <c r="P100" i="1"/>
  <c r="Q100" i="1"/>
  <c r="I101" i="1"/>
  <c r="J101" i="1"/>
  <c r="M101" i="1" s="1"/>
  <c r="K101" i="1"/>
  <c r="L101" i="1"/>
  <c r="N101" i="1"/>
  <c r="O101" i="1"/>
  <c r="P101" i="1"/>
  <c r="I102" i="1"/>
  <c r="J102" i="1"/>
  <c r="K102" i="1"/>
  <c r="L102" i="1" s="1"/>
  <c r="N102" i="1"/>
  <c r="Q102" i="1" s="1"/>
  <c r="O102" i="1"/>
  <c r="P102" i="1"/>
  <c r="I103" i="1"/>
  <c r="J103" i="1"/>
  <c r="M103" i="1" s="1"/>
  <c r="K103" i="1"/>
  <c r="L103" i="1"/>
  <c r="N103" i="1"/>
  <c r="Q103" i="1" s="1"/>
  <c r="O103" i="1"/>
  <c r="P103" i="1"/>
  <c r="I104" i="1"/>
  <c r="J104" i="1" s="1"/>
  <c r="M104" i="1" s="1"/>
  <c r="K104" i="1"/>
  <c r="L104" i="1"/>
  <c r="N104" i="1"/>
  <c r="O104" i="1"/>
  <c r="P104" i="1"/>
  <c r="Q104" i="1"/>
  <c r="I105" i="1"/>
  <c r="J105" i="1"/>
  <c r="M105" i="1" s="1"/>
  <c r="K105" i="1"/>
  <c r="L105" i="1"/>
  <c r="N105" i="1"/>
  <c r="O105" i="1"/>
  <c r="P105" i="1"/>
  <c r="I106" i="1"/>
  <c r="J106" i="1"/>
  <c r="K106" i="1"/>
  <c r="L106" i="1" s="1"/>
  <c r="N106" i="1"/>
  <c r="Q106" i="1" s="1"/>
  <c r="O106" i="1"/>
  <c r="P106" i="1"/>
  <c r="I107" i="1"/>
  <c r="J107" i="1"/>
  <c r="M107" i="1" s="1"/>
  <c r="K107" i="1"/>
  <c r="L107" i="1"/>
  <c r="N107" i="1"/>
  <c r="Q107" i="1" s="1"/>
  <c r="O107" i="1"/>
  <c r="P107" i="1"/>
  <c r="I108" i="1"/>
  <c r="J108" i="1" s="1"/>
  <c r="M108" i="1" s="1"/>
  <c r="K108" i="1"/>
  <c r="L108" i="1"/>
  <c r="N108" i="1"/>
  <c r="O108" i="1"/>
  <c r="P108" i="1"/>
  <c r="Q108" i="1"/>
  <c r="I109" i="1"/>
  <c r="J109" i="1"/>
  <c r="M109" i="1" s="1"/>
  <c r="K109" i="1"/>
  <c r="L109" i="1"/>
  <c r="N109" i="1"/>
  <c r="O109" i="1"/>
  <c r="P109" i="1"/>
  <c r="I110" i="1"/>
  <c r="J110" i="1"/>
  <c r="K110" i="1"/>
  <c r="L110" i="1" s="1"/>
  <c r="N110" i="1"/>
  <c r="Q110" i="1" s="1"/>
  <c r="O110" i="1"/>
  <c r="P110" i="1"/>
  <c r="I111" i="1"/>
  <c r="J111" i="1"/>
  <c r="M111" i="1" s="1"/>
  <c r="K111" i="1"/>
  <c r="L111" i="1"/>
  <c r="N111" i="1"/>
  <c r="Q111" i="1" s="1"/>
  <c r="O111" i="1"/>
  <c r="P111" i="1"/>
  <c r="I112" i="1"/>
  <c r="J112" i="1" s="1"/>
  <c r="M112" i="1" s="1"/>
  <c r="K112" i="1"/>
  <c r="L112" i="1"/>
  <c r="N112" i="1"/>
  <c r="O112" i="1"/>
  <c r="P112" i="1"/>
  <c r="Q112" i="1"/>
  <c r="I113" i="1"/>
  <c r="J113" i="1"/>
  <c r="M113" i="1" s="1"/>
  <c r="K113" i="1"/>
  <c r="L113" i="1"/>
  <c r="N113" i="1"/>
  <c r="O113" i="1"/>
  <c r="P113" i="1"/>
  <c r="I114" i="1"/>
  <c r="J114" i="1"/>
  <c r="K114" i="1"/>
  <c r="L114" i="1" s="1"/>
  <c r="N114" i="1"/>
  <c r="Q114" i="1" s="1"/>
  <c r="O114" i="1"/>
  <c r="P114" i="1"/>
  <c r="I115" i="1"/>
  <c r="J115" i="1"/>
  <c r="M115" i="1" s="1"/>
  <c r="K115" i="1"/>
  <c r="L115" i="1"/>
  <c r="N115" i="1"/>
  <c r="Q115" i="1" s="1"/>
  <c r="O115" i="1"/>
  <c r="P115" i="1"/>
  <c r="I116" i="1"/>
  <c r="J116" i="1" s="1"/>
  <c r="M116" i="1" s="1"/>
  <c r="K116" i="1"/>
  <c r="L116" i="1"/>
  <c r="N116" i="1"/>
  <c r="O116" i="1"/>
  <c r="P116" i="1"/>
  <c r="Q116" i="1" s="1"/>
  <c r="I117" i="1"/>
  <c r="J117" i="1"/>
  <c r="M117" i="1" s="1"/>
  <c r="K117" i="1"/>
  <c r="L117" i="1"/>
  <c r="N117" i="1"/>
  <c r="O117" i="1"/>
  <c r="P117" i="1"/>
  <c r="I118" i="1"/>
  <c r="J118" i="1"/>
  <c r="K118" i="1"/>
  <c r="L118" i="1" s="1"/>
  <c r="N118" i="1"/>
  <c r="Q118" i="1" s="1"/>
  <c r="O118" i="1"/>
  <c r="P118" i="1"/>
  <c r="I119" i="1"/>
  <c r="J119" i="1" s="1"/>
  <c r="M119" i="1" s="1"/>
  <c r="K119" i="1"/>
  <c r="L119" i="1"/>
  <c r="N119" i="1"/>
  <c r="O119" i="1"/>
  <c r="P119" i="1"/>
  <c r="Q119" i="1"/>
  <c r="I120" i="1"/>
  <c r="J120" i="1" s="1"/>
  <c r="K120" i="1"/>
  <c r="L120" i="1"/>
  <c r="M120" i="1"/>
  <c r="N120" i="1"/>
  <c r="O120" i="1"/>
  <c r="P120" i="1"/>
  <c r="Q120" i="1"/>
  <c r="I121" i="1"/>
  <c r="J121" i="1"/>
  <c r="K121" i="1"/>
  <c r="L121" i="1"/>
  <c r="N121" i="1"/>
  <c r="Q121" i="1" s="1"/>
  <c r="O121" i="1"/>
  <c r="P121" i="1"/>
  <c r="I122" i="1"/>
  <c r="J122" i="1"/>
  <c r="M122" i="1" s="1"/>
  <c r="K122" i="1"/>
  <c r="L122" i="1" s="1"/>
  <c r="N122" i="1"/>
  <c r="O122" i="1"/>
  <c r="P122" i="1"/>
  <c r="I123" i="1"/>
  <c r="J123" i="1"/>
  <c r="M123" i="1" s="1"/>
  <c r="K123" i="1"/>
  <c r="L123" i="1"/>
  <c r="N123" i="1"/>
  <c r="Q123" i="1" s="1"/>
  <c r="O123" i="1"/>
  <c r="P123" i="1"/>
  <c r="I124" i="1"/>
  <c r="J124" i="1" s="1"/>
  <c r="M124" i="1" s="1"/>
  <c r="K124" i="1"/>
  <c r="L124" i="1"/>
  <c r="N124" i="1"/>
  <c r="O124" i="1"/>
  <c r="P124" i="1"/>
  <c r="Q124" i="1" s="1"/>
  <c r="I125" i="1"/>
  <c r="J125" i="1"/>
  <c r="K125" i="1"/>
  <c r="L125" i="1" s="1"/>
  <c r="N125" i="1"/>
  <c r="O125" i="1"/>
  <c r="P125" i="1"/>
  <c r="I126" i="1"/>
  <c r="J126" i="1"/>
  <c r="K126" i="1"/>
  <c r="L126" i="1" s="1"/>
  <c r="N126" i="1"/>
  <c r="Q126" i="1" s="1"/>
  <c r="O126" i="1"/>
  <c r="P126" i="1"/>
  <c r="I127" i="1"/>
  <c r="J127" i="1" s="1"/>
  <c r="M127" i="1" s="1"/>
  <c r="K127" i="1"/>
  <c r="L127" i="1"/>
  <c r="N127" i="1"/>
  <c r="O127" i="1"/>
  <c r="P127" i="1"/>
  <c r="Q127" i="1"/>
  <c r="I128" i="1"/>
  <c r="J128" i="1" s="1"/>
  <c r="K128" i="1"/>
  <c r="L128" i="1"/>
  <c r="M128" i="1"/>
  <c r="N128" i="1"/>
  <c r="O128" i="1"/>
  <c r="P128" i="1"/>
  <c r="Q128" i="1"/>
  <c r="I129" i="1"/>
  <c r="J129" i="1"/>
  <c r="K129" i="1"/>
  <c r="L129" i="1"/>
  <c r="N129" i="1"/>
  <c r="Q129" i="1" s="1"/>
  <c r="O129" i="1"/>
  <c r="P129" i="1"/>
  <c r="I130" i="1"/>
  <c r="J130" i="1"/>
  <c r="M130" i="1" s="1"/>
  <c r="K130" i="1"/>
  <c r="L130" i="1" s="1"/>
  <c r="N130" i="1"/>
  <c r="O130" i="1"/>
  <c r="P130" i="1"/>
  <c r="I131" i="1"/>
  <c r="J131" i="1"/>
  <c r="M131" i="1" s="1"/>
  <c r="K131" i="1"/>
  <c r="L131" i="1"/>
  <c r="N131" i="1"/>
  <c r="Q131" i="1" s="1"/>
  <c r="O131" i="1"/>
  <c r="P131" i="1"/>
  <c r="I132" i="1"/>
  <c r="J132" i="1" s="1"/>
  <c r="M132" i="1" s="1"/>
  <c r="K132" i="1"/>
  <c r="L132" i="1"/>
  <c r="N132" i="1"/>
  <c r="O132" i="1"/>
  <c r="P132" i="1"/>
  <c r="Q132" i="1" s="1"/>
  <c r="I133" i="1"/>
  <c r="J133" i="1"/>
  <c r="K133" i="1"/>
  <c r="L133" i="1" s="1"/>
  <c r="N133" i="1"/>
  <c r="O133" i="1"/>
  <c r="P133" i="1"/>
  <c r="I134" i="1"/>
  <c r="J134" i="1"/>
  <c r="K134" i="1"/>
  <c r="L134" i="1" s="1"/>
  <c r="N134" i="1"/>
  <c r="Q134" i="1" s="1"/>
  <c r="O134" i="1"/>
  <c r="P134" i="1"/>
  <c r="I3" i="1"/>
  <c r="J3" i="1"/>
  <c r="M3" i="1" s="1"/>
  <c r="K3" i="1"/>
  <c r="L3" i="1"/>
  <c r="N3" i="1"/>
  <c r="Q3" i="1" s="1"/>
  <c r="O3" i="1"/>
  <c r="P3" i="1"/>
  <c r="I4" i="1"/>
  <c r="J4" i="1" s="1"/>
  <c r="M4" i="1" s="1"/>
  <c r="K4" i="1"/>
  <c r="L4" i="1"/>
  <c r="N4" i="1"/>
  <c r="O4" i="1"/>
  <c r="P4" i="1"/>
  <c r="Q4" i="1"/>
  <c r="I5" i="1"/>
  <c r="J5" i="1"/>
  <c r="M5" i="1" s="1"/>
  <c r="K5" i="1"/>
  <c r="L5" i="1"/>
  <c r="N5" i="1"/>
  <c r="Q5" i="1" s="1"/>
  <c r="O5" i="1"/>
  <c r="P5" i="1"/>
  <c r="I6" i="1"/>
  <c r="J6" i="1"/>
  <c r="K6" i="1"/>
  <c r="L6" i="1" s="1"/>
  <c r="N6" i="1"/>
  <c r="Q6" i="1" s="1"/>
  <c r="O6" i="1"/>
  <c r="P6" i="1"/>
  <c r="I7" i="1"/>
  <c r="J7" i="1"/>
  <c r="M7" i="1" s="1"/>
  <c r="K7" i="1"/>
  <c r="L7" i="1"/>
  <c r="N7" i="1"/>
  <c r="Q7" i="1" s="1"/>
  <c r="O7" i="1"/>
  <c r="P7" i="1"/>
  <c r="I8" i="1"/>
  <c r="J8" i="1" s="1"/>
  <c r="M8" i="1" s="1"/>
  <c r="K8" i="1"/>
  <c r="L8" i="1"/>
  <c r="N8" i="1"/>
  <c r="O8" i="1"/>
  <c r="P8" i="1"/>
  <c r="Q8" i="1"/>
  <c r="I9" i="1"/>
  <c r="J9" i="1"/>
  <c r="M9" i="1" s="1"/>
  <c r="K9" i="1"/>
  <c r="L9" i="1"/>
  <c r="N9" i="1"/>
  <c r="Q9" i="1" s="1"/>
  <c r="O9" i="1"/>
  <c r="P9" i="1"/>
  <c r="I10" i="1"/>
  <c r="J10" i="1"/>
  <c r="K10" i="1"/>
  <c r="L10" i="1" s="1"/>
  <c r="N10" i="1"/>
  <c r="Q10" i="1" s="1"/>
  <c r="O10" i="1"/>
  <c r="P10" i="1"/>
  <c r="I11" i="1"/>
  <c r="J11" i="1"/>
  <c r="M11" i="1" s="1"/>
  <c r="K11" i="1"/>
  <c r="L11" i="1"/>
  <c r="N11" i="1"/>
  <c r="Q11" i="1" s="1"/>
  <c r="O11" i="1"/>
  <c r="P11" i="1"/>
  <c r="I12" i="1"/>
  <c r="J12" i="1" s="1"/>
  <c r="M12" i="1" s="1"/>
  <c r="K12" i="1"/>
  <c r="L12" i="1"/>
  <c r="N12" i="1"/>
  <c r="O12" i="1"/>
  <c r="P12" i="1"/>
  <c r="Q12" i="1"/>
  <c r="I13" i="1"/>
  <c r="J13" i="1"/>
  <c r="M13" i="1" s="1"/>
  <c r="K13" i="1"/>
  <c r="L13" i="1"/>
  <c r="N13" i="1"/>
  <c r="Q13" i="1" s="1"/>
  <c r="O13" i="1"/>
  <c r="P13" i="1"/>
  <c r="I14" i="1"/>
  <c r="J14" i="1"/>
  <c r="K14" i="1"/>
  <c r="L14" i="1" s="1"/>
  <c r="N14" i="1"/>
  <c r="Q14" i="1" s="1"/>
  <c r="O14" i="1"/>
  <c r="P14" i="1"/>
  <c r="I15" i="1"/>
  <c r="J15" i="1"/>
  <c r="M15" i="1" s="1"/>
  <c r="K15" i="1"/>
  <c r="L15" i="1"/>
  <c r="N15" i="1"/>
  <c r="Q15" i="1" s="1"/>
  <c r="O15" i="1"/>
  <c r="P15" i="1"/>
  <c r="I16" i="1"/>
  <c r="J16" i="1" s="1"/>
  <c r="M16" i="1" s="1"/>
  <c r="K16" i="1"/>
  <c r="L16" i="1"/>
  <c r="N16" i="1"/>
  <c r="O16" i="1"/>
  <c r="P16" i="1"/>
  <c r="Q16" i="1"/>
  <c r="I17" i="1"/>
  <c r="J17" i="1"/>
  <c r="M17" i="1" s="1"/>
  <c r="K17" i="1"/>
  <c r="L17" i="1"/>
  <c r="N17" i="1"/>
  <c r="Q17" i="1" s="1"/>
  <c r="O17" i="1"/>
  <c r="P17" i="1"/>
  <c r="I18" i="1"/>
  <c r="J18" i="1"/>
  <c r="M18" i="1" s="1"/>
  <c r="K18" i="1"/>
  <c r="L18" i="1" s="1"/>
  <c r="N18" i="1"/>
  <c r="Q18" i="1" s="1"/>
  <c r="O18" i="1"/>
  <c r="P18" i="1"/>
  <c r="I19" i="1"/>
  <c r="J19" i="1"/>
  <c r="M19" i="1" s="1"/>
  <c r="K19" i="1"/>
  <c r="L19" i="1"/>
  <c r="N19" i="1"/>
  <c r="Q19" i="1" s="1"/>
  <c r="O19" i="1"/>
  <c r="P19" i="1"/>
  <c r="I20" i="1"/>
  <c r="J20" i="1" s="1"/>
  <c r="M20" i="1" s="1"/>
  <c r="K20" i="1"/>
  <c r="L20" i="1"/>
  <c r="N20" i="1"/>
  <c r="O20" i="1"/>
  <c r="P20" i="1"/>
  <c r="Q20" i="1"/>
  <c r="I21" i="1"/>
  <c r="J21" i="1"/>
  <c r="M21" i="1" s="1"/>
  <c r="K21" i="1"/>
  <c r="L21" i="1"/>
  <c r="N21" i="1"/>
  <c r="Q21" i="1" s="1"/>
  <c r="O21" i="1"/>
  <c r="P21" i="1"/>
  <c r="I22" i="1"/>
  <c r="J22" i="1"/>
  <c r="K22" i="1"/>
  <c r="L22" i="1" s="1"/>
  <c r="N22" i="1"/>
  <c r="Q22" i="1" s="1"/>
  <c r="O22" i="1"/>
  <c r="P22" i="1"/>
  <c r="I23" i="1"/>
  <c r="J23" i="1"/>
  <c r="M23" i="1" s="1"/>
  <c r="K23" i="1"/>
  <c r="L23" i="1"/>
  <c r="N23" i="1"/>
  <c r="Q23" i="1" s="1"/>
  <c r="O23" i="1"/>
  <c r="P23" i="1"/>
  <c r="I24" i="1"/>
  <c r="J24" i="1" s="1"/>
  <c r="M24" i="1" s="1"/>
  <c r="K24" i="1"/>
  <c r="L24" i="1"/>
  <c r="N24" i="1"/>
  <c r="O24" i="1"/>
  <c r="P24" i="1"/>
  <c r="Q24" i="1"/>
  <c r="I25" i="1"/>
  <c r="J25" i="1"/>
  <c r="M25" i="1" s="1"/>
  <c r="K25" i="1"/>
  <c r="L25" i="1"/>
  <c r="N25" i="1"/>
  <c r="Q25" i="1" s="1"/>
  <c r="O25" i="1"/>
  <c r="P25" i="1"/>
  <c r="I26" i="1"/>
  <c r="J26" i="1"/>
  <c r="K26" i="1"/>
  <c r="L26" i="1" s="1"/>
  <c r="N26" i="1"/>
  <c r="Q26" i="1" s="1"/>
  <c r="O26" i="1"/>
  <c r="P26" i="1"/>
  <c r="I27" i="1"/>
  <c r="J27" i="1"/>
  <c r="M27" i="1" s="1"/>
  <c r="K27" i="1"/>
  <c r="L27" i="1"/>
  <c r="N27" i="1"/>
  <c r="Q27" i="1" s="1"/>
  <c r="O27" i="1"/>
  <c r="P27" i="1"/>
  <c r="I28" i="1"/>
  <c r="J28" i="1" s="1"/>
  <c r="M28" i="1" s="1"/>
  <c r="K28" i="1"/>
  <c r="L28" i="1"/>
  <c r="N28" i="1"/>
  <c r="O28" i="1"/>
  <c r="P28" i="1"/>
  <c r="Q28" i="1"/>
  <c r="I29" i="1"/>
  <c r="J29" i="1"/>
  <c r="M29" i="1" s="1"/>
  <c r="K29" i="1"/>
  <c r="L29" i="1"/>
  <c r="N29" i="1"/>
  <c r="Q29" i="1" s="1"/>
  <c r="O29" i="1"/>
  <c r="P29" i="1"/>
  <c r="I30" i="1"/>
  <c r="J30" i="1"/>
  <c r="K30" i="1"/>
  <c r="L30" i="1" s="1"/>
  <c r="N30" i="1"/>
  <c r="Q30" i="1" s="1"/>
  <c r="O30" i="1"/>
  <c r="P30" i="1"/>
  <c r="I31" i="1"/>
  <c r="J31" i="1"/>
  <c r="M31" i="1" s="1"/>
  <c r="K31" i="1"/>
  <c r="L31" i="1"/>
  <c r="N31" i="1"/>
  <c r="Q31" i="1" s="1"/>
  <c r="O31" i="1"/>
  <c r="P31" i="1"/>
  <c r="I32" i="1"/>
  <c r="J32" i="1" s="1"/>
  <c r="M32" i="1" s="1"/>
  <c r="K32" i="1"/>
  <c r="L32" i="1"/>
  <c r="N32" i="1"/>
  <c r="O32" i="1"/>
  <c r="P32" i="1"/>
  <c r="Q32" i="1"/>
  <c r="I33" i="1"/>
  <c r="J33" i="1"/>
  <c r="M33" i="1" s="1"/>
  <c r="K33" i="1"/>
  <c r="L33" i="1"/>
  <c r="N33" i="1"/>
  <c r="Q33" i="1" s="1"/>
  <c r="O33" i="1"/>
  <c r="P33" i="1"/>
  <c r="I34" i="1"/>
  <c r="J34" i="1"/>
  <c r="M34" i="1" s="1"/>
  <c r="K34" i="1"/>
  <c r="L34" i="1" s="1"/>
  <c r="N34" i="1"/>
  <c r="Q34" i="1" s="1"/>
  <c r="O34" i="1"/>
  <c r="P34" i="1"/>
  <c r="I35" i="1"/>
  <c r="J35" i="1"/>
  <c r="M35" i="1" s="1"/>
  <c r="K35" i="1"/>
  <c r="L35" i="1"/>
  <c r="N35" i="1"/>
  <c r="Q35" i="1" s="1"/>
  <c r="O35" i="1"/>
  <c r="P35" i="1"/>
  <c r="I36" i="1"/>
  <c r="J36" i="1" s="1"/>
  <c r="M36" i="1" s="1"/>
  <c r="K36" i="1"/>
  <c r="L36" i="1"/>
  <c r="N36" i="1"/>
  <c r="O36" i="1"/>
  <c r="P36" i="1"/>
  <c r="Q36" i="1"/>
  <c r="I37" i="1"/>
  <c r="J37" i="1"/>
  <c r="M37" i="1" s="1"/>
  <c r="K37" i="1"/>
  <c r="L37" i="1"/>
  <c r="N37" i="1"/>
  <c r="Q37" i="1" s="1"/>
  <c r="O37" i="1"/>
  <c r="P37" i="1"/>
  <c r="I38" i="1"/>
  <c r="J38" i="1"/>
  <c r="K38" i="1"/>
  <c r="L38" i="1" s="1"/>
  <c r="N38" i="1"/>
  <c r="Q38" i="1" s="1"/>
  <c r="O38" i="1"/>
  <c r="P38" i="1"/>
  <c r="I39" i="1"/>
  <c r="J39" i="1"/>
  <c r="M39" i="1" s="1"/>
  <c r="K39" i="1"/>
  <c r="L39" i="1"/>
  <c r="N39" i="1"/>
  <c r="Q39" i="1" s="1"/>
  <c r="O39" i="1"/>
  <c r="P39" i="1"/>
  <c r="I40" i="1"/>
  <c r="J40" i="1" s="1"/>
  <c r="M40" i="1" s="1"/>
  <c r="K40" i="1"/>
  <c r="L40" i="1"/>
  <c r="N40" i="1"/>
  <c r="O40" i="1"/>
  <c r="P40" i="1"/>
  <c r="Q40" i="1"/>
  <c r="I41" i="1"/>
  <c r="J41" i="1"/>
  <c r="M41" i="1" s="1"/>
  <c r="K41" i="1"/>
  <c r="L41" i="1"/>
  <c r="N41" i="1"/>
  <c r="Q41" i="1" s="1"/>
  <c r="O41" i="1"/>
  <c r="P41" i="1"/>
  <c r="I42" i="1"/>
  <c r="J42" i="1"/>
  <c r="K42" i="1"/>
  <c r="L42" i="1" s="1"/>
  <c r="N42" i="1"/>
  <c r="Q42" i="1" s="1"/>
  <c r="O42" i="1"/>
  <c r="P42" i="1"/>
  <c r="I43" i="1"/>
  <c r="J43" i="1"/>
  <c r="M43" i="1" s="1"/>
  <c r="K43" i="1"/>
  <c r="L43" i="1"/>
  <c r="N43" i="1"/>
  <c r="Q43" i="1" s="1"/>
  <c r="O43" i="1"/>
  <c r="P43" i="1"/>
  <c r="I44" i="1"/>
  <c r="J44" i="1" s="1"/>
  <c r="M44" i="1" s="1"/>
  <c r="K44" i="1"/>
  <c r="L44" i="1"/>
  <c r="N44" i="1"/>
  <c r="O44" i="1"/>
  <c r="P44" i="1"/>
  <c r="Q44" i="1"/>
  <c r="I45" i="1"/>
  <c r="J45" i="1"/>
  <c r="K45" i="1"/>
  <c r="L45" i="1" s="1"/>
  <c r="N45" i="1"/>
  <c r="Q45" i="1" s="1"/>
  <c r="O45" i="1"/>
  <c r="P45" i="1"/>
  <c r="I46" i="1"/>
  <c r="J46" i="1"/>
  <c r="M46" i="1" s="1"/>
  <c r="K46" i="1"/>
  <c r="L46" i="1" s="1"/>
  <c r="N46" i="1"/>
  <c r="Q46" i="1" s="1"/>
  <c r="O46" i="1"/>
  <c r="P46" i="1"/>
  <c r="I47" i="1"/>
  <c r="J47" i="1"/>
  <c r="M47" i="1" s="1"/>
  <c r="K47" i="1"/>
  <c r="L47" i="1"/>
  <c r="N47" i="1"/>
  <c r="Q47" i="1" s="1"/>
  <c r="O47" i="1"/>
  <c r="P47" i="1"/>
  <c r="I48" i="1"/>
  <c r="J48" i="1" s="1"/>
  <c r="M48" i="1" s="1"/>
  <c r="K48" i="1"/>
  <c r="L48" i="1"/>
  <c r="N48" i="1"/>
  <c r="O48" i="1"/>
  <c r="P48" i="1"/>
  <c r="Q48" i="1"/>
  <c r="I49" i="1"/>
  <c r="J49" i="1"/>
  <c r="M49" i="1" s="1"/>
  <c r="K49" i="1"/>
  <c r="L49" i="1"/>
  <c r="N49" i="1"/>
  <c r="Q49" i="1" s="1"/>
  <c r="O49" i="1"/>
  <c r="P49" i="1"/>
  <c r="I50" i="1"/>
  <c r="J50" i="1"/>
  <c r="K50" i="1"/>
  <c r="L50" i="1" s="1"/>
  <c r="N50" i="1"/>
  <c r="Q50" i="1" s="1"/>
  <c r="O50" i="1"/>
  <c r="P50" i="1"/>
  <c r="I51" i="1"/>
  <c r="J51" i="1"/>
  <c r="M51" i="1" s="1"/>
  <c r="K51" i="1"/>
  <c r="L51" i="1"/>
  <c r="N51" i="1"/>
  <c r="Q51" i="1" s="1"/>
  <c r="O51" i="1"/>
  <c r="P51" i="1"/>
  <c r="I52" i="1"/>
  <c r="J52" i="1" s="1"/>
  <c r="M52" i="1" s="1"/>
  <c r="K52" i="1"/>
  <c r="L52" i="1"/>
  <c r="N52" i="1"/>
  <c r="O52" i="1"/>
  <c r="P52" i="1"/>
  <c r="Q52" i="1"/>
  <c r="I53" i="1"/>
  <c r="J53" i="1"/>
  <c r="M53" i="1" s="1"/>
  <c r="K53" i="1"/>
  <c r="L53" i="1"/>
  <c r="N53" i="1"/>
  <c r="Q53" i="1" s="1"/>
  <c r="O53" i="1"/>
  <c r="P53" i="1"/>
  <c r="I54" i="1"/>
  <c r="J54" i="1"/>
  <c r="K54" i="1"/>
  <c r="L54" i="1" s="1"/>
  <c r="N54" i="1"/>
  <c r="Q54" i="1" s="1"/>
  <c r="O54" i="1"/>
  <c r="P54" i="1"/>
  <c r="I55" i="1"/>
  <c r="J55" i="1"/>
  <c r="M55" i="1" s="1"/>
  <c r="K55" i="1"/>
  <c r="L55" i="1"/>
  <c r="N55" i="1"/>
  <c r="Q55" i="1" s="1"/>
  <c r="O55" i="1"/>
  <c r="P55" i="1"/>
  <c r="I56" i="1"/>
  <c r="J56" i="1" s="1"/>
  <c r="M56" i="1" s="1"/>
  <c r="K56" i="1"/>
  <c r="L56" i="1"/>
  <c r="N56" i="1"/>
  <c r="O56" i="1"/>
  <c r="P56" i="1"/>
  <c r="Q56" i="1"/>
  <c r="P2" i="1"/>
  <c r="O2" i="1"/>
  <c r="N2" i="1"/>
  <c r="K2" i="1"/>
  <c r="L2" i="1" s="1"/>
  <c r="I2" i="1"/>
  <c r="J2" i="1" s="1"/>
  <c r="Q130" i="1" l="1"/>
  <c r="M126" i="1"/>
  <c r="Q125" i="1"/>
  <c r="Q122" i="1"/>
  <c r="M106" i="1"/>
  <c r="Q105" i="1"/>
  <c r="Q85" i="1"/>
  <c r="Q77" i="1"/>
  <c r="Q69" i="1"/>
  <c r="Q61" i="1"/>
  <c r="M133" i="1"/>
  <c r="M125" i="1"/>
  <c r="M134" i="1"/>
  <c r="Q133" i="1"/>
  <c r="M118" i="1"/>
  <c r="Q117" i="1"/>
  <c r="M114" i="1"/>
  <c r="Q113" i="1"/>
  <c r="M110" i="1"/>
  <c r="Q109" i="1"/>
  <c r="M102" i="1"/>
  <c r="Q101" i="1"/>
  <c r="M129" i="1"/>
  <c r="M121" i="1"/>
  <c r="M99" i="1"/>
  <c r="Q98" i="1"/>
  <c r="M94" i="1"/>
  <c r="Q93" i="1"/>
  <c r="M91" i="1"/>
  <c r="Q90" i="1"/>
  <c r="M86" i="1"/>
  <c r="M83" i="1"/>
  <c r="Q82" i="1"/>
  <c r="M78" i="1"/>
  <c r="M75" i="1"/>
  <c r="Q74" i="1"/>
  <c r="M70" i="1"/>
  <c r="M67" i="1"/>
  <c r="Q66" i="1"/>
  <c r="M62" i="1"/>
  <c r="M59" i="1"/>
  <c r="Q58" i="1"/>
  <c r="M89" i="1"/>
  <c r="M81" i="1"/>
  <c r="M73" i="1"/>
  <c r="M65" i="1"/>
  <c r="M57" i="1"/>
  <c r="M50" i="1"/>
  <c r="M38" i="1"/>
  <c r="M22" i="1"/>
  <c r="M6" i="1"/>
  <c r="M42" i="1"/>
  <c r="M26" i="1"/>
  <c r="M10" i="1"/>
  <c r="M54" i="1"/>
  <c r="M45" i="1"/>
  <c r="M30" i="1"/>
  <c r="M14" i="1"/>
  <c r="Q2" i="1"/>
  <c r="M2" i="1"/>
</calcChain>
</file>

<file path=xl/sharedStrings.xml><?xml version="1.0" encoding="utf-8"?>
<sst xmlns="http://schemas.openxmlformats.org/spreadsheetml/2006/main" count="416" uniqueCount="152">
  <si>
    <t>Aguilar Ponce, Damaris</t>
  </si>
  <si>
    <t>C.E. King High School</t>
  </si>
  <si>
    <t>Algebra I</t>
  </si>
  <si>
    <t>Alvarez, Kimberly</t>
  </si>
  <si>
    <t>Amaya, Gilbert</t>
  </si>
  <si>
    <t>Anderson, Anna</t>
  </si>
  <si>
    <t>Arriaga, Jayce</t>
  </si>
  <si>
    <t>Cabanas Reyes, Ian</t>
  </si>
  <si>
    <t>Cano, Melany</t>
  </si>
  <si>
    <t>Cantu Charles, Valentina</t>
  </si>
  <si>
    <t>Carrion, Amelia</t>
  </si>
  <si>
    <t>Cervantes, Makayla</t>
  </si>
  <si>
    <t>Chavez, Samantha</t>
  </si>
  <si>
    <t>Colomb, Gerald</t>
  </si>
  <si>
    <t>Dominguez Chable, Valeria</t>
  </si>
  <si>
    <t>Dominguez, Audrina</t>
  </si>
  <si>
    <t>Douglas, Ryli</t>
  </si>
  <si>
    <t>Estrada, Tiana</t>
  </si>
  <si>
    <t>Ferguson, Marcus</t>
  </si>
  <si>
    <t>Foggie, Bryceson</t>
  </si>
  <si>
    <t>Garcia Cantu, Yaithziry</t>
  </si>
  <si>
    <t>Garcia, Harley</t>
  </si>
  <si>
    <t>Garcia, John</t>
  </si>
  <si>
    <t>Garcia, Lindsay</t>
  </si>
  <si>
    <t>Garcia, Mia</t>
  </si>
  <si>
    <t>Gaviria, Danna</t>
  </si>
  <si>
    <t>Gonzalez, Jorge</t>
  </si>
  <si>
    <t>Gonzalez, Xavier</t>
  </si>
  <si>
    <t>Guerra, Isabella</t>
  </si>
  <si>
    <t>Hernandez, German</t>
  </si>
  <si>
    <t>Hernandez, Miguel</t>
  </si>
  <si>
    <t>Herrold, Aubrey</t>
  </si>
  <si>
    <t>Hightower, Gabriella</t>
  </si>
  <si>
    <t>Howard, Trinity</t>
  </si>
  <si>
    <t>Johnson, Alleriyah</t>
  </si>
  <si>
    <t>Jones, Shanira</t>
  </si>
  <si>
    <t>Lafuente, Eleni</t>
  </si>
  <si>
    <t>Logan, Makenzie</t>
  </si>
  <si>
    <t>Lopez, Hadjani</t>
  </si>
  <si>
    <t>Lucas, Ivana</t>
  </si>
  <si>
    <t>Macias, Jonathan</t>
  </si>
  <si>
    <t>Malpica Leon, Daisy</t>
  </si>
  <si>
    <t>Mendoza Nava, Ariana</t>
  </si>
  <si>
    <t>Meza Luna, Rodrigo</t>
  </si>
  <si>
    <t>Molina, Carlos</t>
  </si>
  <si>
    <t>Moya, Katelyn</t>
  </si>
  <si>
    <t>Murphy, Gracie</t>
  </si>
  <si>
    <t>Navarrete, Crystal</t>
  </si>
  <si>
    <t>Ochoa, Nicole</t>
  </si>
  <si>
    <t>Olvera, Valeria</t>
  </si>
  <si>
    <t>Perez Medina, Karla</t>
  </si>
  <si>
    <t>Perez, Jessie</t>
  </si>
  <si>
    <t>Perez, Sofia</t>
  </si>
  <si>
    <t>Pizano, Nelly</t>
  </si>
  <si>
    <t>Puente, Matias</t>
  </si>
  <si>
    <t>Roberson, David</t>
  </si>
  <si>
    <t>Rodriguez, Zury</t>
  </si>
  <si>
    <t>Student</t>
  </si>
  <si>
    <t>Campus</t>
  </si>
  <si>
    <t>Grade</t>
  </si>
  <si>
    <t>Subject</t>
  </si>
  <si>
    <t>Staar 2024</t>
  </si>
  <si>
    <t>Staar PL</t>
  </si>
  <si>
    <t>Q4</t>
  </si>
  <si>
    <t>Q4 PL</t>
  </si>
  <si>
    <t>Q4 Delta</t>
  </si>
  <si>
    <t>Q4 Growth</t>
  </si>
  <si>
    <t>Q4 HB1416</t>
  </si>
  <si>
    <t>Q4 HB1416 Delta</t>
  </si>
  <si>
    <t>Q4 Total Growth</t>
  </si>
  <si>
    <t>APP</t>
  </si>
  <si>
    <t>MEET</t>
  </si>
  <si>
    <t>MASTER</t>
  </si>
  <si>
    <t>CS</t>
  </si>
  <si>
    <t>Aldaco, Jocelyn</t>
  </si>
  <si>
    <t>Alexander, Chase</t>
  </si>
  <si>
    <t>Alvarado Morales, Valeria</t>
  </si>
  <si>
    <t>Amador Alvarado, Hector</t>
  </si>
  <si>
    <t>Arias Abreu, Alejandro</t>
  </si>
  <si>
    <t>Armendariz Limon, Gisselle</t>
  </si>
  <si>
    <t>Armendariz, Sadei</t>
  </si>
  <si>
    <t>Ashford, Makayla</t>
  </si>
  <si>
    <t>Baker, Noah</t>
  </si>
  <si>
    <t>Banda, Marcos</t>
  </si>
  <si>
    <t>Bell-Kyles, Ligon</t>
  </si>
  <si>
    <t>Blue, Reginald</t>
  </si>
  <si>
    <t>Boman, Ta'Marion</t>
  </si>
  <si>
    <t>Bradley, Rhaniya</t>
  </si>
  <si>
    <t>Brewer, Haley</t>
  </si>
  <si>
    <t>Canales, Christian</t>
  </si>
  <si>
    <t>Cardenas Lechuga, Nataly</t>
  </si>
  <si>
    <t>Carrillo, Justin</t>
  </si>
  <si>
    <t>Carter, Corry</t>
  </si>
  <si>
    <t>Castillo Rodriguez, Christopher</t>
  </si>
  <si>
    <t>Chillis, Da'Sia</t>
  </si>
  <si>
    <t>Collins, Jacorry</t>
  </si>
  <si>
    <t>Conner, Alyson</t>
  </si>
  <si>
    <t>Contreras Torres, Graciela</t>
  </si>
  <si>
    <t>Cruz, Diego</t>
  </si>
  <si>
    <t>Cruz, Ivan</t>
  </si>
  <si>
    <t>Cruz, Kaylie</t>
  </si>
  <si>
    <t>Davis, Regane</t>
  </si>
  <si>
    <t>Delarosa, Julian</t>
  </si>
  <si>
    <t>Derousselle, Mikayla</t>
  </si>
  <si>
    <t>Elizondo, Eduardo</t>
  </si>
  <si>
    <t>Escobar Martinez, Claudia</t>
  </si>
  <si>
    <t>Estes, Kardarion</t>
  </si>
  <si>
    <t>Garcia Alvarez, Melany</t>
  </si>
  <si>
    <t>Garry, Devin</t>
  </si>
  <si>
    <t>Garza, Francisco</t>
  </si>
  <si>
    <t>Garza, Mylene</t>
  </si>
  <si>
    <t>Garza, Vanessa</t>
  </si>
  <si>
    <t>Gilmore, Aniya</t>
  </si>
  <si>
    <t>Gomez, Andrea</t>
  </si>
  <si>
    <t>Gonzales, Desiree</t>
  </si>
  <si>
    <t>Gonzalez, Mayte</t>
  </si>
  <si>
    <t>Guerrero Colunga, Yadana</t>
  </si>
  <si>
    <t>Gutierrez, Daniella</t>
  </si>
  <si>
    <t>Hansford, Arry</t>
  </si>
  <si>
    <t>Hernandez, Sophia</t>
  </si>
  <si>
    <t>Herrera, Aileny</t>
  </si>
  <si>
    <t>Hudson, Arytavian</t>
  </si>
  <si>
    <t>Hurtado, Aileen</t>
  </si>
  <si>
    <t>Isedore, Jayden</t>
  </si>
  <si>
    <t>Jackson, Bishop</t>
  </si>
  <si>
    <t>Jacquet, Oswald</t>
  </si>
  <si>
    <t>James, Noah</t>
  </si>
  <si>
    <t>Johnson, Alexis</t>
  </si>
  <si>
    <t>Kassim, Rashad</t>
  </si>
  <si>
    <t>Lazo Sauceda, Norma</t>
  </si>
  <si>
    <t>Licona Avila, Maria Jose</t>
  </si>
  <si>
    <t>Martinez Luna, Jade</t>
  </si>
  <si>
    <t>Martinez Perez, Jesus</t>
  </si>
  <si>
    <t>Meza, Aldo</t>
  </si>
  <si>
    <t>Meza, Diego</t>
  </si>
  <si>
    <t>Milburn, Derek</t>
  </si>
  <si>
    <t>Morris, Tre'Von</t>
  </si>
  <si>
    <t>Moten, Judarrell</t>
  </si>
  <si>
    <t>Muro Roldan, Pamela</t>
  </si>
  <si>
    <t>Ortega, Aaron</t>
  </si>
  <si>
    <t>Ortiz, Angel</t>
  </si>
  <si>
    <t>Posadas Sandoval, Olvin</t>
  </si>
  <si>
    <t>Ramos Flores, Melquin</t>
  </si>
  <si>
    <t>Ramos, Otis</t>
  </si>
  <si>
    <t>Randall, Jacoby</t>
  </si>
  <si>
    <t>Reed, Krislyn</t>
  </si>
  <si>
    <t>Resendez, Kevin</t>
  </si>
  <si>
    <t>Richardson, Taimone</t>
  </si>
  <si>
    <t>Rodriguez Ruiz, Angelica</t>
  </si>
  <si>
    <t>Rodriguez Ruiz, Mariely</t>
  </si>
  <si>
    <t>Roldan Reyes, Bianca</t>
  </si>
  <si>
    <t>Roy, Ameron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</si>
</sst>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 vertical="center"/>
    </xf>
    <xf numFmtId="10" fontId="18" fillId="33" borderId="0" xfId="0" applyNumberFormat="1" applyFont="1" applyFill="1" applyAlignment="1">
      <alignment horizontal="center" vertic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5027-CE66-4746-93AE-88B0063A2B41}">
  <dimension ref="A1:Q134"/>
  <sheetViews>
    <sheetView tabSelected="1" topLeftCell="A114" workbookViewId="0">
      <selection activeCell="I56" sqref="I56:Q134"/>
    </sheetView>
  </sheetViews>
  <sheetFormatPr defaultRowHeight="15" x14ac:dyDescent="0.25"/>
  <cols>
    <col min="1" max="1" width="27.42578125" customWidth="1"/>
    <col min="2" max="2" width="22" customWidth="1"/>
    <col min="3" max="3" width="9.140625" customWidth="1"/>
    <col min="4" max="4" width="14" customWidth="1"/>
    <col min="5" max="5" width="11.28515625" bestFit="1" customWidth="1"/>
    <col min="6" max="6" width="9" bestFit="1" customWidth="1"/>
    <col min="7" max="7" width="8.42578125" customWidth="1"/>
    <col min="8" max="8" width="11.5703125" customWidth="1"/>
    <col min="9" max="9" width="9.5703125" bestFit="1" customWidth="1"/>
    <col min="10" max="10" width="13.7109375" customWidth="1"/>
    <col min="11" max="11" width="13.5703125" customWidth="1"/>
    <col min="12" max="12" width="18.85546875" customWidth="1"/>
    <col min="13" max="13" width="19" customWidth="1"/>
    <col min="14" max="14" width="9.42578125" customWidth="1"/>
    <col min="15" max="15" width="9" customWidth="1"/>
    <col min="16" max="16" width="10.85546875" customWidth="1"/>
    <col min="17" max="17" width="7.5703125" customWidth="1"/>
  </cols>
  <sheetData>
    <row r="1" spans="1:17" s="1" customFormat="1" ht="33.75" customHeight="1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2" t="s">
        <v>73</v>
      </c>
    </row>
    <row r="2" spans="1:17" x14ac:dyDescent="0.25">
      <c r="A2" t="s">
        <v>0</v>
      </c>
      <c r="B2" t="s">
        <v>1</v>
      </c>
      <c r="C2">
        <v>9</v>
      </c>
      <c r="D2" t="s">
        <v>2</v>
      </c>
      <c r="E2">
        <v>33</v>
      </c>
      <c r="F2">
        <v>1</v>
      </c>
      <c r="G2">
        <v>35</v>
      </c>
      <c r="H2">
        <v>2</v>
      </c>
      <c r="I2">
        <f>H2-F2</f>
        <v>1</v>
      </c>
      <c r="J2">
        <f>IF(AND(OR(F2=4, F2=5), I2=0), 1,
   IF(AND(F2&gt;=1, F2&lt;=3, I2=0), 0.5,
   IF(AND(F2=0, I2=0), 0,
   IF(AND(F2&gt;=0, F2&lt;=4, I2&gt;1), 1, 0))))
   + IF(AND(OR(F2=0, F2=1), H2&gt;=2, H2&lt;=5), 0.25, 0)</f>
        <v>0.25</v>
      </c>
      <c r="K2">
        <f>IF(OR(F2=0, F2=1), 1, 0)</f>
        <v>1</v>
      </c>
      <c r="L2">
        <f>IF(AND(K2=1, H2&gt;1), 0.25, 0)</f>
        <v>0.25</v>
      </c>
      <c r="M2">
        <f>J2+L2</f>
        <v>0.5</v>
      </c>
      <c r="N2">
        <f>IF(G2&gt;=34, 1, 0)</f>
        <v>1</v>
      </c>
      <c r="O2">
        <f>IF(G2&gt;=54, 1, 0)</f>
        <v>0</v>
      </c>
      <c r="P2">
        <f>IF(G2&gt;=69, 1, 0)</f>
        <v>0</v>
      </c>
      <c r="Q2" s="3">
        <f>(N2+O2+P2)/3</f>
        <v>0.33333333333333331</v>
      </c>
    </row>
    <row r="3" spans="1:17" x14ac:dyDescent="0.25">
      <c r="A3" t="s">
        <v>74</v>
      </c>
      <c r="B3" t="s">
        <v>1</v>
      </c>
      <c r="C3">
        <v>9</v>
      </c>
      <c r="D3" t="s">
        <v>2</v>
      </c>
      <c r="E3">
        <v>0</v>
      </c>
      <c r="F3">
        <v>0</v>
      </c>
      <c r="G3">
        <v>35</v>
      </c>
      <c r="H3">
        <v>2</v>
      </c>
      <c r="I3">
        <f t="shared" ref="I3:I56" si="0">H3-F3</f>
        <v>2</v>
      </c>
      <c r="J3">
        <f t="shared" ref="J3:J56" si="1">IF(AND(OR(F3=4, F3=5), I3=0), 1,
   IF(AND(F3&gt;=1, F3&lt;=3, I3=0), 0.5,
   IF(AND(F3=0, I3=0), 0,
   IF(AND(F3&gt;=0, F3&lt;=4, I3&gt;1), 1, 0))))
   + IF(AND(OR(F3=0, F3=1), H3&gt;=2, H3&lt;=5), 0.25, 0)</f>
        <v>1.25</v>
      </c>
      <c r="K3">
        <f t="shared" ref="K3:K56" si="2">IF(OR(F3=0, F3=1), 1, 0)</f>
        <v>1</v>
      </c>
      <c r="L3">
        <f t="shared" ref="L3:L56" si="3">IF(AND(K3=1, H3&gt;1), 0.25, 0)</f>
        <v>0.25</v>
      </c>
      <c r="M3">
        <f t="shared" ref="M3:M56" si="4">J3+L3</f>
        <v>1.5</v>
      </c>
      <c r="N3">
        <f t="shared" ref="N3:N56" si="5">IF(G3&gt;=34, 1, 0)</f>
        <v>1</v>
      </c>
      <c r="O3">
        <f t="shared" ref="O3:O56" si="6">IF(G3&gt;=54, 1, 0)</f>
        <v>0</v>
      </c>
      <c r="P3">
        <f t="shared" ref="P3:P56" si="7">IF(G3&gt;=69, 1, 0)</f>
        <v>0</v>
      </c>
      <c r="Q3" s="3">
        <f t="shared" ref="Q3:Q56" si="8">(N3+O3+P3)/3</f>
        <v>0.33333333333333331</v>
      </c>
    </row>
    <row r="4" spans="1:17" x14ac:dyDescent="0.25">
      <c r="A4" t="s">
        <v>75</v>
      </c>
      <c r="B4" t="s">
        <v>1</v>
      </c>
      <c r="C4">
        <v>9</v>
      </c>
      <c r="D4" t="s">
        <v>2</v>
      </c>
      <c r="E4">
        <v>0</v>
      </c>
      <c r="F4">
        <v>0</v>
      </c>
      <c r="G4">
        <v>19</v>
      </c>
      <c r="H4">
        <v>0</v>
      </c>
      <c r="I4">
        <f t="shared" si="0"/>
        <v>0</v>
      </c>
      <c r="J4">
        <f t="shared" si="1"/>
        <v>0</v>
      </c>
      <c r="K4">
        <f t="shared" si="2"/>
        <v>1</v>
      </c>
      <c r="L4">
        <f t="shared" si="3"/>
        <v>0</v>
      </c>
      <c r="M4">
        <f t="shared" si="4"/>
        <v>0</v>
      </c>
      <c r="N4">
        <f t="shared" si="5"/>
        <v>0</v>
      </c>
      <c r="O4">
        <f t="shared" si="6"/>
        <v>0</v>
      </c>
      <c r="P4">
        <f t="shared" si="7"/>
        <v>0</v>
      </c>
      <c r="Q4" s="3">
        <f t="shared" si="8"/>
        <v>0</v>
      </c>
    </row>
    <row r="5" spans="1:17" x14ac:dyDescent="0.25">
      <c r="A5" t="s">
        <v>76</v>
      </c>
      <c r="B5" t="s">
        <v>1</v>
      </c>
      <c r="C5">
        <v>9</v>
      </c>
      <c r="D5" t="s">
        <v>2</v>
      </c>
      <c r="E5">
        <v>0</v>
      </c>
      <c r="F5">
        <v>0</v>
      </c>
      <c r="G5">
        <v>17</v>
      </c>
      <c r="H5">
        <v>0</v>
      </c>
      <c r="I5">
        <f t="shared" si="0"/>
        <v>0</v>
      </c>
      <c r="J5">
        <f t="shared" si="1"/>
        <v>0</v>
      </c>
      <c r="K5">
        <f t="shared" si="2"/>
        <v>1</v>
      </c>
      <c r="L5">
        <f t="shared" si="3"/>
        <v>0</v>
      </c>
      <c r="M5">
        <f t="shared" si="4"/>
        <v>0</v>
      </c>
      <c r="N5">
        <f t="shared" si="5"/>
        <v>0</v>
      </c>
      <c r="O5">
        <f t="shared" si="6"/>
        <v>0</v>
      </c>
      <c r="P5">
        <f t="shared" si="7"/>
        <v>0</v>
      </c>
      <c r="Q5" s="3">
        <f t="shared" si="8"/>
        <v>0</v>
      </c>
    </row>
    <row r="6" spans="1:17" x14ac:dyDescent="0.25">
      <c r="A6" t="s">
        <v>3</v>
      </c>
      <c r="B6" t="s">
        <v>1</v>
      </c>
      <c r="C6">
        <v>9</v>
      </c>
      <c r="D6" t="s">
        <v>2</v>
      </c>
      <c r="E6">
        <v>56</v>
      </c>
      <c r="F6">
        <v>4</v>
      </c>
      <c r="G6">
        <v>32</v>
      </c>
      <c r="H6">
        <v>1</v>
      </c>
      <c r="I6">
        <f t="shared" si="0"/>
        <v>-3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 s="3">
        <f t="shared" si="8"/>
        <v>0</v>
      </c>
    </row>
    <row r="7" spans="1:17" x14ac:dyDescent="0.25">
      <c r="A7" t="s">
        <v>77</v>
      </c>
      <c r="B7" t="s">
        <v>1</v>
      </c>
      <c r="C7">
        <v>9</v>
      </c>
      <c r="D7" t="s">
        <v>2</v>
      </c>
      <c r="E7">
        <v>0</v>
      </c>
      <c r="F7">
        <v>0</v>
      </c>
      <c r="G7">
        <v>19</v>
      </c>
      <c r="H7">
        <v>0</v>
      </c>
      <c r="I7">
        <f t="shared" si="0"/>
        <v>0</v>
      </c>
      <c r="J7">
        <f t="shared" si="1"/>
        <v>0</v>
      </c>
      <c r="K7">
        <f t="shared" si="2"/>
        <v>1</v>
      </c>
      <c r="L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 s="3">
        <f t="shared" si="8"/>
        <v>0</v>
      </c>
    </row>
    <row r="8" spans="1:17" x14ac:dyDescent="0.25">
      <c r="A8" t="s">
        <v>4</v>
      </c>
      <c r="B8" t="s">
        <v>1</v>
      </c>
      <c r="C8">
        <v>9</v>
      </c>
      <c r="D8" t="s">
        <v>2</v>
      </c>
      <c r="E8">
        <v>88</v>
      </c>
      <c r="F8">
        <v>5</v>
      </c>
      <c r="G8">
        <v>39</v>
      </c>
      <c r="H8">
        <v>2</v>
      </c>
      <c r="I8">
        <f t="shared" si="0"/>
        <v>-3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0</v>
      </c>
      <c r="N8">
        <f t="shared" si="5"/>
        <v>1</v>
      </c>
      <c r="O8">
        <f t="shared" si="6"/>
        <v>0</v>
      </c>
      <c r="P8">
        <f t="shared" si="7"/>
        <v>0</v>
      </c>
      <c r="Q8" s="3">
        <f t="shared" si="8"/>
        <v>0.33333333333333331</v>
      </c>
    </row>
    <row r="9" spans="1:17" x14ac:dyDescent="0.25">
      <c r="A9" t="s">
        <v>5</v>
      </c>
      <c r="B9" t="s">
        <v>1</v>
      </c>
      <c r="C9">
        <v>9</v>
      </c>
      <c r="D9" t="s">
        <v>2</v>
      </c>
      <c r="E9">
        <v>81</v>
      </c>
      <c r="F9">
        <v>5</v>
      </c>
      <c r="G9">
        <v>55</v>
      </c>
      <c r="H9">
        <v>4</v>
      </c>
      <c r="I9">
        <f t="shared" si="0"/>
        <v>-1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0</v>
      </c>
      <c r="N9">
        <f t="shared" si="5"/>
        <v>1</v>
      </c>
      <c r="O9">
        <f t="shared" si="6"/>
        <v>1</v>
      </c>
      <c r="P9">
        <f t="shared" si="7"/>
        <v>0</v>
      </c>
      <c r="Q9" s="3">
        <f t="shared" si="8"/>
        <v>0.66666666666666663</v>
      </c>
    </row>
    <row r="10" spans="1:17" x14ac:dyDescent="0.25">
      <c r="A10" t="s">
        <v>78</v>
      </c>
      <c r="B10" t="s">
        <v>1</v>
      </c>
      <c r="C10">
        <v>9</v>
      </c>
      <c r="D10" t="s">
        <v>2</v>
      </c>
      <c r="E10">
        <v>0</v>
      </c>
      <c r="F10">
        <v>0</v>
      </c>
      <c r="G10">
        <v>23</v>
      </c>
      <c r="H10">
        <v>0</v>
      </c>
      <c r="I10">
        <f t="shared" si="0"/>
        <v>0</v>
      </c>
      <c r="J10">
        <f t="shared" si="1"/>
        <v>0</v>
      </c>
      <c r="K10">
        <f t="shared" si="2"/>
        <v>1</v>
      </c>
      <c r="L10">
        <f t="shared" si="3"/>
        <v>0</v>
      </c>
      <c r="M10">
        <f t="shared" si="4"/>
        <v>0</v>
      </c>
      <c r="N10">
        <f t="shared" si="5"/>
        <v>0</v>
      </c>
      <c r="O10">
        <f t="shared" si="6"/>
        <v>0</v>
      </c>
      <c r="P10">
        <f t="shared" si="7"/>
        <v>0</v>
      </c>
      <c r="Q10" s="3">
        <f t="shared" si="8"/>
        <v>0</v>
      </c>
    </row>
    <row r="11" spans="1:17" x14ac:dyDescent="0.25">
      <c r="A11" t="s">
        <v>79</v>
      </c>
      <c r="B11" t="s">
        <v>1</v>
      </c>
      <c r="C11">
        <v>9</v>
      </c>
      <c r="D11" t="s">
        <v>2</v>
      </c>
      <c r="E11">
        <v>0</v>
      </c>
      <c r="F11">
        <v>0</v>
      </c>
      <c r="G11">
        <v>25</v>
      </c>
      <c r="H11">
        <v>0</v>
      </c>
      <c r="I11">
        <f t="shared" si="0"/>
        <v>0</v>
      </c>
      <c r="J11">
        <f t="shared" si="1"/>
        <v>0</v>
      </c>
      <c r="K11">
        <f t="shared" si="2"/>
        <v>1</v>
      </c>
      <c r="L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 s="3">
        <f t="shared" si="8"/>
        <v>0</v>
      </c>
    </row>
    <row r="12" spans="1:17" x14ac:dyDescent="0.25">
      <c r="A12" t="s">
        <v>80</v>
      </c>
      <c r="B12" t="s">
        <v>1</v>
      </c>
      <c r="C12">
        <v>9</v>
      </c>
      <c r="D12" t="s">
        <v>2</v>
      </c>
      <c r="E12">
        <v>0</v>
      </c>
      <c r="F12">
        <v>0</v>
      </c>
      <c r="G12">
        <v>0</v>
      </c>
      <c r="H12">
        <v>0</v>
      </c>
      <c r="I12">
        <f t="shared" si="0"/>
        <v>0</v>
      </c>
      <c r="J12">
        <f t="shared" si="1"/>
        <v>0</v>
      </c>
      <c r="K12">
        <f t="shared" si="2"/>
        <v>1</v>
      </c>
      <c r="L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 s="3">
        <f t="shared" si="8"/>
        <v>0</v>
      </c>
    </row>
    <row r="13" spans="1:17" x14ac:dyDescent="0.25">
      <c r="A13" t="s">
        <v>6</v>
      </c>
      <c r="B13" t="s">
        <v>1</v>
      </c>
      <c r="C13">
        <v>9</v>
      </c>
      <c r="D13" t="s">
        <v>2</v>
      </c>
      <c r="E13">
        <v>44</v>
      </c>
      <c r="F13">
        <v>2</v>
      </c>
      <c r="G13">
        <v>24</v>
      </c>
      <c r="H13">
        <v>0</v>
      </c>
      <c r="I13">
        <f t="shared" si="0"/>
        <v>-2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 s="3">
        <f t="shared" si="8"/>
        <v>0</v>
      </c>
    </row>
    <row r="14" spans="1:17" x14ac:dyDescent="0.25">
      <c r="A14" t="s">
        <v>81</v>
      </c>
      <c r="B14" t="s">
        <v>1</v>
      </c>
      <c r="C14">
        <v>9</v>
      </c>
      <c r="D14" t="s">
        <v>2</v>
      </c>
      <c r="E14">
        <v>0</v>
      </c>
      <c r="F14">
        <v>0</v>
      </c>
      <c r="G14">
        <v>40</v>
      </c>
      <c r="H14">
        <v>2</v>
      </c>
      <c r="I14">
        <f t="shared" si="0"/>
        <v>2</v>
      </c>
      <c r="J14">
        <f t="shared" si="1"/>
        <v>1.25</v>
      </c>
      <c r="K14">
        <f t="shared" si="2"/>
        <v>1</v>
      </c>
      <c r="L14">
        <f t="shared" si="3"/>
        <v>0.25</v>
      </c>
      <c r="M14">
        <f t="shared" si="4"/>
        <v>1.5</v>
      </c>
      <c r="N14">
        <f t="shared" si="5"/>
        <v>1</v>
      </c>
      <c r="O14">
        <f t="shared" si="6"/>
        <v>0</v>
      </c>
      <c r="P14">
        <f t="shared" si="7"/>
        <v>0</v>
      </c>
      <c r="Q14" s="3">
        <f t="shared" si="8"/>
        <v>0.33333333333333331</v>
      </c>
    </row>
    <row r="15" spans="1:17" x14ac:dyDescent="0.25">
      <c r="A15" t="s">
        <v>82</v>
      </c>
      <c r="B15" t="s">
        <v>1</v>
      </c>
      <c r="C15">
        <v>9</v>
      </c>
      <c r="D15" t="s">
        <v>2</v>
      </c>
      <c r="E15">
        <v>0</v>
      </c>
      <c r="F15">
        <v>0</v>
      </c>
      <c r="G15">
        <v>10</v>
      </c>
      <c r="H15">
        <v>0</v>
      </c>
      <c r="I15">
        <f t="shared" si="0"/>
        <v>0</v>
      </c>
      <c r="J15">
        <f t="shared" si="1"/>
        <v>0</v>
      </c>
      <c r="K15">
        <f t="shared" si="2"/>
        <v>1</v>
      </c>
      <c r="L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 s="3">
        <f t="shared" si="8"/>
        <v>0</v>
      </c>
    </row>
    <row r="16" spans="1:17" x14ac:dyDescent="0.25">
      <c r="A16" t="s">
        <v>83</v>
      </c>
      <c r="B16" t="s">
        <v>1</v>
      </c>
      <c r="C16">
        <v>9</v>
      </c>
      <c r="D16" t="s">
        <v>2</v>
      </c>
      <c r="E16">
        <v>0</v>
      </c>
      <c r="F16">
        <v>0</v>
      </c>
      <c r="G16">
        <v>23</v>
      </c>
      <c r="H16">
        <v>0</v>
      </c>
      <c r="I16">
        <f t="shared" si="0"/>
        <v>0</v>
      </c>
      <c r="J16">
        <f t="shared" si="1"/>
        <v>0</v>
      </c>
      <c r="K16">
        <f t="shared" si="2"/>
        <v>1</v>
      </c>
      <c r="L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 s="3">
        <f t="shared" si="8"/>
        <v>0</v>
      </c>
    </row>
    <row r="17" spans="1:17" x14ac:dyDescent="0.25">
      <c r="A17" t="s">
        <v>84</v>
      </c>
      <c r="B17" t="s">
        <v>1</v>
      </c>
      <c r="C17">
        <v>9</v>
      </c>
      <c r="D17" t="s">
        <v>2</v>
      </c>
      <c r="E17">
        <v>0</v>
      </c>
      <c r="F17">
        <v>0</v>
      </c>
      <c r="G17">
        <v>34</v>
      </c>
      <c r="H17">
        <v>1</v>
      </c>
      <c r="I17">
        <f t="shared" si="0"/>
        <v>1</v>
      </c>
      <c r="J17">
        <f t="shared" si="1"/>
        <v>0</v>
      </c>
      <c r="K17">
        <f t="shared" si="2"/>
        <v>1</v>
      </c>
      <c r="L17">
        <f t="shared" si="3"/>
        <v>0</v>
      </c>
      <c r="M17">
        <f t="shared" si="4"/>
        <v>0</v>
      </c>
      <c r="N17">
        <f t="shared" si="5"/>
        <v>1</v>
      </c>
      <c r="O17">
        <f t="shared" si="6"/>
        <v>0</v>
      </c>
      <c r="P17">
        <f t="shared" si="7"/>
        <v>0</v>
      </c>
      <c r="Q17" s="3">
        <f t="shared" si="8"/>
        <v>0.33333333333333331</v>
      </c>
    </row>
    <row r="18" spans="1:17" x14ac:dyDescent="0.25">
      <c r="A18" t="s">
        <v>85</v>
      </c>
      <c r="B18" t="s">
        <v>1</v>
      </c>
      <c r="C18">
        <v>9</v>
      </c>
      <c r="D18" t="s">
        <v>2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  <c r="J18">
        <f t="shared" si="1"/>
        <v>0</v>
      </c>
      <c r="K18">
        <f t="shared" si="2"/>
        <v>1</v>
      </c>
      <c r="L18">
        <f t="shared" si="3"/>
        <v>0</v>
      </c>
      <c r="M18">
        <f t="shared" si="4"/>
        <v>0</v>
      </c>
      <c r="N18">
        <f t="shared" si="5"/>
        <v>0</v>
      </c>
      <c r="O18">
        <f t="shared" si="6"/>
        <v>0</v>
      </c>
      <c r="P18">
        <f t="shared" si="7"/>
        <v>0</v>
      </c>
      <c r="Q18" s="3">
        <f t="shared" si="8"/>
        <v>0</v>
      </c>
    </row>
    <row r="19" spans="1:17" x14ac:dyDescent="0.25">
      <c r="A19" t="s">
        <v>86</v>
      </c>
      <c r="B19" t="s">
        <v>1</v>
      </c>
      <c r="C19">
        <v>9</v>
      </c>
      <c r="D19" t="s">
        <v>2</v>
      </c>
      <c r="E19">
        <v>0</v>
      </c>
      <c r="F19">
        <v>0</v>
      </c>
      <c r="G19">
        <v>16</v>
      </c>
      <c r="H19">
        <v>0</v>
      </c>
      <c r="I19">
        <f t="shared" si="0"/>
        <v>0</v>
      </c>
      <c r="J19">
        <f t="shared" si="1"/>
        <v>0</v>
      </c>
      <c r="K19">
        <f t="shared" si="2"/>
        <v>1</v>
      </c>
      <c r="L19">
        <f t="shared" si="3"/>
        <v>0</v>
      </c>
      <c r="M19">
        <f t="shared" si="4"/>
        <v>0</v>
      </c>
      <c r="N19">
        <f t="shared" si="5"/>
        <v>0</v>
      </c>
      <c r="O19">
        <f t="shared" si="6"/>
        <v>0</v>
      </c>
      <c r="P19">
        <f t="shared" si="7"/>
        <v>0</v>
      </c>
      <c r="Q19" s="3">
        <f t="shared" si="8"/>
        <v>0</v>
      </c>
    </row>
    <row r="20" spans="1:17" x14ac:dyDescent="0.25">
      <c r="A20" t="s">
        <v>87</v>
      </c>
      <c r="B20" t="s">
        <v>1</v>
      </c>
      <c r="C20">
        <v>9</v>
      </c>
      <c r="D20" t="s">
        <v>2</v>
      </c>
      <c r="E20">
        <v>0</v>
      </c>
      <c r="F20">
        <v>0</v>
      </c>
      <c r="G20">
        <v>0</v>
      </c>
      <c r="H20">
        <v>0</v>
      </c>
      <c r="I20">
        <f t="shared" si="0"/>
        <v>0</v>
      </c>
      <c r="J20">
        <f t="shared" si="1"/>
        <v>0</v>
      </c>
      <c r="K20">
        <f t="shared" si="2"/>
        <v>1</v>
      </c>
      <c r="L20">
        <f t="shared" si="3"/>
        <v>0</v>
      </c>
      <c r="M20">
        <f t="shared" si="4"/>
        <v>0</v>
      </c>
      <c r="N20">
        <f t="shared" si="5"/>
        <v>0</v>
      </c>
      <c r="O20">
        <f t="shared" si="6"/>
        <v>0</v>
      </c>
      <c r="P20">
        <f t="shared" si="7"/>
        <v>0</v>
      </c>
      <c r="Q20" s="3">
        <f t="shared" si="8"/>
        <v>0</v>
      </c>
    </row>
    <row r="21" spans="1:17" x14ac:dyDescent="0.25">
      <c r="A21" t="s">
        <v>88</v>
      </c>
      <c r="B21" t="s">
        <v>1</v>
      </c>
      <c r="C21">
        <v>9</v>
      </c>
      <c r="D21" t="s">
        <v>2</v>
      </c>
      <c r="E21">
        <v>0</v>
      </c>
      <c r="F21">
        <v>0</v>
      </c>
      <c r="G21">
        <v>19</v>
      </c>
      <c r="H21">
        <v>0</v>
      </c>
      <c r="I21">
        <f t="shared" si="0"/>
        <v>0</v>
      </c>
      <c r="J21">
        <f t="shared" si="1"/>
        <v>0</v>
      </c>
      <c r="K21">
        <f t="shared" si="2"/>
        <v>1</v>
      </c>
      <c r="L21">
        <f t="shared" si="3"/>
        <v>0</v>
      </c>
      <c r="M21">
        <f t="shared" si="4"/>
        <v>0</v>
      </c>
      <c r="N21">
        <f t="shared" si="5"/>
        <v>0</v>
      </c>
      <c r="O21">
        <f t="shared" si="6"/>
        <v>0</v>
      </c>
      <c r="P21">
        <f t="shared" si="7"/>
        <v>0</v>
      </c>
      <c r="Q21" s="3">
        <f t="shared" si="8"/>
        <v>0</v>
      </c>
    </row>
    <row r="22" spans="1:17" x14ac:dyDescent="0.25">
      <c r="A22" t="s">
        <v>7</v>
      </c>
      <c r="B22" t="s">
        <v>1</v>
      </c>
      <c r="C22">
        <v>9</v>
      </c>
      <c r="D22" t="s">
        <v>2</v>
      </c>
      <c r="E22">
        <v>44</v>
      </c>
      <c r="F22">
        <v>2</v>
      </c>
      <c r="G22">
        <v>27</v>
      </c>
      <c r="H22">
        <v>1</v>
      </c>
      <c r="I22">
        <f t="shared" si="0"/>
        <v>-1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0</v>
      </c>
      <c r="N22">
        <f t="shared" si="5"/>
        <v>0</v>
      </c>
      <c r="O22">
        <f t="shared" si="6"/>
        <v>0</v>
      </c>
      <c r="P22">
        <f t="shared" si="7"/>
        <v>0</v>
      </c>
      <c r="Q22" s="3">
        <f t="shared" si="8"/>
        <v>0</v>
      </c>
    </row>
    <row r="23" spans="1:17" x14ac:dyDescent="0.25">
      <c r="A23" t="s">
        <v>89</v>
      </c>
      <c r="B23" t="s">
        <v>1</v>
      </c>
      <c r="C23">
        <v>9</v>
      </c>
      <c r="D23" t="s">
        <v>2</v>
      </c>
      <c r="E23">
        <v>0</v>
      </c>
      <c r="F23">
        <v>0</v>
      </c>
      <c r="G23">
        <v>17</v>
      </c>
      <c r="H23">
        <v>0</v>
      </c>
      <c r="I23">
        <f t="shared" si="0"/>
        <v>0</v>
      </c>
      <c r="J23">
        <f t="shared" si="1"/>
        <v>0</v>
      </c>
      <c r="K23">
        <f t="shared" si="2"/>
        <v>1</v>
      </c>
      <c r="L23">
        <f t="shared" si="3"/>
        <v>0</v>
      </c>
      <c r="M23">
        <f t="shared" si="4"/>
        <v>0</v>
      </c>
      <c r="N23">
        <f t="shared" si="5"/>
        <v>0</v>
      </c>
      <c r="O23">
        <f t="shared" si="6"/>
        <v>0</v>
      </c>
      <c r="P23">
        <f t="shared" si="7"/>
        <v>0</v>
      </c>
      <c r="Q23" s="3">
        <f t="shared" si="8"/>
        <v>0</v>
      </c>
    </row>
    <row r="24" spans="1:17" x14ac:dyDescent="0.25">
      <c r="A24" t="s">
        <v>8</v>
      </c>
      <c r="B24" t="s">
        <v>1</v>
      </c>
      <c r="C24">
        <v>9</v>
      </c>
      <c r="D24" t="s">
        <v>2</v>
      </c>
      <c r="E24">
        <v>38</v>
      </c>
      <c r="F24">
        <v>1</v>
      </c>
      <c r="G24">
        <v>31</v>
      </c>
      <c r="H24">
        <v>1</v>
      </c>
      <c r="I24">
        <f t="shared" si="0"/>
        <v>0</v>
      </c>
      <c r="J24">
        <f t="shared" si="1"/>
        <v>0.5</v>
      </c>
      <c r="K24">
        <f t="shared" si="2"/>
        <v>1</v>
      </c>
      <c r="L24">
        <f t="shared" si="3"/>
        <v>0</v>
      </c>
      <c r="M24">
        <f t="shared" si="4"/>
        <v>0.5</v>
      </c>
      <c r="N24">
        <f t="shared" si="5"/>
        <v>0</v>
      </c>
      <c r="O24">
        <f t="shared" si="6"/>
        <v>0</v>
      </c>
      <c r="P24">
        <f t="shared" si="7"/>
        <v>0</v>
      </c>
      <c r="Q24" s="3">
        <f t="shared" si="8"/>
        <v>0</v>
      </c>
    </row>
    <row r="25" spans="1:17" x14ac:dyDescent="0.25">
      <c r="A25" t="s">
        <v>9</v>
      </c>
      <c r="B25" t="s">
        <v>1</v>
      </c>
      <c r="C25">
        <v>9</v>
      </c>
      <c r="D25" t="s">
        <v>2</v>
      </c>
      <c r="E25">
        <v>21</v>
      </c>
      <c r="F25">
        <v>0</v>
      </c>
      <c r="G25">
        <v>20</v>
      </c>
      <c r="H25">
        <v>0</v>
      </c>
      <c r="I25">
        <f t="shared" si="0"/>
        <v>0</v>
      </c>
      <c r="J25">
        <f t="shared" si="1"/>
        <v>0</v>
      </c>
      <c r="K25">
        <f t="shared" si="2"/>
        <v>1</v>
      </c>
      <c r="L25">
        <f t="shared" si="3"/>
        <v>0</v>
      </c>
      <c r="M25">
        <f t="shared" si="4"/>
        <v>0</v>
      </c>
      <c r="N25">
        <f t="shared" si="5"/>
        <v>0</v>
      </c>
      <c r="O25">
        <f t="shared" si="6"/>
        <v>0</v>
      </c>
      <c r="P25">
        <f t="shared" si="7"/>
        <v>0</v>
      </c>
      <c r="Q25" s="3">
        <f t="shared" si="8"/>
        <v>0</v>
      </c>
    </row>
    <row r="26" spans="1:17" x14ac:dyDescent="0.25">
      <c r="A26" t="s">
        <v>90</v>
      </c>
      <c r="B26" t="s">
        <v>1</v>
      </c>
      <c r="C26">
        <v>9</v>
      </c>
      <c r="D26" t="s">
        <v>2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  <c r="J26">
        <f t="shared" si="1"/>
        <v>0</v>
      </c>
      <c r="K26">
        <f t="shared" si="2"/>
        <v>1</v>
      </c>
      <c r="L26">
        <f t="shared" si="3"/>
        <v>0</v>
      </c>
      <c r="M26">
        <f t="shared" si="4"/>
        <v>0</v>
      </c>
      <c r="N26">
        <f t="shared" si="5"/>
        <v>0</v>
      </c>
      <c r="O26">
        <f t="shared" si="6"/>
        <v>0</v>
      </c>
      <c r="P26">
        <f t="shared" si="7"/>
        <v>0</v>
      </c>
      <c r="Q26" s="3">
        <f t="shared" si="8"/>
        <v>0</v>
      </c>
    </row>
    <row r="27" spans="1:17" x14ac:dyDescent="0.25">
      <c r="A27" t="s">
        <v>91</v>
      </c>
      <c r="B27" t="s">
        <v>1</v>
      </c>
      <c r="C27">
        <v>9</v>
      </c>
      <c r="D27" t="s">
        <v>2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  <c r="J27">
        <f t="shared" si="1"/>
        <v>0</v>
      </c>
      <c r="K27">
        <f t="shared" si="2"/>
        <v>1</v>
      </c>
      <c r="L27">
        <f t="shared" si="3"/>
        <v>0</v>
      </c>
      <c r="M27">
        <f t="shared" si="4"/>
        <v>0</v>
      </c>
      <c r="N27">
        <f t="shared" si="5"/>
        <v>0</v>
      </c>
      <c r="O27">
        <f t="shared" si="6"/>
        <v>0</v>
      </c>
      <c r="P27">
        <f t="shared" si="7"/>
        <v>0</v>
      </c>
      <c r="Q27" s="3">
        <f t="shared" si="8"/>
        <v>0</v>
      </c>
    </row>
    <row r="28" spans="1:17" x14ac:dyDescent="0.25">
      <c r="A28" t="s">
        <v>10</v>
      </c>
      <c r="B28" t="s">
        <v>1</v>
      </c>
      <c r="C28">
        <v>9</v>
      </c>
      <c r="D28" t="s">
        <v>2</v>
      </c>
      <c r="E28">
        <v>52</v>
      </c>
      <c r="F28">
        <v>3</v>
      </c>
      <c r="G28">
        <v>35</v>
      </c>
      <c r="H28">
        <v>2</v>
      </c>
      <c r="I28">
        <f t="shared" si="0"/>
        <v>-1</v>
      </c>
      <c r="J28">
        <f t="shared" si="1"/>
        <v>0</v>
      </c>
      <c r="K28">
        <f t="shared" si="2"/>
        <v>0</v>
      </c>
      <c r="L28">
        <f t="shared" si="3"/>
        <v>0</v>
      </c>
      <c r="M28">
        <f t="shared" si="4"/>
        <v>0</v>
      </c>
      <c r="N28">
        <f t="shared" si="5"/>
        <v>1</v>
      </c>
      <c r="O28">
        <f t="shared" si="6"/>
        <v>0</v>
      </c>
      <c r="P28">
        <f t="shared" si="7"/>
        <v>0</v>
      </c>
      <c r="Q28" s="3">
        <f t="shared" si="8"/>
        <v>0.33333333333333331</v>
      </c>
    </row>
    <row r="29" spans="1:17" x14ac:dyDescent="0.25">
      <c r="A29" t="s">
        <v>92</v>
      </c>
      <c r="B29" t="s">
        <v>1</v>
      </c>
      <c r="C29">
        <v>9</v>
      </c>
      <c r="D29" t="s">
        <v>2</v>
      </c>
      <c r="E29">
        <v>0</v>
      </c>
      <c r="F29">
        <v>0</v>
      </c>
      <c r="G29">
        <v>22</v>
      </c>
      <c r="H29">
        <v>0</v>
      </c>
      <c r="I29">
        <f t="shared" si="0"/>
        <v>0</v>
      </c>
      <c r="J29">
        <f t="shared" si="1"/>
        <v>0</v>
      </c>
      <c r="K29">
        <f t="shared" si="2"/>
        <v>1</v>
      </c>
      <c r="L29">
        <f t="shared" si="3"/>
        <v>0</v>
      </c>
      <c r="M29">
        <f t="shared" si="4"/>
        <v>0</v>
      </c>
      <c r="N29">
        <f t="shared" si="5"/>
        <v>0</v>
      </c>
      <c r="O29">
        <f t="shared" si="6"/>
        <v>0</v>
      </c>
      <c r="P29">
        <f t="shared" si="7"/>
        <v>0</v>
      </c>
      <c r="Q29" s="3">
        <f t="shared" si="8"/>
        <v>0</v>
      </c>
    </row>
    <row r="30" spans="1:17" x14ac:dyDescent="0.25">
      <c r="A30" t="s">
        <v>93</v>
      </c>
      <c r="B30" t="s">
        <v>1</v>
      </c>
      <c r="C30">
        <v>9</v>
      </c>
      <c r="D30" t="s">
        <v>2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  <c r="J30">
        <f t="shared" si="1"/>
        <v>0</v>
      </c>
      <c r="K30">
        <f t="shared" si="2"/>
        <v>1</v>
      </c>
      <c r="L30">
        <f t="shared" si="3"/>
        <v>0</v>
      </c>
      <c r="M30">
        <f t="shared" si="4"/>
        <v>0</v>
      </c>
      <c r="N30">
        <f t="shared" si="5"/>
        <v>0</v>
      </c>
      <c r="O30">
        <f t="shared" si="6"/>
        <v>0</v>
      </c>
      <c r="P30">
        <f t="shared" si="7"/>
        <v>0</v>
      </c>
      <c r="Q30" s="3">
        <f t="shared" si="8"/>
        <v>0</v>
      </c>
    </row>
    <row r="31" spans="1:17" x14ac:dyDescent="0.25">
      <c r="A31" t="s">
        <v>11</v>
      </c>
      <c r="B31" t="s">
        <v>1</v>
      </c>
      <c r="C31">
        <v>9</v>
      </c>
      <c r="D31" t="s">
        <v>2</v>
      </c>
      <c r="E31">
        <v>27</v>
      </c>
      <c r="F31">
        <v>1</v>
      </c>
      <c r="G31">
        <v>20</v>
      </c>
      <c r="H31">
        <v>0</v>
      </c>
      <c r="I31">
        <f t="shared" si="0"/>
        <v>-1</v>
      </c>
      <c r="J31">
        <f t="shared" si="1"/>
        <v>0</v>
      </c>
      <c r="K31">
        <f t="shared" si="2"/>
        <v>1</v>
      </c>
      <c r="L31">
        <f t="shared" si="3"/>
        <v>0</v>
      </c>
      <c r="M31">
        <f t="shared" si="4"/>
        <v>0</v>
      </c>
      <c r="N31">
        <f t="shared" si="5"/>
        <v>0</v>
      </c>
      <c r="O31">
        <f t="shared" si="6"/>
        <v>0</v>
      </c>
      <c r="P31">
        <f t="shared" si="7"/>
        <v>0</v>
      </c>
      <c r="Q31" s="3">
        <f t="shared" si="8"/>
        <v>0</v>
      </c>
    </row>
    <row r="32" spans="1:17" x14ac:dyDescent="0.25">
      <c r="A32" t="s">
        <v>12</v>
      </c>
      <c r="B32" t="s">
        <v>1</v>
      </c>
      <c r="C32">
        <v>9</v>
      </c>
      <c r="D32" t="s">
        <v>2</v>
      </c>
      <c r="E32">
        <v>33</v>
      </c>
      <c r="F32">
        <v>1</v>
      </c>
      <c r="G32">
        <v>26</v>
      </c>
      <c r="H32">
        <v>1</v>
      </c>
      <c r="I32">
        <f t="shared" si="0"/>
        <v>0</v>
      </c>
      <c r="J32">
        <f t="shared" si="1"/>
        <v>0.5</v>
      </c>
      <c r="K32">
        <f t="shared" si="2"/>
        <v>1</v>
      </c>
      <c r="L32">
        <f t="shared" si="3"/>
        <v>0</v>
      </c>
      <c r="M32">
        <f t="shared" si="4"/>
        <v>0.5</v>
      </c>
      <c r="N32">
        <f t="shared" si="5"/>
        <v>0</v>
      </c>
      <c r="O32">
        <f t="shared" si="6"/>
        <v>0</v>
      </c>
      <c r="P32">
        <f t="shared" si="7"/>
        <v>0</v>
      </c>
      <c r="Q32" s="3">
        <f t="shared" si="8"/>
        <v>0</v>
      </c>
    </row>
    <row r="33" spans="1:17" x14ac:dyDescent="0.25">
      <c r="A33" t="s">
        <v>94</v>
      </c>
      <c r="B33" t="s">
        <v>1</v>
      </c>
      <c r="C33">
        <v>9</v>
      </c>
      <c r="D33" t="s">
        <v>2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  <c r="J33">
        <f t="shared" si="1"/>
        <v>0</v>
      </c>
      <c r="K33">
        <f t="shared" si="2"/>
        <v>1</v>
      </c>
      <c r="L33">
        <f t="shared" si="3"/>
        <v>0</v>
      </c>
      <c r="M33">
        <f t="shared" si="4"/>
        <v>0</v>
      </c>
      <c r="N33">
        <f t="shared" si="5"/>
        <v>0</v>
      </c>
      <c r="O33">
        <f t="shared" si="6"/>
        <v>0</v>
      </c>
      <c r="P33">
        <f t="shared" si="7"/>
        <v>0</v>
      </c>
      <c r="Q33" s="3">
        <f t="shared" si="8"/>
        <v>0</v>
      </c>
    </row>
    <row r="34" spans="1:17" x14ac:dyDescent="0.25">
      <c r="A34" t="s">
        <v>95</v>
      </c>
      <c r="B34" t="s">
        <v>1</v>
      </c>
      <c r="C34">
        <v>9</v>
      </c>
      <c r="D34" t="s">
        <v>2</v>
      </c>
      <c r="E34">
        <v>0</v>
      </c>
      <c r="F34">
        <v>0</v>
      </c>
      <c r="G34">
        <v>22</v>
      </c>
      <c r="H34">
        <v>0</v>
      </c>
      <c r="I34">
        <f t="shared" si="0"/>
        <v>0</v>
      </c>
      <c r="J34">
        <f t="shared" si="1"/>
        <v>0</v>
      </c>
      <c r="K34">
        <f t="shared" si="2"/>
        <v>1</v>
      </c>
      <c r="L34">
        <f t="shared" si="3"/>
        <v>0</v>
      </c>
      <c r="M34">
        <f t="shared" si="4"/>
        <v>0</v>
      </c>
      <c r="N34">
        <f t="shared" si="5"/>
        <v>0</v>
      </c>
      <c r="O34">
        <f t="shared" si="6"/>
        <v>0</v>
      </c>
      <c r="P34">
        <f t="shared" si="7"/>
        <v>0</v>
      </c>
      <c r="Q34" s="3">
        <f t="shared" si="8"/>
        <v>0</v>
      </c>
    </row>
    <row r="35" spans="1:17" x14ac:dyDescent="0.25">
      <c r="A35" t="s">
        <v>13</v>
      </c>
      <c r="B35" t="s">
        <v>1</v>
      </c>
      <c r="C35">
        <v>9</v>
      </c>
      <c r="D35" t="s">
        <v>2</v>
      </c>
      <c r="E35">
        <v>38</v>
      </c>
      <c r="F35">
        <v>1</v>
      </c>
      <c r="G35">
        <v>10</v>
      </c>
      <c r="H35">
        <v>0</v>
      </c>
      <c r="I35">
        <f t="shared" si="0"/>
        <v>-1</v>
      </c>
      <c r="J35">
        <f t="shared" si="1"/>
        <v>0</v>
      </c>
      <c r="K35">
        <f t="shared" si="2"/>
        <v>1</v>
      </c>
      <c r="L35">
        <f t="shared" si="3"/>
        <v>0</v>
      </c>
      <c r="M35">
        <f t="shared" si="4"/>
        <v>0</v>
      </c>
      <c r="N35">
        <f t="shared" si="5"/>
        <v>0</v>
      </c>
      <c r="O35">
        <f t="shared" si="6"/>
        <v>0</v>
      </c>
      <c r="P35">
        <f t="shared" si="7"/>
        <v>0</v>
      </c>
      <c r="Q35" s="3">
        <f t="shared" si="8"/>
        <v>0</v>
      </c>
    </row>
    <row r="36" spans="1:17" x14ac:dyDescent="0.25">
      <c r="A36" t="s">
        <v>96</v>
      </c>
      <c r="B36" t="s">
        <v>1</v>
      </c>
      <c r="C36">
        <v>9</v>
      </c>
      <c r="D36" t="s">
        <v>2</v>
      </c>
      <c r="E36">
        <v>0</v>
      </c>
      <c r="F36">
        <v>0</v>
      </c>
      <c r="G36">
        <v>21</v>
      </c>
      <c r="H36">
        <v>0</v>
      </c>
      <c r="I36">
        <f t="shared" si="0"/>
        <v>0</v>
      </c>
      <c r="J36">
        <f t="shared" si="1"/>
        <v>0</v>
      </c>
      <c r="K36">
        <f t="shared" si="2"/>
        <v>1</v>
      </c>
      <c r="L36">
        <f t="shared" si="3"/>
        <v>0</v>
      </c>
      <c r="M36">
        <f t="shared" si="4"/>
        <v>0</v>
      </c>
      <c r="N36">
        <f t="shared" si="5"/>
        <v>0</v>
      </c>
      <c r="O36">
        <f t="shared" si="6"/>
        <v>0</v>
      </c>
      <c r="P36">
        <f t="shared" si="7"/>
        <v>0</v>
      </c>
      <c r="Q36" s="3">
        <f t="shared" si="8"/>
        <v>0</v>
      </c>
    </row>
    <row r="37" spans="1:17" x14ac:dyDescent="0.25">
      <c r="A37" t="s">
        <v>97</v>
      </c>
      <c r="B37" t="s">
        <v>1</v>
      </c>
      <c r="C37">
        <v>9</v>
      </c>
      <c r="D37" t="s">
        <v>2</v>
      </c>
      <c r="E37">
        <v>0</v>
      </c>
      <c r="F37">
        <v>0</v>
      </c>
      <c r="G37">
        <v>30</v>
      </c>
      <c r="H37">
        <v>1</v>
      </c>
      <c r="I37">
        <f t="shared" si="0"/>
        <v>1</v>
      </c>
      <c r="J37">
        <f t="shared" si="1"/>
        <v>0</v>
      </c>
      <c r="K37">
        <f t="shared" si="2"/>
        <v>1</v>
      </c>
      <c r="L37">
        <f t="shared" si="3"/>
        <v>0</v>
      </c>
      <c r="M37">
        <f t="shared" si="4"/>
        <v>0</v>
      </c>
      <c r="N37">
        <f t="shared" si="5"/>
        <v>0</v>
      </c>
      <c r="O37">
        <f t="shared" si="6"/>
        <v>0</v>
      </c>
      <c r="P37">
        <f t="shared" si="7"/>
        <v>0</v>
      </c>
      <c r="Q37" s="3">
        <f t="shared" si="8"/>
        <v>0</v>
      </c>
    </row>
    <row r="38" spans="1:17" x14ac:dyDescent="0.25">
      <c r="A38" t="s">
        <v>98</v>
      </c>
      <c r="B38" t="s">
        <v>1</v>
      </c>
      <c r="C38">
        <v>9</v>
      </c>
      <c r="D38" t="s">
        <v>2</v>
      </c>
      <c r="E38">
        <v>0</v>
      </c>
      <c r="F38">
        <v>0</v>
      </c>
      <c r="G38">
        <v>22</v>
      </c>
      <c r="H38">
        <v>0</v>
      </c>
      <c r="I38">
        <f t="shared" si="0"/>
        <v>0</v>
      </c>
      <c r="J38">
        <f t="shared" si="1"/>
        <v>0</v>
      </c>
      <c r="K38">
        <f t="shared" si="2"/>
        <v>1</v>
      </c>
      <c r="L38">
        <f t="shared" si="3"/>
        <v>0</v>
      </c>
      <c r="M38">
        <f t="shared" si="4"/>
        <v>0</v>
      </c>
      <c r="N38">
        <f t="shared" si="5"/>
        <v>0</v>
      </c>
      <c r="O38">
        <f t="shared" si="6"/>
        <v>0</v>
      </c>
      <c r="P38">
        <f t="shared" si="7"/>
        <v>0</v>
      </c>
      <c r="Q38" s="3">
        <f t="shared" si="8"/>
        <v>0</v>
      </c>
    </row>
    <row r="39" spans="1:17" x14ac:dyDescent="0.25">
      <c r="A39" t="s">
        <v>99</v>
      </c>
      <c r="B39" t="s">
        <v>1</v>
      </c>
      <c r="C39">
        <v>9</v>
      </c>
      <c r="D39" t="s">
        <v>2</v>
      </c>
      <c r="E39">
        <v>0</v>
      </c>
      <c r="F39">
        <v>0</v>
      </c>
      <c r="G39">
        <v>0</v>
      </c>
      <c r="H39">
        <v>0</v>
      </c>
      <c r="I39">
        <f t="shared" si="0"/>
        <v>0</v>
      </c>
      <c r="J39">
        <f t="shared" si="1"/>
        <v>0</v>
      </c>
      <c r="K39">
        <f t="shared" si="2"/>
        <v>1</v>
      </c>
      <c r="L39">
        <f t="shared" si="3"/>
        <v>0</v>
      </c>
      <c r="M39">
        <f t="shared" si="4"/>
        <v>0</v>
      </c>
      <c r="N39">
        <f t="shared" si="5"/>
        <v>0</v>
      </c>
      <c r="O39">
        <f t="shared" si="6"/>
        <v>0</v>
      </c>
      <c r="P39">
        <f t="shared" si="7"/>
        <v>0</v>
      </c>
      <c r="Q39" s="3">
        <f t="shared" si="8"/>
        <v>0</v>
      </c>
    </row>
    <row r="40" spans="1:17" x14ac:dyDescent="0.25">
      <c r="A40" t="s">
        <v>100</v>
      </c>
      <c r="B40" t="s">
        <v>1</v>
      </c>
      <c r="C40">
        <v>9</v>
      </c>
      <c r="D40" t="s">
        <v>2</v>
      </c>
      <c r="E40">
        <v>0</v>
      </c>
      <c r="F40">
        <v>0</v>
      </c>
      <c r="G40">
        <v>18</v>
      </c>
      <c r="H40">
        <v>0</v>
      </c>
      <c r="I40">
        <f t="shared" si="0"/>
        <v>0</v>
      </c>
      <c r="J40">
        <f t="shared" si="1"/>
        <v>0</v>
      </c>
      <c r="K40">
        <f t="shared" si="2"/>
        <v>1</v>
      </c>
      <c r="L40">
        <f t="shared" si="3"/>
        <v>0</v>
      </c>
      <c r="M40">
        <f t="shared" si="4"/>
        <v>0</v>
      </c>
      <c r="N40">
        <f t="shared" si="5"/>
        <v>0</v>
      </c>
      <c r="O40">
        <f t="shared" si="6"/>
        <v>0</v>
      </c>
      <c r="P40">
        <f t="shared" si="7"/>
        <v>0</v>
      </c>
      <c r="Q40" s="3">
        <f t="shared" si="8"/>
        <v>0</v>
      </c>
    </row>
    <row r="41" spans="1:17" x14ac:dyDescent="0.25">
      <c r="A41" t="s">
        <v>101</v>
      </c>
      <c r="B41" t="s">
        <v>1</v>
      </c>
      <c r="C41">
        <v>9</v>
      </c>
      <c r="D41" t="s">
        <v>2</v>
      </c>
      <c r="E41">
        <v>0</v>
      </c>
      <c r="F41">
        <v>0</v>
      </c>
      <c r="G41">
        <v>18</v>
      </c>
      <c r="H41">
        <v>0</v>
      </c>
      <c r="I41">
        <f t="shared" si="0"/>
        <v>0</v>
      </c>
      <c r="J41">
        <f t="shared" si="1"/>
        <v>0</v>
      </c>
      <c r="K41">
        <f t="shared" si="2"/>
        <v>1</v>
      </c>
      <c r="L41">
        <f t="shared" si="3"/>
        <v>0</v>
      </c>
      <c r="M41">
        <f t="shared" si="4"/>
        <v>0</v>
      </c>
      <c r="N41">
        <f t="shared" si="5"/>
        <v>0</v>
      </c>
      <c r="O41">
        <f t="shared" si="6"/>
        <v>0</v>
      </c>
      <c r="P41">
        <f t="shared" si="7"/>
        <v>0</v>
      </c>
      <c r="Q41" s="3">
        <f t="shared" si="8"/>
        <v>0</v>
      </c>
    </row>
    <row r="42" spans="1:17" x14ac:dyDescent="0.25">
      <c r="A42" t="s">
        <v>102</v>
      </c>
      <c r="B42" t="s">
        <v>1</v>
      </c>
      <c r="C42">
        <v>9</v>
      </c>
      <c r="D42" t="s">
        <v>2</v>
      </c>
      <c r="E42">
        <v>0</v>
      </c>
      <c r="F42">
        <v>0</v>
      </c>
      <c r="G42">
        <v>0</v>
      </c>
      <c r="H42">
        <v>0</v>
      </c>
      <c r="I42">
        <f t="shared" si="0"/>
        <v>0</v>
      </c>
      <c r="J42">
        <f t="shared" si="1"/>
        <v>0</v>
      </c>
      <c r="K42">
        <f t="shared" si="2"/>
        <v>1</v>
      </c>
      <c r="L42">
        <f t="shared" si="3"/>
        <v>0</v>
      </c>
      <c r="M42">
        <f t="shared" si="4"/>
        <v>0</v>
      </c>
      <c r="N42">
        <f t="shared" si="5"/>
        <v>0</v>
      </c>
      <c r="O42">
        <f t="shared" si="6"/>
        <v>0</v>
      </c>
      <c r="P42">
        <f t="shared" si="7"/>
        <v>0</v>
      </c>
      <c r="Q42" s="3">
        <f t="shared" si="8"/>
        <v>0</v>
      </c>
    </row>
    <row r="43" spans="1:17" x14ac:dyDescent="0.25">
      <c r="A43" t="s">
        <v>103</v>
      </c>
      <c r="B43" t="s">
        <v>1</v>
      </c>
      <c r="C43">
        <v>9</v>
      </c>
      <c r="D43" t="s">
        <v>2</v>
      </c>
      <c r="E43">
        <v>0</v>
      </c>
      <c r="F43">
        <v>0</v>
      </c>
      <c r="G43">
        <v>16</v>
      </c>
      <c r="H43">
        <v>0</v>
      </c>
      <c r="I43">
        <f t="shared" si="0"/>
        <v>0</v>
      </c>
      <c r="J43">
        <f t="shared" si="1"/>
        <v>0</v>
      </c>
      <c r="K43">
        <f t="shared" si="2"/>
        <v>1</v>
      </c>
      <c r="L43">
        <f t="shared" si="3"/>
        <v>0</v>
      </c>
      <c r="M43">
        <f t="shared" si="4"/>
        <v>0</v>
      </c>
      <c r="N43">
        <f t="shared" si="5"/>
        <v>0</v>
      </c>
      <c r="O43">
        <f t="shared" si="6"/>
        <v>0</v>
      </c>
      <c r="P43">
        <f t="shared" si="7"/>
        <v>0</v>
      </c>
      <c r="Q43" s="3">
        <f t="shared" si="8"/>
        <v>0</v>
      </c>
    </row>
    <row r="44" spans="1:17" x14ac:dyDescent="0.25">
      <c r="A44" t="s">
        <v>14</v>
      </c>
      <c r="B44" t="s">
        <v>1</v>
      </c>
      <c r="C44">
        <v>9</v>
      </c>
      <c r="D44" t="s">
        <v>2</v>
      </c>
      <c r="E44">
        <v>44</v>
      </c>
      <c r="F44">
        <v>2</v>
      </c>
      <c r="G44">
        <v>28</v>
      </c>
      <c r="H44">
        <v>1</v>
      </c>
      <c r="I44">
        <f t="shared" si="0"/>
        <v>-1</v>
      </c>
      <c r="J44">
        <f t="shared" si="1"/>
        <v>0</v>
      </c>
      <c r="K44">
        <f t="shared" si="2"/>
        <v>0</v>
      </c>
      <c r="L44">
        <f t="shared" si="3"/>
        <v>0</v>
      </c>
      <c r="M44">
        <f t="shared" si="4"/>
        <v>0</v>
      </c>
      <c r="N44">
        <f t="shared" si="5"/>
        <v>0</v>
      </c>
      <c r="O44">
        <f t="shared" si="6"/>
        <v>0</v>
      </c>
      <c r="P44">
        <f t="shared" si="7"/>
        <v>0</v>
      </c>
      <c r="Q44" s="3">
        <f t="shared" si="8"/>
        <v>0</v>
      </c>
    </row>
    <row r="45" spans="1:17" x14ac:dyDescent="0.25">
      <c r="A45" t="s">
        <v>15</v>
      </c>
      <c r="B45" t="s">
        <v>1</v>
      </c>
      <c r="C45">
        <v>9</v>
      </c>
      <c r="D45" t="s">
        <v>2</v>
      </c>
      <c r="E45">
        <v>29</v>
      </c>
      <c r="F45">
        <v>1</v>
      </c>
      <c r="G45">
        <v>29</v>
      </c>
      <c r="H45">
        <v>1</v>
      </c>
      <c r="I45">
        <f t="shared" si="0"/>
        <v>0</v>
      </c>
      <c r="J45">
        <f t="shared" si="1"/>
        <v>0.5</v>
      </c>
      <c r="K45">
        <f t="shared" si="2"/>
        <v>1</v>
      </c>
      <c r="L45">
        <f t="shared" si="3"/>
        <v>0</v>
      </c>
      <c r="M45">
        <f t="shared" si="4"/>
        <v>0.5</v>
      </c>
      <c r="N45">
        <f t="shared" si="5"/>
        <v>0</v>
      </c>
      <c r="O45">
        <f t="shared" si="6"/>
        <v>0</v>
      </c>
      <c r="P45">
        <f t="shared" si="7"/>
        <v>0</v>
      </c>
      <c r="Q45" s="3">
        <f t="shared" si="8"/>
        <v>0</v>
      </c>
    </row>
    <row r="46" spans="1:17" x14ac:dyDescent="0.25">
      <c r="A46" t="s">
        <v>16</v>
      </c>
      <c r="B46" t="s">
        <v>1</v>
      </c>
      <c r="C46">
        <v>9</v>
      </c>
      <c r="D46" t="s">
        <v>2</v>
      </c>
      <c r="E46">
        <v>54</v>
      </c>
      <c r="F46">
        <v>4</v>
      </c>
      <c r="G46">
        <v>26</v>
      </c>
      <c r="H46">
        <v>1</v>
      </c>
      <c r="I46">
        <f t="shared" si="0"/>
        <v>-3</v>
      </c>
      <c r="J46">
        <f t="shared" si="1"/>
        <v>0</v>
      </c>
      <c r="K46">
        <f t="shared" si="2"/>
        <v>0</v>
      </c>
      <c r="L46">
        <f t="shared" si="3"/>
        <v>0</v>
      </c>
      <c r="M46">
        <f t="shared" si="4"/>
        <v>0</v>
      </c>
      <c r="N46">
        <f t="shared" si="5"/>
        <v>0</v>
      </c>
      <c r="O46">
        <f t="shared" si="6"/>
        <v>0</v>
      </c>
      <c r="P46">
        <f t="shared" si="7"/>
        <v>0</v>
      </c>
      <c r="Q46" s="3">
        <f t="shared" si="8"/>
        <v>0</v>
      </c>
    </row>
    <row r="47" spans="1:17" x14ac:dyDescent="0.25">
      <c r="A47" t="s">
        <v>104</v>
      </c>
      <c r="B47" t="s">
        <v>1</v>
      </c>
      <c r="C47">
        <v>9</v>
      </c>
      <c r="D47" t="s">
        <v>2</v>
      </c>
      <c r="E47">
        <v>0</v>
      </c>
      <c r="F47">
        <v>0</v>
      </c>
      <c r="G47">
        <v>0</v>
      </c>
      <c r="H47">
        <v>0</v>
      </c>
      <c r="I47">
        <f t="shared" si="0"/>
        <v>0</v>
      </c>
      <c r="J47">
        <f t="shared" si="1"/>
        <v>0</v>
      </c>
      <c r="K47">
        <f t="shared" si="2"/>
        <v>1</v>
      </c>
      <c r="L47">
        <f t="shared" si="3"/>
        <v>0</v>
      </c>
      <c r="M47">
        <f t="shared" si="4"/>
        <v>0</v>
      </c>
      <c r="N47">
        <f t="shared" si="5"/>
        <v>0</v>
      </c>
      <c r="O47">
        <f t="shared" si="6"/>
        <v>0</v>
      </c>
      <c r="P47">
        <f t="shared" si="7"/>
        <v>0</v>
      </c>
      <c r="Q47" s="3">
        <f t="shared" si="8"/>
        <v>0</v>
      </c>
    </row>
    <row r="48" spans="1:17" x14ac:dyDescent="0.25">
      <c r="A48" t="s">
        <v>105</v>
      </c>
      <c r="B48" t="s">
        <v>1</v>
      </c>
      <c r="C48">
        <v>9</v>
      </c>
      <c r="D48" t="s">
        <v>2</v>
      </c>
      <c r="E48">
        <v>0</v>
      </c>
      <c r="F48">
        <v>0</v>
      </c>
      <c r="G48">
        <v>25</v>
      </c>
      <c r="H48">
        <v>0</v>
      </c>
      <c r="I48">
        <f t="shared" si="0"/>
        <v>0</v>
      </c>
      <c r="J48">
        <f t="shared" si="1"/>
        <v>0</v>
      </c>
      <c r="K48">
        <f t="shared" si="2"/>
        <v>1</v>
      </c>
      <c r="L48">
        <f t="shared" si="3"/>
        <v>0</v>
      </c>
      <c r="M48">
        <f t="shared" si="4"/>
        <v>0</v>
      </c>
      <c r="N48">
        <f t="shared" si="5"/>
        <v>0</v>
      </c>
      <c r="O48">
        <f t="shared" si="6"/>
        <v>0</v>
      </c>
      <c r="P48">
        <f t="shared" si="7"/>
        <v>0</v>
      </c>
      <c r="Q48" s="3">
        <f t="shared" si="8"/>
        <v>0</v>
      </c>
    </row>
    <row r="49" spans="1:17" x14ac:dyDescent="0.25">
      <c r="A49" t="s">
        <v>106</v>
      </c>
      <c r="B49" t="s">
        <v>1</v>
      </c>
      <c r="C49">
        <v>9</v>
      </c>
      <c r="D49" t="s">
        <v>2</v>
      </c>
      <c r="E49">
        <v>0</v>
      </c>
      <c r="F49">
        <v>0</v>
      </c>
      <c r="G49">
        <v>14</v>
      </c>
      <c r="H49">
        <v>0</v>
      </c>
      <c r="I49">
        <f t="shared" si="0"/>
        <v>0</v>
      </c>
      <c r="J49">
        <f t="shared" si="1"/>
        <v>0</v>
      </c>
      <c r="K49">
        <f t="shared" si="2"/>
        <v>1</v>
      </c>
      <c r="L49">
        <f t="shared" si="3"/>
        <v>0</v>
      </c>
      <c r="M49">
        <f t="shared" si="4"/>
        <v>0</v>
      </c>
      <c r="N49">
        <f t="shared" si="5"/>
        <v>0</v>
      </c>
      <c r="O49">
        <f t="shared" si="6"/>
        <v>0</v>
      </c>
      <c r="P49">
        <f t="shared" si="7"/>
        <v>0</v>
      </c>
      <c r="Q49" s="3">
        <f t="shared" si="8"/>
        <v>0</v>
      </c>
    </row>
    <row r="50" spans="1:17" x14ac:dyDescent="0.25">
      <c r="A50" t="s">
        <v>17</v>
      </c>
      <c r="B50" t="s">
        <v>1</v>
      </c>
      <c r="C50">
        <v>9</v>
      </c>
      <c r="D50" t="s">
        <v>2</v>
      </c>
      <c r="E50">
        <v>31</v>
      </c>
      <c r="F50">
        <v>1</v>
      </c>
      <c r="G50">
        <v>27</v>
      </c>
      <c r="H50">
        <v>1</v>
      </c>
      <c r="I50">
        <f t="shared" si="0"/>
        <v>0</v>
      </c>
      <c r="J50">
        <f t="shared" si="1"/>
        <v>0.5</v>
      </c>
      <c r="K50">
        <f t="shared" si="2"/>
        <v>1</v>
      </c>
      <c r="L50">
        <f t="shared" si="3"/>
        <v>0</v>
      </c>
      <c r="M50">
        <f t="shared" si="4"/>
        <v>0.5</v>
      </c>
      <c r="N50">
        <f t="shared" si="5"/>
        <v>0</v>
      </c>
      <c r="O50">
        <f t="shared" si="6"/>
        <v>0</v>
      </c>
      <c r="P50">
        <f t="shared" si="7"/>
        <v>0</v>
      </c>
      <c r="Q50" s="3">
        <f t="shared" si="8"/>
        <v>0</v>
      </c>
    </row>
    <row r="51" spans="1:17" x14ac:dyDescent="0.25">
      <c r="A51" t="s">
        <v>18</v>
      </c>
      <c r="B51" t="s">
        <v>1</v>
      </c>
      <c r="C51">
        <v>9</v>
      </c>
      <c r="D51" t="s">
        <v>2</v>
      </c>
      <c r="E51">
        <v>38</v>
      </c>
      <c r="F51">
        <v>1</v>
      </c>
      <c r="G51">
        <v>30</v>
      </c>
      <c r="H51">
        <v>1</v>
      </c>
      <c r="I51">
        <f t="shared" si="0"/>
        <v>0</v>
      </c>
      <c r="J51">
        <f t="shared" si="1"/>
        <v>0.5</v>
      </c>
      <c r="K51">
        <f t="shared" si="2"/>
        <v>1</v>
      </c>
      <c r="L51">
        <f t="shared" si="3"/>
        <v>0</v>
      </c>
      <c r="M51">
        <f t="shared" si="4"/>
        <v>0.5</v>
      </c>
      <c r="N51">
        <f t="shared" si="5"/>
        <v>0</v>
      </c>
      <c r="O51">
        <f t="shared" si="6"/>
        <v>0</v>
      </c>
      <c r="P51">
        <f t="shared" si="7"/>
        <v>0</v>
      </c>
      <c r="Q51" s="3">
        <f t="shared" si="8"/>
        <v>0</v>
      </c>
    </row>
    <row r="52" spans="1:17" x14ac:dyDescent="0.25">
      <c r="A52" t="s">
        <v>19</v>
      </c>
      <c r="B52" t="s">
        <v>1</v>
      </c>
      <c r="C52">
        <v>9</v>
      </c>
      <c r="D52" t="s">
        <v>2</v>
      </c>
      <c r="E52">
        <v>33</v>
      </c>
      <c r="F52">
        <v>1</v>
      </c>
      <c r="G52">
        <v>33</v>
      </c>
      <c r="H52">
        <v>1</v>
      </c>
      <c r="I52">
        <f t="shared" si="0"/>
        <v>0</v>
      </c>
      <c r="J52">
        <f t="shared" si="1"/>
        <v>0.5</v>
      </c>
      <c r="K52">
        <f t="shared" si="2"/>
        <v>1</v>
      </c>
      <c r="L52">
        <f t="shared" si="3"/>
        <v>0</v>
      </c>
      <c r="M52">
        <f t="shared" si="4"/>
        <v>0.5</v>
      </c>
      <c r="N52">
        <f t="shared" si="5"/>
        <v>0</v>
      </c>
      <c r="O52">
        <f t="shared" si="6"/>
        <v>0</v>
      </c>
      <c r="P52">
        <f t="shared" si="7"/>
        <v>0</v>
      </c>
      <c r="Q52" s="3">
        <f t="shared" si="8"/>
        <v>0</v>
      </c>
    </row>
    <row r="53" spans="1:17" x14ac:dyDescent="0.25">
      <c r="A53" t="s">
        <v>107</v>
      </c>
      <c r="B53" t="s">
        <v>1</v>
      </c>
      <c r="C53">
        <v>9</v>
      </c>
      <c r="D53" t="s">
        <v>2</v>
      </c>
      <c r="E53">
        <v>0</v>
      </c>
      <c r="F53">
        <v>0</v>
      </c>
      <c r="G53">
        <v>20</v>
      </c>
      <c r="H53">
        <v>0</v>
      </c>
      <c r="I53">
        <f t="shared" si="0"/>
        <v>0</v>
      </c>
      <c r="J53">
        <f t="shared" si="1"/>
        <v>0</v>
      </c>
      <c r="K53">
        <f t="shared" si="2"/>
        <v>1</v>
      </c>
      <c r="L53">
        <f t="shared" si="3"/>
        <v>0</v>
      </c>
      <c r="M53">
        <f t="shared" si="4"/>
        <v>0</v>
      </c>
      <c r="N53">
        <f t="shared" si="5"/>
        <v>0</v>
      </c>
      <c r="O53">
        <f t="shared" si="6"/>
        <v>0</v>
      </c>
      <c r="P53">
        <f t="shared" si="7"/>
        <v>0</v>
      </c>
      <c r="Q53" s="3">
        <f t="shared" si="8"/>
        <v>0</v>
      </c>
    </row>
    <row r="54" spans="1:17" x14ac:dyDescent="0.25">
      <c r="A54" t="s">
        <v>20</v>
      </c>
      <c r="B54" t="s">
        <v>1</v>
      </c>
      <c r="C54">
        <v>9</v>
      </c>
      <c r="D54" t="s">
        <v>2</v>
      </c>
      <c r="E54">
        <v>46</v>
      </c>
      <c r="F54">
        <v>2</v>
      </c>
      <c r="G54">
        <v>31</v>
      </c>
      <c r="H54">
        <v>1</v>
      </c>
      <c r="I54">
        <f t="shared" si="0"/>
        <v>-1</v>
      </c>
      <c r="J54">
        <f t="shared" si="1"/>
        <v>0</v>
      </c>
      <c r="K54">
        <f t="shared" si="2"/>
        <v>0</v>
      </c>
      <c r="L54">
        <f t="shared" si="3"/>
        <v>0</v>
      </c>
      <c r="M54">
        <f t="shared" si="4"/>
        <v>0</v>
      </c>
      <c r="N54">
        <f t="shared" si="5"/>
        <v>0</v>
      </c>
      <c r="O54">
        <f t="shared" si="6"/>
        <v>0</v>
      </c>
      <c r="P54">
        <f t="shared" si="7"/>
        <v>0</v>
      </c>
      <c r="Q54" s="3">
        <f t="shared" si="8"/>
        <v>0</v>
      </c>
    </row>
    <row r="55" spans="1:17" x14ac:dyDescent="0.25">
      <c r="A55" t="s">
        <v>21</v>
      </c>
      <c r="B55" t="s">
        <v>1</v>
      </c>
      <c r="C55">
        <v>9</v>
      </c>
      <c r="D55" t="s">
        <v>2</v>
      </c>
      <c r="E55">
        <v>33</v>
      </c>
      <c r="F55">
        <v>1</v>
      </c>
      <c r="G55">
        <v>22</v>
      </c>
      <c r="H55">
        <v>0</v>
      </c>
      <c r="I55">
        <f t="shared" si="0"/>
        <v>-1</v>
      </c>
      <c r="J55">
        <f t="shared" si="1"/>
        <v>0</v>
      </c>
      <c r="K55">
        <f t="shared" si="2"/>
        <v>1</v>
      </c>
      <c r="L55">
        <f t="shared" si="3"/>
        <v>0</v>
      </c>
      <c r="M55">
        <f t="shared" si="4"/>
        <v>0</v>
      </c>
      <c r="N55">
        <f t="shared" si="5"/>
        <v>0</v>
      </c>
      <c r="O55">
        <f t="shared" si="6"/>
        <v>0</v>
      </c>
      <c r="P55">
        <f t="shared" si="7"/>
        <v>0</v>
      </c>
      <c r="Q55" s="3">
        <f t="shared" si="8"/>
        <v>0</v>
      </c>
    </row>
    <row r="56" spans="1:17" x14ac:dyDescent="0.25">
      <c r="A56" t="s">
        <v>22</v>
      </c>
      <c r="B56" t="s">
        <v>1</v>
      </c>
      <c r="C56">
        <v>9</v>
      </c>
      <c r="D56" t="s">
        <v>2</v>
      </c>
      <c r="E56">
        <v>60</v>
      </c>
      <c r="F56">
        <v>4</v>
      </c>
      <c r="G56">
        <v>33</v>
      </c>
      <c r="H56">
        <v>1</v>
      </c>
      <c r="I56">
        <f t="shared" si="0"/>
        <v>-3</v>
      </c>
      <c r="J56">
        <f t="shared" si="1"/>
        <v>0</v>
      </c>
      <c r="K56">
        <f t="shared" si="2"/>
        <v>0</v>
      </c>
      <c r="L56">
        <f t="shared" si="3"/>
        <v>0</v>
      </c>
      <c r="M56">
        <f t="shared" si="4"/>
        <v>0</v>
      </c>
      <c r="N56">
        <f t="shared" si="5"/>
        <v>0</v>
      </c>
      <c r="O56">
        <f t="shared" si="6"/>
        <v>0</v>
      </c>
      <c r="P56">
        <f t="shared" si="7"/>
        <v>0</v>
      </c>
      <c r="Q56" s="3">
        <f t="shared" si="8"/>
        <v>0</v>
      </c>
    </row>
    <row r="57" spans="1:17" x14ac:dyDescent="0.25">
      <c r="A57" t="s">
        <v>23</v>
      </c>
      <c r="B57" t="s">
        <v>1</v>
      </c>
      <c r="C57">
        <v>9</v>
      </c>
      <c r="D57" t="s">
        <v>2</v>
      </c>
      <c r="E57">
        <v>48</v>
      </c>
      <c r="F57">
        <v>3</v>
      </c>
      <c r="G57">
        <v>52</v>
      </c>
      <c r="H57">
        <v>3</v>
      </c>
      <c r="I57">
        <f t="shared" ref="I57:I120" si="9">H57-F57</f>
        <v>0</v>
      </c>
      <c r="J57">
        <f t="shared" ref="J57:J120" si="10">IF(AND(OR(F57=4, F57=5), I57=0), 1,
   IF(AND(F57&gt;=1, F57&lt;=3, I57=0), 0.5,
   IF(AND(F57=0, I57=0), 0,
   IF(AND(F57&gt;=0, F57&lt;=4, I57&gt;1), 1, 0))))
   + IF(AND(OR(F57=0, F57=1), H57&gt;=2, H57&lt;=5), 0.25, 0)</f>
        <v>0.5</v>
      </c>
      <c r="K57">
        <f t="shared" ref="K57:K120" si="11">IF(OR(F57=0, F57=1), 1, 0)</f>
        <v>0</v>
      </c>
      <c r="L57">
        <f t="shared" ref="L57:L120" si="12">IF(AND(K57=1, H57&gt;1), 0.25, 0)</f>
        <v>0</v>
      </c>
      <c r="M57">
        <f t="shared" ref="M57:M120" si="13">J57+L57</f>
        <v>0.5</v>
      </c>
      <c r="N57">
        <f t="shared" ref="N57:N120" si="14">IF(G57&gt;=34, 1, 0)</f>
        <v>1</v>
      </c>
      <c r="O57">
        <f t="shared" ref="O57:O120" si="15">IF(G57&gt;=54, 1, 0)</f>
        <v>0</v>
      </c>
      <c r="P57">
        <f t="shared" ref="P57:P120" si="16">IF(G57&gt;=69, 1, 0)</f>
        <v>0</v>
      </c>
      <c r="Q57" s="3">
        <f t="shared" ref="Q57:Q120" si="17">(N57+O57+P57)/3</f>
        <v>0.33333333333333331</v>
      </c>
    </row>
    <row r="58" spans="1:17" x14ac:dyDescent="0.25">
      <c r="A58" t="s">
        <v>24</v>
      </c>
      <c r="B58" t="s">
        <v>1</v>
      </c>
      <c r="C58">
        <v>9</v>
      </c>
      <c r="D58" t="s">
        <v>2</v>
      </c>
      <c r="E58">
        <v>42</v>
      </c>
      <c r="F58">
        <v>2</v>
      </c>
      <c r="G58">
        <v>25</v>
      </c>
      <c r="H58">
        <v>0</v>
      </c>
      <c r="I58">
        <f t="shared" si="9"/>
        <v>-2</v>
      </c>
      <c r="J58">
        <f t="shared" si="10"/>
        <v>0</v>
      </c>
      <c r="K58">
        <f t="shared" si="11"/>
        <v>0</v>
      </c>
      <c r="L58">
        <f t="shared" si="12"/>
        <v>0</v>
      </c>
      <c r="M58">
        <f t="shared" si="13"/>
        <v>0</v>
      </c>
      <c r="N58">
        <f t="shared" si="14"/>
        <v>0</v>
      </c>
      <c r="O58">
        <f t="shared" si="15"/>
        <v>0</v>
      </c>
      <c r="P58">
        <f t="shared" si="16"/>
        <v>0</v>
      </c>
      <c r="Q58" s="3">
        <f t="shared" si="17"/>
        <v>0</v>
      </c>
    </row>
    <row r="59" spans="1:17" x14ac:dyDescent="0.25">
      <c r="A59" t="s">
        <v>108</v>
      </c>
      <c r="B59" t="s">
        <v>1</v>
      </c>
      <c r="C59">
        <v>9</v>
      </c>
      <c r="D59" t="s">
        <v>2</v>
      </c>
      <c r="E59">
        <v>0</v>
      </c>
      <c r="F59">
        <v>0</v>
      </c>
      <c r="G59">
        <v>14</v>
      </c>
      <c r="H59">
        <v>0</v>
      </c>
      <c r="I59">
        <f t="shared" si="9"/>
        <v>0</v>
      </c>
      <c r="J59">
        <f t="shared" si="10"/>
        <v>0</v>
      </c>
      <c r="K59">
        <f t="shared" si="11"/>
        <v>1</v>
      </c>
      <c r="L59">
        <f t="shared" si="12"/>
        <v>0</v>
      </c>
      <c r="M59">
        <f t="shared" si="13"/>
        <v>0</v>
      </c>
      <c r="N59">
        <f t="shared" si="14"/>
        <v>0</v>
      </c>
      <c r="O59">
        <f t="shared" si="15"/>
        <v>0</v>
      </c>
      <c r="P59">
        <f t="shared" si="16"/>
        <v>0</v>
      </c>
      <c r="Q59" s="3">
        <f t="shared" si="17"/>
        <v>0</v>
      </c>
    </row>
    <row r="60" spans="1:17" x14ac:dyDescent="0.25">
      <c r="A60" t="s">
        <v>109</v>
      </c>
      <c r="B60" t="s">
        <v>1</v>
      </c>
      <c r="C60">
        <v>9</v>
      </c>
      <c r="D60" t="s">
        <v>2</v>
      </c>
      <c r="E60">
        <v>0</v>
      </c>
      <c r="F60">
        <v>0</v>
      </c>
      <c r="G60">
        <v>25</v>
      </c>
      <c r="H60">
        <v>0</v>
      </c>
      <c r="I60">
        <f t="shared" si="9"/>
        <v>0</v>
      </c>
      <c r="J60">
        <f t="shared" si="10"/>
        <v>0</v>
      </c>
      <c r="K60">
        <f t="shared" si="11"/>
        <v>1</v>
      </c>
      <c r="L60">
        <f t="shared" si="12"/>
        <v>0</v>
      </c>
      <c r="M60">
        <f t="shared" si="13"/>
        <v>0</v>
      </c>
      <c r="N60">
        <f t="shared" si="14"/>
        <v>0</v>
      </c>
      <c r="O60">
        <f t="shared" si="15"/>
        <v>0</v>
      </c>
      <c r="P60">
        <f t="shared" si="16"/>
        <v>0</v>
      </c>
      <c r="Q60" s="3">
        <f t="shared" si="17"/>
        <v>0</v>
      </c>
    </row>
    <row r="61" spans="1:17" x14ac:dyDescent="0.25">
      <c r="A61" t="s">
        <v>110</v>
      </c>
      <c r="B61" t="s">
        <v>1</v>
      </c>
      <c r="C61">
        <v>9</v>
      </c>
      <c r="D61" t="s">
        <v>2</v>
      </c>
      <c r="E61">
        <v>0</v>
      </c>
      <c r="F61">
        <v>0</v>
      </c>
      <c r="G61">
        <v>34</v>
      </c>
      <c r="H61">
        <v>1</v>
      </c>
      <c r="I61">
        <f t="shared" si="9"/>
        <v>1</v>
      </c>
      <c r="J61">
        <f t="shared" si="10"/>
        <v>0</v>
      </c>
      <c r="K61">
        <f t="shared" si="11"/>
        <v>1</v>
      </c>
      <c r="L61">
        <f t="shared" si="12"/>
        <v>0</v>
      </c>
      <c r="M61">
        <f t="shared" si="13"/>
        <v>0</v>
      </c>
      <c r="N61">
        <f t="shared" si="14"/>
        <v>1</v>
      </c>
      <c r="O61">
        <f t="shared" si="15"/>
        <v>0</v>
      </c>
      <c r="P61">
        <f t="shared" si="16"/>
        <v>0</v>
      </c>
      <c r="Q61" s="3">
        <f t="shared" si="17"/>
        <v>0.33333333333333331</v>
      </c>
    </row>
    <row r="62" spans="1:17" x14ac:dyDescent="0.25">
      <c r="A62" t="s">
        <v>111</v>
      </c>
      <c r="B62" t="s">
        <v>1</v>
      </c>
      <c r="C62">
        <v>9</v>
      </c>
      <c r="D62" t="s">
        <v>2</v>
      </c>
      <c r="E62">
        <v>0</v>
      </c>
      <c r="F62">
        <v>0</v>
      </c>
      <c r="G62">
        <v>0</v>
      </c>
      <c r="H62">
        <v>0</v>
      </c>
      <c r="I62">
        <f t="shared" si="9"/>
        <v>0</v>
      </c>
      <c r="J62">
        <f t="shared" si="10"/>
        <v>0</v>
      </c>
      <c r="K62">
        <f t="shared" si="11"/>
        <v>1</v>
      </c>
      <c r="L62">
        <f t="shared" si="12"/>
        <v>0</v>
      </c>
      <c r="M62">
        <f t="shared" si="13"/>
        <v>0</v>
      </c>
      <c r="N62">
        <f t="shared" si="14"/>
        <v>0</v>
      </c>
      <c r="O62">
        <f t="shared" si="15"/>
        <v>0</v>
      </c>
      <c r="P62">
        <f t="shared" si="16"/>
        <v>0</v>
      </c>
      <c r="Q62" s="3">
        <f t="shared" si="17"/>
        <v>0</v>
      </c>
    </row>
    <row r="63" spans="1:17" x14ac:dyDescent="0.25">
      <c r="A63" t="s">
        <v>25</v>
      </c>
      <c r="B63" t="s">
        <v>1</v>
      </c>
      <c r="C63">
        <v>9</v>
      </c>
      <c r="D63" t="s">
        <v>2</v>
      </c>
      <c r="E63">
        <v>65</v>
      </c>
      <c r="F63">
        <v>4</v>
      </c>
      <c r="G63">
        <v>26</v>
      </c>
      <c r="H63">
        <v>1</v>
      </c>
      <c r="I63">
        <f t="shared" si="9"/>
        <v>-3</v>
      </c>
      <c r="J63">
        <f t="shared" si="10"/>
        <v>0</v>
      </c>
      <c r="K63">
        <f t="shared" si="11"/>
        <v>0</v>
      </c>
      <c r="L63">
        <f t="shared" si="12"/>
        <v>0</v>
      </c>
      <c r="M63">
        <f t="shared" si="13"/>
        <v>0</v>
      </c>
      <c r="N63">
        <f t="shared" si="14"/>
        <v>0</v>
      </c>
      <c r="O63">
        <f t="shared" si="15"/>
        <v>0</v>
      </c>
      <c r="P63">
        <f t="shared" si="16"/>
        <v>0</v>
      </c>
      <c r="Q63" s="3">
        <f t="shared" si="17"/>
        <v>0</v>
      </c>
    </row>
    <row r="64" spans="1:17" x14ac:dyDescent="0.25">
      <c r="A64" t="s">
        <v>112</v>
      </c>
      <c r="B64" t="s">
        <v>1</v>
      </c>
      <c r="C64">
        <v>9</v>
      </c>
      <c r="D64" t="s">
        <v>2</v>
      </c>
      <c r="E64">
        <v>0</v>
      </c>
      <c r="F64">
        <v>0</v>
      </c>
      <c r="G64">
        <v>0</v>
      </c>
      <c r="H64">
        <v>0</v>
      </c>
      <c r="I64">
        <f t="shared" si="9"/>
        <v>0</v>
      </c>
      <c r="J64">
        <f t="shared" si="10"/>
        <v>0</v>
      </c>
      <c r="K64">
        <f t="shared" si="11"/>
        <v>1</v>
      </c>
      <c r="L64">
        <f t="shared" si="12"/>
        <v>0</v>
      </c>
      <c r="M64">
        <f t="shared" si="13"/>
        <v>0</v>
      </c>
      <c r="N64">
        <f t="shared" si="14"/>
        <v>0</v>
      </c>
      <c r="O64">
        <f t="shared" si="15"/>
        <v>0</v>
      </c>
      <c r="P64">
        <f t="shared" si="16"/>
        <v>0</v>
      </c>
      <c r="Q64" s="3">
        <f t="shared" si="17"/>
        <v>0</v>
      </c>
    </row>
    <row r="65" spans="1:17" x14ac:dyDescent="0.25">
      <c r="A65" t="s">
        <v>113</v>
      </c>
      <c r="B65" t="s">
        <v>1</v>
      </c>
      <c r="C65">
        <v>9</v>
      </c>
      <c r="D65" t="s">
        <v>2</v>
      </c>
      <c r="E65">
        <v>0</v>
      </c>
      <c r="F65">
        <v>0</v>
      </c>
      <c r="G65">
        <v>30</v>
      </c>
      <c r="H65">
        <v>1</v>
      </c>
      <c r="I65">
        <f t="shared" si="9"/>
        <v>1</v>
      </c>
      <c r="J65">
        <f t="shared" si="10"/>
        <v>0</v>
      </c>
      <c r="K65">
        <f t="shared" si="11"/>
        <v>1</v>
      </c>
      <c r="L65">
        <f t="shared" si="12"/>
        <v>0</v>
      </c>
      <c r="M65">
        <f t="shared" si="13"/>
        <v>0</v>
      </c>
      <c r="N65">
        <f t="shared" si="14"/>
        <v>0</v>
      </c>
      <c r="O65">
        <f t="shared" si="15"/>
        <v>0</v>
      </c>
      <c r="P65">
        <f t="shared" si="16"/>
        <v>0</v>
      </c>
      <c r="Q65" s="3">
        <f t="shared" si="17"/>
        <v>0</v>
      </c>
    </row>
    <row r="66" spans="1:17" x14ac:dyDescent="0.25">
      <c r="A66" t="s">
        <v>114</v>
      </c>
      <c r="B66" t="s">
        <v>1</v>
      </c>
      <c r="C66">
        <v>9</v>
      </c>
      <c r="D66" t="s">
        <v>2</v>
      </c>
      <c r="E66">
        <v>0</v>
      </c>
      <c r="F66">
        <v>0</v>
      </c>
      <c r="G66">
        <v>26</v>
      </c>
      <c r="H66">
        <v>1</v>
      </c>
      <c r="I66">
        <f t="shared" si="9"/>
        <v>1</v>
      </c>
      <c r="J66">
        <f t="shared" si="10"/>
        <v>0</v>
      </c>
      <c r="K66">
        <f t="shared" si="11"/>
        <v>1</v>
      </c>
      <c r="L66">
        <f t="shared" si="12"/>
        <v>0</v>
      </c>
      <c r="M66">
        <f t="shared" si="13"/>
        <v>0</v>
      </c>
      <c r="N66">
        <f t="shared" si="14"/>
        <v>0</v>
      </c>
      <c r="O66">
        <f t="shared" si="15"/>
        <v>0</v>
      </c>
      <c r="P66">
        <f t="shared" si="16"/>
        <v>0</v>
      </c>
      <c r="Q66" s="3">
        <f t="shared" si="17"/>
        <v>0</v>
      </c>
    </row>
    <row r="67" spans="1:17" x14ac:dyDescent="0.25">
      <c r="A67" t="s">
        <v>26</v>
      </c>
      <c r="B67" t="s">
        <v>1</v>
      </c>
      <c r="C67">
        <v>9</v>
      </c>
      <c r="D67" t="s">
        <v>2</v>
      </c>
      <c r="E67">
        <v>27</v>
      </c>
      <c r="F67">
        <v>1</v>
      </c>
      <c r="G67">
        <v>31</v>
      </c>
      <c r="H67">
        <v>1</v>
      </c>
      <c r="I67">
        <f t="shared" si="9"/>
        <v>0</v>
      </c>
      <c r="J67">
        <f t="shared" si="10"/>
        <v>0.5</v>
      </c>
      <c r="K67">
        <f t="shared" si="11"/>
        <v>1</v>
      </c>
      <c r="L67">
        <f t="shared" si="12"/>
        <v>0</v>
      </c>
      <c r="M67">
        <f t="shared" si="13"/>
        <v>0.5</v>
      </c>
      <c r="N67">
        <f t="shared" si="14"/>
        <v>0</v>
      </c>
      <c r="O67">
        <f t="shared" si="15"/>
        <v>0</v>
      </c>
      <c r="P67">
        <f t="shared" si="16"/>
        <v>0</v>
      </c>
      <c r="Q67" s="3">
        <f t="shared" si="17"/>
        <v>0</v>
      </c>
    </row>
    <row r="68" spans="1:17" x14ac:dyDescent="0.25">
      <c r="A68" t="s">
        <v>115</v>
      </c>
      <c r="B68" t="s">
        <v>1</v>
      </c>
      <c r="C68">
        <v>9</v>
      </c>
      <c r="D68" t="s">
        <v>2</v>
      </c>
      <c r="E68">
        <v>0</v>
      </c>
      <c r="F68">
        <v>0</v>
      </c>
      <c r="G68">
        <v>40</v>
      </c>
      <c r="H68">
        <v>2</v>
      </c>
      <c r="I68">
        <f t="shared" si="9"/>
        <v>2</v>
      </c>
      <c r="J68">
        <f t="shared" si="10"/>
        <v>1.25</v>
      </c>
      <c r="K68">
        <f t="shared" si="11"/>
        <v>1</v>
      </c>
      <c r="L68">
        <f t="shared" si="12"/>
        <v>0.25</v>
      </c>
      <c r="M68">
        <f t="shared" si="13"/>
        <v>1.5</v>
      </c>
      <c r="N68">
        <f t="shared" si="14"/>
        <v>1</v>
      </c>
      <c r="O68">
        <f t="shared" si="15"/>
        <v>0</v>
      </c>
      <c r="P68">
        <f t="shared" si="16"/>
        <v>0</v>
      </c>
      <c r="Q68" s="3">
        <f t="shared" si="17"/>
        <v>0.33333333333333331</v>
      </c>
    </row>
    <row r="69" spans="1:17" x14ac:dyDescent="0.25">
      <c r="A69" t="s">
        <v>27</v>
      </c>
      <c r="B69" t="s">
        <v>1</v>
      </c>
      <c r="C69">
        <v>9</v>
      </c>
      <c r="D69" t="s">
        <v>2</v>
      </c>
      <c r="E69">
        <v>33</v>
      </c>
      <c r="F69">
        <v>1</v>
      </c>
      <c r="G69">
        <v>27</v>
      </c>
      <c r="H69">
        <v>1</v>
      </c>
      <c r="I69">
        <f t="shared" si="9"/>
        <v>0</v>
      </c>
      <c r="J69">
        <f t="shared" si="10"/>
        <v>0.5</v>
      </c>
      <c r="K69">
        <f t="shared" si="11"/>
        <v>1</v>
      </c>
      <c r="L69">
        <f t="shared" si="12"/>
        <v>0</v>
      </c>
      <c r="M69">
        <f t="shared" si="13"/>
        <v>0.5</v>
      </c>
      <c r="N69">
        <f t="shared" si="14"/>
        <v>0</v>
      </c>
      <c r="O69">
        <f t="shared" si="15"/>
        <v>0</v>
      </c>
      <c r="P69">
        <f t="shared" si="16"/>
        <v>0</v>
      </c>
      <c r="Q69" s="3">
        <f t="shared" si="17"/>
        <v>0</v>
      </c>
    </row>
    <row r="70" spans="1:17" x14ac:dyDescent="0.25">
      <c r="A70" t="s">
        <v>28</v>
      </c>
      <c r="B70" t="s">
        <v>1</v>
      </c>
      <c r="C70">
        <v>9</v>
      </c>
      <c r="D70" t="s">
        <v>2</v>
      </c>
      <c r="E70">
        <v>73</v>
      </c>
      <c r="F70">
        <v>4</v>
      </c>
      <c r="G70">
        <v>34</v>
      </c>
      <c r="H70">
        <v>1</v>
      </c>
      <c r="I70">
        <f t="shared" si="9"/>
        <v>-3</v>
      </c>
      <c r="J70">
        <f t="shared" si="10"/>
        <v>0</v>
      </c>
      <c r="K70">
        <f t="shared" si="11"/>
        <v>0</v>
      </c>
      <c r="L70">
        <f t="shared" si="12"/>
        <v>0</v>
      </c>
      <c r="M70">
        <f t="shared" si="13"/>
        <v>0</v>
      </c>
      <c r="N70">
        <f t="shared" si="14"/>
        <v>1</v>
      </c>
      <c r="O70">
        <f t="shared" si="15"/>
        <v>0</v>
      </c>
      <c r="P70">
        <f t="shared" si="16"/>
        <v>0</v>
      </c>
      <c r="Q70" s="3">
        <f t="shared" si="17"/>
        <v>0.33333333333333331</v>
      </c>
    </row>
    <row r="71" spans="1:17" x14ac:dyDescent="0.25">
      <c r="A71" t="s">
        <v>116</v>
      </c>
      <c r="B71" t="s">
        <v>1</v>
      </c>
      <c r="C71">
        <v>9</v>
      </c>
      <c r="D71" t="s">
        <v>2</v>
      </c>
      <c r="E71">
        <v>0</v>
      </c>
      <c r="F71">
        <v>0</v>
      </c>
      <c r="G71">
        <v>27</v>
      </c>
      <c r="H71">
        <v>1</v>
      </c>
      <c r="I71">
        <f t="shared" si="9"/>
        <v>1</v>
      </c>
      <c r="J71">
        <f t="shared" si="10"/>
        <v>0</v>
      </c>
      <c r="K71">
        <f t="shared" si="11"/>
        <v>1</v>
      </c>
      <c r="L71">
        <f t="shared" si="12"/>
        <v>0</v>
      </c>
      <c r="M71">
        <f t="shared" si="13"/>
        <v>0</v>
      </c>
      <c r="N71">
        <f t="shared" si="14"/>
        <v>0</v>
      </c>
      <c r="O71">
        <f t="shared" si="15"/>
        <v>0</v>
      </c>
      <c r="P71">
        <f t="shared" si="16"/>
        <v>0</v>
      </c>
      <c r="Q71" s="3">
        <f t="shared" si="17"/>
        <v>0</v>
      </c>
    </row>
    <row r="72" spans="1:17" x14ac:dyDescent="0.25">
      <c r="A72" t="s">
        <v>117</v>
      </c>
      <c r="B72" t="s">
        <v>1</v>
      </c>
      <c r="C72">
        <v>9</v>
      </c>
      <c r="D72" t="s">
        <v>2</v>
      </c>
      <c r="E72">
        <v>0</v>
      </c>
      <c r="F72">
        <v>0</v>
      </c>
      <c r="G72">
        <v>21</v>
      </c>
      <c r="H72">
        <v>0</v>
      </c>
      <c r="I72">
        <f t="shared" si="9"/>
        <v>0</v>
      </c>
      <c r="J72">
        <f t="shared" si="10"/>
        <v>0</v>
      </c>
      <c r="K72">
        <f t="shared" si="11"/>
        <v>1</v>
      </c>
      <c r="L72">
        <f t="shared" si="12"/>
        <v>0</v>
      </c>
      <c r="M72">
        <f t="shared" si="13"/>
        <v>0</v>
      </c>
      <c r="N72">
        <f t="shared" si="14"/>
        <v>0</v>
      </c>
      <c r="O72">
        <f t="shared" si="15"/>
        <v>0</v>
      </c>
      <c r="P72">
        <f t="shared" si="16"/>
        <v>0</v>
      </c>
      <c r="Q72" s="3">
        <f t="shared" si="17"/>
        <v>0</v>
      </c>
    </row>
    <row r="73" spans="1:17" x14ac:dyDescent="0.25">
      <c r="A73" t="s">
        <v>118</v>
      </c>
      <c r="B73" t="s">
        <v>1</v>
      </c>
      <c r="C73">
        <v>9</v>
      </c>
      <c r="D73" t="s">
        <v>2</v>
      </c>
      <c r="E73">
        <v>0</v>
      </c>
      <c r="F73">
        <v>0</v>
      </c>
      <c r="G73">
        <v>22</v>
      </c>
      <c r="H73">
        <v>0</v>
      </c>
      <c r="I73">
        <f t="shared" si="9"/>
        <v>0</v>
      </c>
      <c r="J73">
        <f t="shared" si="10"/>
        <v>0</v>
      </c>
      <c r="K73">
        <f t="shared" si="11"/>
        <v>1</v>
      </c>
      <c r="L73">
        <f t="shared" si="12"/>
        <v>0</v>
      </c>
      <c r="M73">
        <f t="shared" si="13"/>
        <v>0</v>
      </c>
      <c r="N73">
        <f t="shared" si="14"/>
        <v>0</v>
      </c>
      <c r="O73">
        <f t="shared" si="15"/>
        <v>0</v>
      </c>
      <c r="P73">
        <f t="shared" si="16"/>
        <v>0</v>
      </c>
      <c r="Q73" s="3">
        <f t="shared" si="17"/>
        <v>0</v>
      </c>
    </row>
    <row r="74" spans="1:17" x14ac:dyDescent="0.25">
      <c r="A74" t="s">
        <v>29</v>
      </c>
      <c r="B74" t="s">
        <v>1</v>
      </c>
      <c r="C74">
        <v>9</v>
      </c>
      <c r="D74" t="s">
        <v>2</v>
      </c>
      <c r="E74">
        <v>25</v>
      </c>
      <c r="F74">
        <v>0</v>
      </c>
      <c r="G74">
        <v>16</v>
      </c>
      <c r="H74">
        <v>0</v>
      </c>
      <c r="I74">
        <f t="shared" si="9"/>
        <v>0</v>
      </c>
      <c r="J74">
        <f t="shared" si="10"/>
        <v>0</v>
      </c>
      <c r="K74">
        <f t="shared" si="11"/>
        <v>1</v>
      </c>
      <c r="L74">
        <f t="shared" si="12"/>
        <v>0</v>
      </c>
      <c r="M74">
        <f t="shared" si="13"/>
        <v>0</v>
      </c>
      <c r="N74">
        <f t="shared" si="14"/>
        <v>0</v>
      </c>
      <c r="O74">
        <f t="shared" si="15"/>
        <v>0</v>
      </c>
      <c r="P74">
        <f t="shared" si="16"/>
        <v>0</v>
      </c>
      <c r="Q74" s="3">
        <f t="shared" si="17"/>
        <v>0</v>
      </c>
    </row>
    <row r="75" spans="1:17" x14ac:dyDescent="0.25">
      <c r="A75" t="s">
        <v>30</v>
      </c>
      <c r="B75" t="s">
        <v>1</v>
      </c>
      <c r="C75">
        <v>9</v>
      </c>
      <c r="D75" t="s">
        <v>2</v>
      </c>
      <c r="E75">
        <v>42</v>
      </c>
      <c r="F75">
        <v>2</v>
      </c>
      <c r="G75">
        <v>34</v>
      </c>
      <c r="H75">
        <v>1</v>
      </c>
      <c r="I75">
        <f t="shared" si="9"/>
        <v>-1</v>
      </c>
      <c r="J75">
        <f t="shared" si="10"/>
        <v>0</v>
      </c>
      <c r="K75">
        <f t="shared" si="11"/>
        <v>0</v>
      </c>
      <c r="L75">
        <f t="shared" si="12"/>
        <v>0</v>
      </c>
      <c r="M75">
        <f t="shared" si="13"/>
        <v>0</v>
      </c>
      <c r="N75">
        <f t="shared" si="14"/>
        <v>1</v>
      </c>
      <c r="O75">
        <f t="shared" si="15"/>
        <v>0</v>
      </c>
      <c r="P75">
        <f t="shared" si="16"/>
        <v>0</v>
      </c>
      <c r="Q75" s="3">
        <f t="shared" si="17"/>
        <v>0.33333333333333331</v>
      </c>
    </row>
    <row r="76" spans="1:17" x14ac:dyDescent="0.25">
      <c r="A76" t="s">
        <v>119</v>
      </c>
      <c r="B76" t="s">
        <v>1</v>
      </c>
      <c r="C76">
        <v>9</v>
      </c>
      <c r="D76" t="s">
        <v>2</v>
      </c>
      <c r="E76">
        <v>0</v>
      </c>
      <c r="F76">
        <v>0</v>
      </c>
      <c r="G76">
        <v>20</v>
      </c>
      <c r="H76">
        <v>0</v>
      </c>
      <c r="I76">
        <f t="shared" si="9"/>
        <v>0</v>
      </c>
      <c r="J76">
        <f t="shared" si="10"/>
        <v>0</v>
      </c>
      <c r="K76">
        <f t="shared" si="11"/>
        <v>1</v>
      </c>
      <c r="L76">
        <f t="shared" si="12"/>
        <v>0</v>
      </c>
      <c r="M76">
        <f t="shared" si="13"/>
        <v>0</v>
      </c>
      <c r="N76">
        <f t="shared" si="14"/>
        <v>0</v>
      </c>
      <c r="O76">
        <f t="shared" si="15"/>
        <v>0</v>
      </c>
      <c r="P76">
        <f t="shared" si="16"/>
        <v>0</v>
      </c>
      <c r="Q76" s="3">
        <f t="shared" si="17"/>
        <v>0</v>
      </c>
    </row>
    <row r="77" spans="1:17" x14ac:dyDescent="0.25">
      <c r="A77" t="s">
        <v>120</v>
      </c>
      <c r="B77" t="s">
        <v>1</v>
      </c>
      <c r="C77">
        <v>9</v>
      </c>
      <c r="D77" t="s">
        <v>2</v>
      </c>
      <c r="E77">
        <v>0</v>
      </c>
      <c r="F77">
        <v>0</v>
      </c>
      <c r="G77">
        <v>16</v>
      </c>
      <c r="H77">
        <v>0</v>
      </c>
      <c r="I77">
        <f t="shared" si="9"/>
        <v>0</v>
      </c>
      <c r="J77">
        <f t="shared" si="10"/>
        <v>0</v>
      </c>
      <c r="K77">
        <f t="shared" si="11"/>
        <v>1</v>
      </c>
      <c r="L77">
        <f t="shared" si="12"/>
        <v>0</v>
      </c>
      <c r="M77">
        <f t="shared" si="13"/>
        <v>0</v>
      </c>
      <c r="N77">
        <f t="shared" si="14"/>
        <v>0</v>
      </c>
      <c r="O77">
        <f t="shared" si="15"/>
        <v>0</v>
      </c>
      <c r="P77">
        <f t="shared" si="16"/>
        <v>0</v>
      </c>
      <c r="Q77" s="3">
        <f t="shared" si="17"/>
        <v>0</v>
      </c>
    </row>
    <row r="78" spans="1:17" x14ac:dyDescent="0.25">
      <c r="A78" t="s">
        <v>31</v>
      </c>
      <c r="B78" t="s">
        <v>1</v>
      </c>
      <c r="C78">
        <v>9</v>
      </c>
      <c r="D78" t="s">
        <v>2</v>
      </c>
      <c r="E78">
        <v>52</v>
      </c>
      <c r="F78">
        <v>3</v>
      </c>
      <c r="G78">
        <v>35</v>
      </c>
      <c r="H78">
        <v>2</v>
      </c>
      <c r="I78">
        <f t="shared" si="9"/>
        <v>-1</v>
      </c>
      <c r="J78">
        <f t="shared" si="10"/>
        <v>0</v>
      </c>
      <c r="K78">
        <f t="shared" si="11"/>
        <v>0</v>
      </c>
      <c r="L78">
        <f t="shared" si="12"/>
        <v>0</v>
      </c>
      <c r="M78">
        <f t="shared" si="13"/>
        <v>0</v>
      </c>
      <c r="N78">
        <f t="shared" si="14"/>
        <v>1</v>
      </c>
      <c r="O78">
        <f t="shared" si="15"/>
        <v>0</v>
      </c>
      <c r="P78">
        <f t="shared" si="16"/>
        <v>0</v>
      </c>
      <c r="Q78" s="3">
        <f t="shared" si="17"/>
        <v>0.33333333333333331</v>
      </c>
    </row>
    <row r="79" spans="1:17" x14ac:dyDescent="0.25">
      <c r="A79" t="s">
        <v>32</v>
      </c>
      <c r="B79" t="s">
        <v>1</v>
      </c>
      <c r="C79">
        <v>9</v>
      </c>
      <c r="D79" t="s">
        <v>2</v>
      </c>
      <c r="E79">
        <v>42</v>
      </c>
      <c r="F79">
        <v>2</v>
      </c>
      <c r="G79">
        <v>30</v>
      </c>
      <c r="H79">
        <v>1</v>
      </c>
      <c r="I79">
        <f t="shared" si="9"/>
        <v>-1</v>
      </c>
      <c r="J79">
        <f t="shared" si="10"/>
        <v>0</v>
      </c>
      <c r="K79">
        <f t="shared" si="11"/>
        <v>0</v>
      </c>
      <c r="L79">
        <f t="shared" si="12"/>
        <v>0</v>
      </c>
      <c r="M79">
        <f t="shared" si="13"/>
        <v>0</v>
      </c>
      <c r="N79">
        <f t="shared" si="14"/>
        <v>0</v>
      </c>
      <c r="O79">
        <f t="shared" si="15"/>
        <v>0</v>
      </c>
      <c r="P79">
        <f t="shared" si="16"/>
        <v>0</v>
      </c>
      <c r="Q79" s="3">
        <f t="shared" si="17"/>
        <v>0</v>
      </c>
    </row>
    <row r="80" spans="1:17" x14ac:dyDescent="0.25">
      <c r="A80" t="s">
        <v>33</v>
      </c>
      <c r="B80" t="s">
        <v>1</v>
      </c>
      <c r="C80">
        <v>9</v>
      </c>
      <c r="D80" t="s">
        <v>2</v>
      </c>
      <c r="E80">
        <v>27</v>
      </c>
      <c r="F80">
        <v>1</v>
      </c>
      <c r="G80">
        <v>22</v>
      </c>
      <c r="H80">
        <v>0</v>
      </c>
      <c r="I80">
        <f t="shared" si="9"/>
        <v>-1</v>
      </c>
      <c r="J80">
        <f t="shared" si="10"/>
        <v>0</v>
      </c>
      <c r="K80">
        <f t="shared" si="11"/>
        <v>1</v>
      </c>
      <c r="L80">
        <f t="shared" si="12"/>
        <v>0</v>
      </c>
      <c r="M80">
        <f t="shared" si="13"/>
        <v>0</v>
      </c>
      <c r="N80">
        <f t="shared" si="14"/>
        <v>0</v>
      </c>
      <c r="O80">
        <f t="shared" si="15"/>
        <v>0</v>
      </c>
      <c r="P80">
        <f t="shared" si="16"/>
        <v>0</v>
      </c>
      <c r="Q80" s="3">
        <f t="shared" si="17"/>
        <v>0</v>
      </c>
    </row>
    <row r="81" spans="1:17" x14ac:dyDescent="0.25">
      <c r="A81" t="s">
        <v>121</v>
      </c>
      <c r="B81" t="s">
        <v>1</v>
      </c>
      <c r="C81">
        <v>9</v>
      </c>
      <c r="D81" t="s">
        <v>2</v>
      </c>
      <c r="E81">
        <v>0</v>
      </c>
      <c r="F81">
        <v>0</v>
      </c>
      <c r="G81">
        <v>0</v>
      </c>
      <c r="H81">
        <v>0</v>
      </c>
      <c r="I81">
        <f t="shared" si="9"/>
        <v>0</v>
      </c>
      <c r="J81">
        <f t="shared" si="10"/>
        <v>0</v>
      </c>
      <c r="K81">
        <f t="shared" si="11"/>
        <v>1</v>
      </c>
      <c r="L81">
        <f t="shared" si="12"/>
        <v>0</v>
      </c>
      <c r="M81">
        <f t="shared" si="13"/>
        <v>0</v>
      </c>
      <c r="N81">
        <f t="shared" si="14"/>
        <v>0</v>
      </c>
      <c r="O81">
        <f t="shared" si="15"/>
        <v>0</v>
      </c>
      <c r="P81">
        <f t="shared" si="16"/>
        <v>0</v>
      </c>
      <c r="Q81" s="3">
        <f t="shared" si="17"/>
        <v>0</v>
      </c>
    </row>
    <row r="82" spans="1:17" x14ac:dyDescent="0.25">
      <c r="A82" t="s">
        <v>122</v>
      </c>
      <c r="B82" t="s">
        <v>1</v>
      </c>
      <c r="C82">
        <v>9</v>
      </c>
      <c r="D82" t="s">
        <v>2</v>
      </c>
      <c r="E82">
        <v>0</v>
      </c>
      <c r="F82">
        <v>0</v>
      </c>
      <c r="G82">
        <v>0</v>
      </c>
      <c r="H82">
        <v>0</v>
      </c>
      <c r="I82">
        <f t="shared" si="9"/>
        <v>0</v>
      </c>
      <c r="J82">
        <f t="shared" si="10"/>
        <v>0</v>
      </c>
      <c r="K82">
        <f t="shared" si="11"/>
        <v>1</v>
      </c>
      <c r="L82">
        <f t="shared" si="12"/>
        <v>0</v>
      </c>
      <c r="M82">
        <f t="shared" si="13"/>
        <v>0</v>
      </c>
      <c r="N82">
        <f t="shared" si="14"/>
        <v>0</v>
      </c>
      <c r="O82">
        <f t="shared" si="15"/>
        <v>0</v>
      </c>
      <c r="P82">
        <f t="shared" si="16"/>
        <v>0</v>
      </c>
      <c r="Q82" s="3">
        <f t="shared" si="17"/>
        <v>0</v>
      </c>
    </row>
    <row r="83" spans="1:17" x14ac:dyDescent="0.25">
      <c r="A83" t="s">
        <v>123</v>
      </c>
      <c r="B83" t="s">
        <v>1</v>
      </c>
      <c r="C83">
        <v>9</v>
      </c>
      <c r="D83" t="s">
        <v>2</v>
      </c>
      <c r="E83">
        <v>0</v>
      </c>
      <c r="F83">
        <v>0</v>
      </c>
      <c r="G83">
        <v>15</v>
      </c>
      <c r="H83">
        <v>0</v>
      </c>
      <c r="I83">
        <f t="shared" si="9"/>
        <v>0</v>
      </c>
      <c r="J83">
        <f t="shared" si="10"/>
        <v>0</v>
      </c>
      <c r="K83">
        <f t="shared" si="11"/>
        <v>1</v>
      </c>
      <c r="L83">
        <f t="shared" si="12"/>
        <v>0</v>
      </c>
      <c r="M83">
        <f t="shared" si="13"/>
        <v>0</v>
      </c>
      <c r="N83">
        <f t="shared" si="14"/>
        <v>0</v>
      </c>
      <c r="O83">
        <f t="shared" si="15"/>
        <v>0</v>
      </c>
      <c r="P83">
        <f t="shared" si="16"/>
        <v>0</v>
      </c>
      <c r="Q83" s="3">
        <f t="shared" si="17"/>
        <v>0</v>
      </c>
    </row>
    <row r="84" spans="1:17" x14ac:dyDescent="0.25">
      <c r="A84" t="s">
        <v>124</v>
      </c>
      <c r="B84" t="s">
        <v>1</v>
      </c>
      <c r="C84">
        <v>9</v>
      </c>
      <c r="D84" t="s">
        <v>2</v>
      </c>
      <c r="E84">
        <v>0</v>
      </c>
      <c r="F84">
        <v>0</v>
      </c>
      <c r="G84">
        <v>19</v>
      </c>
      <c r="H84">
        <v>0</v>
      </c>
      <c r="I84">
        <f t="shared" si="9"/>
        <v>0</v>
      </c>
      <c r="J84">
        <f t="shared" si="10"/>
        <v>0</v>
      </c>
      <c r="K84">
        <f t="shared" si="11"/>
        <v>1</v>
      </c>
      <c r="L84">
        <f t="shared" si="12"/>
        <v>0</v>
      </c>
      <c r="M84">
        <f t="shared" si="13"/>
        <v>0</v>
      </c>
      <c r="N84">
        <f t="shared" si="14"/>
        <v>0</v>
      </c>
      <c r="O84">
        <f t="shared" si="15"/>
        <v>0</v>
      </c>
      <c r="P84">
        <f t="shared" si="16"/>
        <v>0</v>
      </c>
      <c r="Q84" s="3">
        <f t="shared" si="17"/>
        <v>0</v>
      </c>
    </row>
    <row r="85" spans="1:17" x14ac:dyDescent="0.25">
      <c r="A85" t="s">
        <v>125</v>
      </c>
      <c r="B85" t="s">
        <v>1</v>
      </c>
      <c r="C85">
        <v>9</v>
      </c>
      <c r="D85" t="s">
        <v>2</v>
      </c>
      <c r="E85">
        <v>0</v>
      </c>
      <c r="F85">
        <v>0</v>
      </c>
      <c r="G85">
        <v>34</v>
      </c>
      <c r="H85">
        <v>1</v>
      </c>
      <c r="I85">
        <f t="shared" si="9"/>
        <v>1</v>
      </c>
      <c r="J85">
        <f t="shared" si="10"/>
        <v>0</v>
      </c>
      <c r="K85">
        <f t="shared" si="11"/>
        <v>1</v>
      </c>
      <c r="L85">
        <f t="shared" si="12"/>
        <v>0</v>
      </c>
      <c r="M85">
        <f t="shared" si="13"/>
        <v>0</v>
      </c>
      <c r="N85">
        <f t="shared" si="14"/>
        <v>1</v>
      </c>
      <c r="O85">
        <f t="shared" si="15"/>
        <v>0</v>
      </c>
      <c r="P85">
        <f t="shared" si="16"/>
        <v>0</v>
      </c>
      <c r="Q85" s="3">
        <f t="shared" si="17"/>
        <v>0.33333333333333331</v>
      </c>
    </row>
    <row r="86" spans="1:17" x14ac:dyDescent="0.25">
      <c r="A86" t="s">
        <v>126</v>
      </c>
      <c r="B86" t="s">
        <v>1</v>
      </c>
      <c r="C86">
        <v>9</v>
      </c>
      <c r="D86" t="s">
        <v>2</v>
      </c>
      <c r="E86">
        <v>0</v>
      </c>
      <c r="F86">
        <v>0</v>
      </c>
      <c r="G86">
        <v>31</v>
      </c>
      <c r="H86">
        <v>1</v>
      </c>
      <c r="I86">
        <f t="shared" si="9"/>
        <v>1</v>
      </c>
      <c r="J86">
        <f t="shared" si="10"/>
        <v>0</v>
      </c>
      <c r="K86">
        <f t="shared" si="11"/>
        <v>1</v>
      </c>
      <c r="L86">
        <f t="shared" si="12"/>
        <v>0</v>
      </c>
      <c r="M86">
        <f t="shared" si="13"/>
        <v>0</v>
      </c>
      <c r="N86">
        <f t="shared" si="14"/>
        <v>0</v>
      </c>
      <c r="O86">
        <f t="shared" si="15"/>
        <v>0</v>
      </c>
      <c r="P86">
        <f t="shared" si="16"/>
        <v>0</v>
      </c>
      <c r="Q86" s="3">
        <f t="shared" si="17"/>
        <v>0</v>
      </c>
    </row>
    <row r="87" spans="1:17" x14ac:dyDescent="0.25">
      <c r="A87" t="s">
        <v>127</v>
      </c>
      <c r="B87" t="s">
        <v>1</v>
      </c>
      <c r="C87">
        <v>9</v>
      </c>
      <c r="D87" t="s">
        <v>2</v>
      </c>
      <c r="E87">
        <v>0</v>
      </c>
      <c r="F87">
        <v>0</v>
      </c>
      <c r="G87">
        <v>19</v>
      </c>
      <c r="H87">
        <v>0</v>
      </c>
      <c r="I87">
        <f t="shared" si="9"/>
        <v>0</v>
      </c>
      <c r="J87">
        <f t="shared" si="10"/>
        <v>0</v>
      </c>
      <c r="K87">
        <f t="shared" si="11"/>
        <v>1</v>
      </c>
      <c r="L87">
        <f t="shared" si="12"/>
        <v>0</v>
      </c>
      <c r="M87">
        <f t="shared" si="13"/>
        <v>0</v>
      </c>
      <c r="N87">
        <f t="shared" si="14"/>
        <v>0</v>
      </c>
      <c r="O87">
        <f t="shared" si="15"/>
        <v>0</v>
      </c>
      <c r="P87">
        <f t="shared" si="16"/>
        <v>0</v>
      </c>
      <c r="Q87" s="3">
        <f t="shared" si="17"/>
        <v>0</v>
      </c>
    </row>
    <row r="88" spans="1:17" x14ac:dyDescent="0.25">
      <c r="A88" t="s">
        <v>34</v>
      </c>
      <c r="B88" t="s">
        <v>1</v>
      </c>
      <c r="C88">
        <v>9</v>
      </c>
      <c r="D88" t="s">
        <v>2</v>
      </c>
      <c r="E88">
        <v>54</v>
      </c>
      <c r="F88">
        <v>4</v>
      </c>
      <c r="G88">
        <v>30</v>
      </c>
      <c r="H88">
        <v>1</v>
      </c>
      <c r="I88">
        <f t="shared" si="9"/>
        <v>-3</v>
      </c>
      <c r="J88">
        <f t="shared" si="10"/>
        <v>0</v>
      </c>
      <c r="K88">
        <f t="shared" si="11"/>
        <v>0</v>
      </c>
      <c r="L88">
        <f t="shared" si="12"/>
        <v>0</v>
      </c>
      <c r="M88">
        <f t="shared" si="13"/>
        <v>0</v>
      </c>
      <c r="N88">
        <f t="shared" si="14"/>
        <v>0</v>
      </c>
      <c r="O88">
        <f t="shared" si="15"/>
        <v>0</v>
      </c>
      <c r="P88">
        <f t="shared" si="16"/>
        <v>0</v>
      </c>
      <c r="Q88" s="3">
        <f t="shared" si="17"/>
        <v>0</v>
      </c>
    </row>
    <row r="89" spans="1:17" x14ac:dyDescent="0.25">
      <c r="A89" t="s">
        <v>35</v>
      </c>
      <c r="B89" t="s">
        <v>1</v>
      </c>
      <c r="C89">
        <v>9</v>
      </c>
      <c r="D89" t="s">
        <v>2</v>
      </c>
      <c r="E89">
        <v>38</v>
      </c>
      <c r="F89">
        <v>1</v>
      </c>
      <c r="G89">
        <v>35</v>
      </c>
      <c r="H89">
        <v>2</v>
      </c>
      <c r="I89">
        <f t="shared" si="9"/>
        <v>1</v>
      </c>
      <c r="J89">
        <f t="shared" si="10"/>
        <v>0.25</v>
      </c>
      <c r="K89">
        <f t="shared" si="11"/>
        <v>1</v>
      </c>
      <c r="L89">
        <f t="shared" si="12"/>
        <v>0.25</v>
      </c>
      <c r="M89">
        <f t="shared" si="13"/>
        <v>0.5</v>
      </c>
      <c r="N89">
        <f t="shared" si="14"/>
        <v>1</v>
      </c>
      <c r="O89">
        <f t="shared" si="15"/>
        <v>0</v>
      </c>
      <c r="P89">
        <f t="shared" si="16"/>
        <v>0</v>
      </c>
      <c r="Q89" s="3">
        <f t="shared" si="17"/>
        <v>0.33333333333333331</v>
      </c>
    </row>
    <row r="90" spans="1:17" x14ac:dyDescent="0.25">
      <c r="A90" t="s">
        <v>128</v>
      </c>
      <c r="B90" t="s">
        <v>1</v>
      </c>
      <c r="C90">
        <v>9</v>
      </c>
      <c r="D90" t="s">
        <v>2</v>
      </c>
      <c r="E90">
        <v>0</v>
      </c>
      <c r="F90">
        <v>0</v>
      </c>
      <c r="G90">
        <v>25</v>
      </c>
      <c r="H90">
        <v>0</v>
      </c>
      <c r="I90">
        <f t="shared" si="9"/>
        <v>0</v>
      </c>
      <c r="J90">
        <f t="shared" si="10"/>
        <v>0</v>
      </c>
      <c r="K90">
        <f t="shared" si="11"/>
        <v>1</v>
      </c>
      <c r="L90">
        <f t="shared" si="12"/>
        <v>0</v>
      </c>
      <c r="M90">
        <f t="shared" si="13"/>
        <v>0</v>
      </c>
      <c r="N90">
        <f t="shared" si="14"/>
        <v>0</v>
      </c>
      <c r="O90">
        <f t="shared" si="15"/>
        <v>0</v>
      </c>
      <c r="P90">
        <f t="shared" si="16"/>
        <v>0</v>
      </c>
      <c r="Q90" s="3">
        <f t="shared" si="17"/>
        <v>0</v>
      </c>
    </row>
    <row r="91" spans="1:17" x14ac:dyDescent="0.25">
      <c r="A91" t="s">
        <v>36</v>
      </c>
      <c r="B91" t="s">
        <v>1</v>
      </c>
      <c r="C91">
        <v>9</v>
      </c>
      <c r="D91" t="s">
        <v>2</v>
      </c>
      <c r="E91">
        <v>46</v>
      </c>
      <c r="F91">
        <v>2</v>
      </c>
      <c r="G91">
        <v>18</v>
      </c>
      <c r="H91">
        <v>0</v>
      </c>
      <c r="I91">
        <f t="shared" si="9"/>
        <v>-2</v>
      </c>
      <c r="J91">
        <f t="shared" si="10"/>
        <v>0</v>
      </c>
      <c r="K91">
        <f t="shared" si="11"/>
        <v>0</v>
      </c>
      <c r="L91">
        <f t="shared" si="12"/>
        <v>0</v>
      </c>
      <c r="M91">
        <f t="shared" si="13"/>
        <v>0</v>
      </c>
      <c r="N91">
        <f t="shared" si="14"/>
        <v>0</v>
      </c>
      <c r="O91">
        <f t="shared" si="15"/>
        <v>0</v>
      </c>
      <c r="P91">
        <f t="shared" si="16"/>
        <v>0</v>
      </c>
      <c r="Q91" s="3">
        <f t="shared" si="17"/>
        <v>0</v>
      </c>
    </row>
    <row r="92" spans="1:17" x14ac:dyDescent="0.25">
      <c r="A92" t="s">
        <v>129</v>
      </c>
      <c r="B92" t="s">
        <v>1</v>
      </c>
      <c r="C92">
        <v>9</v>
      </c>
      <c r="D92" t="s">
        <v>2</v>
      </c>
      <c r="E92">
        <v>0</v>
      </c>
      <c r="F92">
        <v>0</v>
      </c>
      <c r="G92">
        <v>17</v>
      </c>
      <c r="H92">
        <v>0</v>
      </c>
      <c r="I92">
        <f t="shared" si="9"/>
        <v>0</v>
      </c>
      <c r="J92">
        <f t="shared" si="10"/>
        <v>0</v>
      </c>
      <c r="K92">
        <f t="shared" si="11"/>
        <v>1</v>
      </c>
      <c r="L92">
        <f t="shared" si="12"/>
        <v>0</v>
      </c>
      <c r="M92">
        <f t="shared" si="13"/>
        <v>0</v>
      </c>
      <c r="N92">
        <f t="shared" si="14"/>
        <v>0</v>
      </c>
      <c r="O92">
        <f t="shared" si="15"/>
        <v>0</v>
      </c>
      <c r="P92">
        <f t="shared" si="16"/>
        <v>0</v>
      </c>
      <c r="Q92" s="3">
        <f t="shared" si="17"/>
        <v>0</v>
      </c>
    </row>
    <row r="93" spans="1:17" x14ac:dyDescent="0.25">
      <c r="A93" t="s">
        <v>130</v>
      </c>
      <c r="B93" t="s">
        <v>1</v>
      </c>
      <c r="C93">
        <v>9</v>
      </c>
      <c r="D93" t="s">
        <v>2</v>
      </c>
      <c r="E93">
        <v>0</v>
      </c>
      <c r="F93">
        <v>0</v>
      </c>
      <c r="G93">
        <v>0</v>
      </c>
      <c r="H93">
        <v>0</v>
      </c>
      <c r="I93">
        <f t="shared" si="9"/>
        <v>0</v>
      </c>
      <c r="J93">
        <f t="shared" si="10"/>
        <v>0</v>
      </c>
      <c r="K93">
        <f t="shared" si="11"/>
        <v>1</v>
      </c>
      <c r="L93">
        <f t="shared" si="12"/>
        <v>0</v>
      </c>
      <c r="M93">
        <f t="shared" si="13"/>
        <v>0</v>
      </c>
      <c r="N93">
        <f t="shared" si="14"/>
        <v>0</v>
      </c>
      <c r="O93">
        <f t="shared" si="15"/>
        <v>0</v>
      </c>
      <c r="P93">
        <f t="shared" si="16"/>
        <v>0</v>
      </c>
      <c r="Q93" s="3">
        <f t="shared" si="17"/>
        <v>0</v>
      </c>
    </row>
    <row r="94" spans="1:17" x14ac:dyDescent="0.25">
      <c r="A94" t="s">
        <v>37</v>
      </c>
      <c r="B94" t="s">
        <v>1</v>
      </c>
      <c r="C94">
        <v>9</v>
      </c>
      <c r="D94" t="s">
        <v>2</v>
      </c>
      <c r="E94">
        <v>38</v>
      </c>
      <c r="F94">
        <v>1</v>
      </c>
      <c r="G94">
        <v>17</v>
      </c>
      <c r="H94">
        <v>0</v>
      </c>
      <c r="I94">
        <f t="shared" si="9"/>
        <v>-1</v>
      </c>
      <c r="J94">
        <f t="shared" si="10"/>
        <v>0</v>
      </c>
      <c r="K94">
        <f t="shared" si="11"/>
        <v>1</v>
      </c>
      <c r="L94">
        <f t="shared" si="12"/>
        <v>0</v>
      </c>
      <c r="M94">
        <f t="shared" si="13"/>
        <v>0</v>
      </c>
      <c r="N94">
        <f t="shared" si="14"/>
        <v>0</v>
      </c>
      <c r="O94">
        <f t="shared" si="15"/>
        <v>0</v>
      </c>
      <c r="P94">
        <f t="shared" si="16"/>
        <v>0</v>
      </c>
      <c r="Q94" s="3">
        <f t="shared" si="17"/>
        <v>0</v>
      </c>
    </row>
    <row r="95" spans="1:17" x14ac:dyDescent="0.25">
      <c r="A95" t="s">
        <v>38</v>
      </c>
      <c r="B95" t="s">
        <v>1</v>
      </c>
      <c r="C95">
        <v>9</v>
      </c>
      <c r="D95" t="s">
        <v>2</v>
      </c>
      <c r="E95">
        <v>42</v>
      </c>
      <c r="F95">
        <v>2</v>
      </c>
      <c r="G95">
        <v>17</v>
      </c>
      <c r="H95">
        <v>0</v>
      </c>
      <c r="I95">
        <f t="shared" si="9"/>
        <v>-2</v>
      </c>
      <c r="J95">
        <f t="shared" si="10"/>
        <v>0</v>
      </c>
      <c r="K95">
        <f t="shared" si="11"/>
        <v>0</v>
      </c>
      <c r="L95">
        <f t="shared" si="12"/>
        <v>0</v>
      </c>
      <c r="M95">
        <f t="shared" si="13"/>
        <v>0</v>
      </c>
      <c r="N95">
        <f t="shared" si="14"/>
        <v>0</v>
      </c>
      <c r="O95">
        <f t="shared" si="15"/>
        <v>0</v>
      </c>
      <c r="P95">
        <f t="shared" si="16"/>
        <v>0</v>
      </c>
      <c r="Q95" s="3">
        <f t="shared" si="17"/>
        <v>0</v>
      </c>
    </row>
    <row r="96" spans="1:17" x14ac:dyDescent="0.25">
      <c r="A96" t="s">
        <v>39</v>
      </c>
      <c r="B96" t="s">
        <v>1</v>
      </c>
      <c r="C96">
        <v>9</v>
      </c>
      <c r="D96" t="s">
        <v>2</v>
      </c>
      <c r="E96">
        <v>63</v>
      </c>
      <c r="F96">
        <v>4</v>
      </c>
      <c r="G96">
        <v>44</v>
      </c>
      <c r="H96">
        <v>2</v>
      </c>
      <c r="I96">
        <f t="shared" si="9"/>
        <v>-2</v>
      </c>
      <c r="J96">
        <f t="shared" si="10"/>
        <v>0</v>
      </c>
      <c r="K96">
        <f t="shared" si="11"/>
        <v>0</v>
      </c>
      <c r="L96">
        <f t="shared" si="12"/>
        <v>0</v>
      </c>
      <c r="M96">
        <f t="shared" si="13"/>
        <v>0</v>
      </c>
      <c r="N96">
        <f t="shared" si="14"/>
        <v>1</v>
      </c>
      <c r="O96">
        <f t="shared" si="15"/>
        <v>0</v>
      </c>
      <c r="P96">
        <f t="shared" si="16"/>
        <v>0</v>
      </c>
      <c r="Q96" s="3">
        <f t="shared" si="17"/>
        <v>0.33333333333333331</v>
      </c>
    </row>
    <row r="97" spans="1:17" x14ac:dyDescent="0.25">
      <c r="A97" t="s">
        <v>40</v>
      </c>
      <c r="B97" t="s">
        <v>1</v>
      </c>
      <c r="C97">
        <v>9</v>
      </c>
      <c r="D97" t="s">
        <v>2</v>
      </c>
      <c r="E97">
        <v>29</v>
      </c>
      <c r="F97">
        <v>1</v>
      </c>
      <c r="G97">
        <v>15</v>
      </c>
      <c r="H97">
        <v>0</v>
      </c>
      <c r="I97">
        <f t="shared" si="9"/>
        <v>-1</v>
      </c>
      <c r="J97">
        <f t="shared" si="10"/>
        <v>0</v>
      </c>
      <c r="K97">
        <f t="shared" si="11"/>
        <v>1</v>
      </c>
      <c r="L97">
        <f t="shared" si="12"/>
        <v>0</v>
      </c>
      <c r="M97">
        <f t="shared" si="13"/>
        <v>0</v>
      </c>
      <c r="N97">
        <f t="shared" si="14"/>
        <v>0</v>
      </c>
      <c r="O97">
        <f t="shared" si="15"/>
        <v>0</v>
      </c>
      <c r="P97">
        <f t="shared" si="16"/>
        <v>0</v>
      </c>
      <c r="Q97" s="3">
        <f t="shared" si="17"/>
        <v>0</v>
      </c>
    </row>
    <row r="98" spans="1:17" x14ac:dyDescent="0.25">
      <c r="A98" t="s">
        <v>41</v>
      </c>
      <c r="B98" t="s">
        <v>1</v>
      </c>
      <c r="C98">
        <v>9</v>
      </c>
      <c r="D98" t="s">
        <v>2</v>
      </c>
      <c r="E98">
        <v>58</v>
      </c>
      <c r="F98">
        <v>4</v>
      </c>
      <c r="G98">
        <v>40</v>
      </c>
      <c r="H98">
        <v>2</v>
      </c>
      <c r="I98">
        <f t="shared" si="9"/>
        <v>-2</v>
      </c>
      <c r="J98">
        <f t="shared" si="10"/>
        <v>0</v>
      </c>
      <c r="K98">
        <f t="shared" si="11"/>
        <v>0</v>
      </c>
      <c r="L98">
        <f t="shared" si="12"/>
        <v>0</v>
      </c>
      <c r="M98">
        <f t="shared" si="13"/>
        <v>0</v>
      </c>
      <c r="N98">
        <f t="shared" si="14"/>
        <v>1</v>
      </c>
      <c r="O98">
        <f t="shared" si="15"/>
        <v>0</v>
      </c>
      <c r="P98">
        <f t="shared" si="16"/>
        <v>0</v>
      </c>
      <c r="Q98" s="3">
        <f t="shared" si="17"/>
        <v>0.33333333333333331</v>
      </c>
    </row>
    <row r="99" spans="1:17" x14ac:dyDescent="0.25">
      <c r="A99" t="s">
        <v>131</v>
      </c>
      <c r="B99" t="s">
        <v>1</v>
      </c>
      <c r="C99">
        <v>9</v>
      </c>
      <c r="D99" t="s">
        <v>2</v>
      </c>
      <c r="E99">
        <v>0</v>
      </c>
      <c r="F99">
        <v>0</v>
      </c>
      <c r="G99">
        <v>0</v>
      </c>
      <c r="H99">
        <v>0</v>
      </c>
      <c r="I99">
        <f t="shared" si="9"/>
        <v>0</v>
      </c>
      <c r="J99">
        <f t="shared" si="10"/>
        <v>0</v>
      </c>
      <c r="K99">
        <f t="shared" si="11"/>
        <v>1</v>
      </c>
      <c r="L99">
        <f t="shared" si="12"/>
        <v>0</v>
      </c>
      <c r="M99">
        <f t="shared" si="13"/>
        <v>0</v>
      </c>
      <c r="N99">
        <f t="shared" si="14"/>
        <v>0</v>
      </c>
      <c r="O99">
        <f t="shared" si="15"/>
        <v>0</v>
      </c>
      <c r="P99">
        <f t="shared" si="16"/>
        <v>0</v>
      </c>
      <c r="Q99" s="3">
        <f t="shared" si="17"/>
        <v>0</v>
      </c>
    </row>
    <row r="100" spans="1:17" x14ac:dyDescent="0.25">
      <c r="A100" t="s">
        <v>132</v>
      </c>
      <c r="B100" t="s">
        <v>1</v>
      </c>
      <c r="C100">
        <v>9</v>
      </c>
      <c r="D100" t="s">
        <v>2</v>
      </c>
      <c r="E100">
        <v>0</v>
      </c>
      <c r="F100">
        <v>0</v>
      </c>
      <c r="G100">
        <v>16</v>
      </c>
      <c r="H100">
        <v>0</v>
      </c>
      <c r="I100">
        <f t="shared" si="9"/>
        <v>0</v>
      </c>
      <c r="J100">
        <f t="shared" si="10"/>
        <v>0</v>
      </c>
      <c r="K100">
        <f t="shared" si="11"/>
        <v>1</v>
      </c>
      <c r="L100">
        <f t="shared" si="12"/>
        <v>0</v>
      </c>
      <c r="M100">
        <f t="shared" si="13"/>
        <v>0</v>
      </c>
      <c r="N100">
        <f t="shared" si="14"/>
        <v>0</v>
      </c>
      <c r="O100">
        <f t="shared" si="15"/>
        <v>0</v>
      </c>
      <c r="P100">
        <f t="shared" si="16"/>
        <v>0</v>
      </c>
      <c r="Q100" s="3">
        <f t="shared" si="17"/>
        <v>0</v>
      </c>
    </row>
    <row r="101" spans="1:17" x14ac:dyDescent="0.25">
      <c r="A101" t="s">
        <v>42</v>
      </c>
      <c r="B101" t="s">
        <v>1</v>
      </c>
      <c r="C101">
        <v>9</v>
      </c>
      <c r="D101" t="s">
        <v>2</v>
      </c>
      <c r="E101">
        <v>44</v>
      </c>
      <c r="F101">
        <v>2</v>
      </c>
      <c r="G101">
        <v>22</v>
      </c>
      <c r="H101">
        <v>0</v>
      </c>
      <c r="I101">
        <f t="shared" si="9"/>
        <v>-2</v>
      </c>
      <c r="J101">
        <f t="shared" si="10"/>
        <v>0</v>
      </c>
      <c r="K101">
        <f t="shared" si="11"/>
        <v>0</v>
      </c>
      <c r="L101">
        <f t="shared" si="12"/>
        <v>0</v>
      </c>
      <c r="M101">
        <f t="shared" si="13"/>
        <v>0</v>
      </c>
      <c r="N101">
        <f t="shared" si="14"/>
        <v>0</v>
      </c>
      <c r="O101">
        <f t="shared" si="15"/>
        <v>0</v>
      </c>
      <c r="P101">
        <f t="shared" si="16"/>
        <v>0</v>
      </c>
      <c r="Q101" s="3">
        <f t="shared" si="17"/>
        <v>0</v>
      </c>
    </row>
    <row r="102" spans="1:17" x14ac:dyDescent="0.25">
      <c r="A102" t="s">
        <v>43</v>
      </c>
      <c r="B102" t="s">
        <v>1</v>
      </c>
      <c r="C102">
        <v>9</v>
      </c>
      <c r="D102" t="s">
        <v>2</v>
      </c>
      <c r="E102">
        <v>75</v>
      </c>
      <c r="F102">
        <v>4</v>
      </c>
      <c r="G102">
        <v>46</v>
      </c>
      <c r="H102">
        <v>3</v>
      </c>
      <c r="I102">
        <f t="shared" si="9"/>
        <v>-1</v>
      </c>
      <c r="J102">
        <f t="shared" si="10"/>
        <v>0</v>
      </c>
      <c r="K102">
        <f t="shared" si="11"/>
        <v>0</v>
      </c>
      <c r="L102">
        <f t="shared" si="12"/>
        <v>0</v>
      </c>
      <c r="M102">
        <f t="shared" si="13"/>
        <v>0</v>
      </c>
      <c r="N102">
        <f t="shared" si="14"/>
        <v>1</v>
      </c>
      <c r="O102">
        <f t="shared" si="15"/>
        <v>0</v>
      </c>
      <c r="P102">
        <f t="shared" si="16"/>
        <v>0</v>
      </c>
      <c r="Q102" s="3">
        <f t="shared" si="17"/>
        <v>0.33333333333333331</v>
      </c>
    </row>
    <row r="103" spans="1:17" x14ac:dyDescent="0.25">
      <c r="A103" t="s">
        <v>133</v>
      </c>
      <c r="B103" t="s">
        <v>1</v>
      </c>
      <c r="C103">
        <v>9</v>
      </c>
      <c r="D103" t="s">
        <v>2</v>
      </c>
      <c r="E103">
        <v>0</v>
      </c>
      <c r="F103">
        <v>0</v>
      </c>
      <c r="G103">
        <v>0</v>
      </c>
      <c r="H103">
        <v>0</v>
      </c>
      <c r="I103">
        <f t="shared" si="9"/>
        <v>0</v>
      </c>
      <c r="J103">
        <f t="shared" si="10"/>
        <v>0</v>
      </c>
      <c r="K103">
        <f t="shared" si="11"/>
        <v>1</v>
      </c>
      <c r="L103">
        <f t="shared" si="12"/>
        <v>0</v>
      </c>
      <c r="M103">
        <f t="shared" si="13"/>
        <v>0</v>
      </c>
      <c r="N103">
        <f t="shared" si="14"/>
        <v>0</v>
      </c>
      <c r="O103">
        <f t="shared" si="15"/>
        <v>0</v>
      </c>
      <c r="P103">
        <f t="shared" si="16"/>
        <v>0</v>
      </c>
      <c r="Q103" s="3">
        <f t="shared" si="17"/>
        <v>0</v>
      </c>
    </row>
    <row r="104" spans="1:17" x14ac:dyDescent="0.25">
      <c r="A104" t="s">
        <v>134</v>
      </c>
      <c r="B104" t="s">
        <v>1</v>
      </c>
      <c r="C104">
        <v>9</v>
      </c>
      <c r="D104" t="s">
        <v>2</v>
      </c>
      <c r="E104">
        <v>0</v>
      </c>
      <c r="F104">
        <v>0</v>
      </c>
      <c r="G104">
        <v>0</v>
      </c>
      <c r="H104">
        <v>0</v>
      </c>
      <c r="I104">
        <f t="shared" si="9"/>
        <v>0</v>
      </c>
      <c r="J104">
        <f t="shared" si="10"/>
        <v>0</v>
      </c>
      <c r="K104">
        <f t="shared" si="11"/>
        <v>1</v>
      </c>
      <c r="L104">
        <f t="shared" si="12"/>
        <v>0</v>
      </c>
      <c r="M104">
        <f t="shared" si="13"/>
        <v>0</v>
      </c>
      <c r="N104">
        <f t="shared" si="14"/>
        <v>0</v>
      </c>
      <c r="O104">
        <f t="shared" si="15"/>
        <v>0</v>
      </c>
      <c r="P104">
        <f t="shared" si="16"/>
        <v>0</v>
      </c>
      <c r="Q104" s="3">
        <f t="shared" si="17"/>
        <v>0</v>
      </c>
    </row>
    <row r="105" spans="1:17" x14ac:dyDescent="0.25">
      <c r="A105" t="s">
        <v>135</v>
      </c>
      <c r="B105" t="s">
        <v>1</v>
      </c>
      <c r="C105">
        <v>9</v>
      </c>
      <c r="D105" t="s">
        <v>2</v>
      </c>
      <c r="E105">
        <v>0</v>
      </c>
      <c r="F105">
        <v>0</v>
      </c>
      <c r="G105">
        <v>17</v>
      </c>
      <c r="H105">
        <v>0</v>
      </c>
      <c r="I105">
        <f t="shared" si="9"/>
        <v>0</v>
      </c>
      <c r="J105">
        <f t="shared" si="10"/>
        <v>0</v>
      </c>
      <c r="K105">
        <f t="shared" si="11"/>
        <v>1</v>
      </c>
      <c r="L105">
        <f t="shared" si="12"/>
        <v>0</v>
      </c>
      <c r="M105">
        <f t="shared" si="13"/>
        <v>0</v>
      </c>
      <c r="N105">
        <f t="shared" si="14"/>
        <v>0</v>
      </c>
      <c r="O105">
        <f t="shared" si="15"/>
        <v>0</v>
      </c>
      <c r="P105">
        <f t="shared" si="16"/>
        <v>0</v>
      </c>
      <c r="Q105" s="3">
        <f t="shared" si="17"/>
        <v>0</v>
      </c>
    </row>
    <row r="106" spans="1:17" x14ac:dyDescent="0.25">
      <c r="A106" t="s">
        <v>44</v>
      </c>
      <c r="B106" t="s">
        <v>1</v>
      </c>
      <c r="C106">
        <v>9</v>
      </c>
      <c r="D106" t="s">
        <v>2</v>
      </c>
      <c r="E106">
        <v>33</v>
      </c>
      <c r="F106">
        <v>1</v>
      </c>
      <c r="G106">
        <v>36</v>
      </c>
      <c r="H106">
        <v>2</v>
      </c>
      <c r="I106">
        <f t="shared" si="9"/>
        <v>1</v>
      </c>
      <c r="J106">
        <f t="shared" si="10"/>
        <v>0.25</v>
      </c>
      <c r="K106">
        <f t="shared" si="11"/>
        <v>1</v>
      </c>
      <c r="L106">
        <f t="shared" si="12"/>
        <v>0.25</v>
      </c>
      <c r="M106">
        <f t="shared" si="13"/>
        <v>0.5</v>
      </c>
      <c r="N106">
        <f t="shared" si="14"/>
        <v>1</v>
      </c>
      <c r="O106">
        <f t="shared" si="15"/>
        <v>0</v>
      </c>
      <c r="P106">
        <f t="shared" si="16"/>
        <v>0</v>
      </c>
      <c r="Q106" s="3">
        <f t="shared" si="17"/>
        <v>0.33333333333333331</v>
      </c>
    </row>
    <row r="107" spans="1:17" x14ac:dyDescent="0.25">
      <c r="A107" t="s">
        <v>136</v>
      </c>
      <c r="B107" t="s">
        <v>1</v>
      </c>
      <c r="C107">
        <v>9</v>
      </c>
      <c r="D107" t="s">
        <v>2</v>
      </c>
      <c r="E107">
        <v>0</v>
      </c>
      <c r="F107">
        <v>0</v>
      </c>
      <c r="G107">
        <v>27</v>
      </c>
      <c r="H107">
        <v>1</v>
      </c>
      <c r="I107">
        <f t="shared" si="9"/>
        <v>1</v>
      </c>
      <c r="J107">
        <f t="shared" si="10"/>
        <v>0</v>
      </c>
      <c r="K107">
        <f t="shared" si="11"/>
        <v>1</v>
      </c>
      <c r="L107">
        <f t="shared" si="12"/>
        <v>0</v>
      </c>
      <c r="M107">
        <f t="shared" si="13"/>
        <v>0</v>
      </c>
      <c r="N107">
        <f t="shared" si="14"/>
        <v>0</v>
      </c>
      <c r="O107">
        <f t="shared" si="15"/>
        <v>0</v>
      </c>
      <c r="P107">
        <f t="shared" si="16"/>
        <v>0</v>
      </c>
      <c r="Q107" s="3">
        <f t="shared" si="17"/>
        <v>0</v>
      </c>
    </row>
    <row r="108" spans="1:17" x14ac:dyDescent="0.25">
      <c r="A108" t="s">
        <v>137</v>
      </c>
      <c r="B108" t="s">
        <v>1</v>
      </c>
      <c r="C108">
        <v>9</v>
      </c>
      <c r="D108" t="s">
        <v>2</v>
      </c>
      <c r="E108">
        <v>0</v>
      </c>
      <c r="F108">
        <v>0</v>
      </c>
      <c r="G108">
        <v>14</v>
      </c>
      <c r="H108">
        <v>0</v>
      </c>
      <c r="I108">
        <f t="shared" si="9"/>
        <v>0</v>
      </c>
      <c r="J108">
        <f t="shared" si="10"/>
        <v>0</v>
      </c>
      <c r="K108">
        <f t="shared" si="11"/>
        <v>1</v>
      </c>
      <c r="L108">
        <f t="shared" si="12"/>
        <v>0</v>
      </c>
      <c r="M108">
        <f t="shared" si="13"/>
        <v>0</v>
      </c>
      <c r="N108">
        <f t="shared" si="14"/>
        <v>0</v>
      </c>
      <c r="O108">
        <f t="shared" si="15"/>
        <v>0</v>
      </c>
      <c r="P108">
        <f t="shared" si="16"/>
        <v>0</v>
      </c>
      <c r="Q108" s="3">
        <f t="shared" si="17"/>
        <v>0</v>
      </c>
    </row>
    <row r="109" spans="1:17" x14ac:dyDescent="0.25">
      <c r="A109" t="s">
        <v>45</v>
      </c>
      <c r="B109" t="s">
        <v>1</v>
      </c>
      <c r="C109">
        <v>9</v>
      </c>
      <c r="D109" t="s">
        <v>2</v>
      </c>
      <c r="E109">
        <v>63</v>
      </c>
      <c r="F109">
        <v>4</v>
      </c>
      <c r="G109">
        <v>26</v>
      </c>
      <c r="H109">
        <v>1</v>
      </c>
      <c r="I109">
        <f t="shared" si="9"/>
        <v>-3</v>
      </c>
      <c r="J109">
        <f t="shared" si="10"/>
        <v>0</v>
      </c>
      <c r="K109">
        <f t="shared" si="11"/>
        <v>0</v>
      </c>
      <c r="L109">
        <f t="shared" si="12"/>
        <v>0</v>
      </c>
      <c r="M109">
        <f t="shared" si="13"/>
        <v>0</v>
      </c>
      <c r="N109">
        <f t="shared" si="14"/>
        <v>0</v>
      </c>
      <c r="O109">
        <f t="shared" si="15"/>
        <v>0</v>
      </c>
      <c r="P109">
        <f t="shared" si="16"/>
        <v>0</v>
      </c>
      <c r="Q109" s="3">
        <f t="shared" si="17"/>
        <v>0</v>
      </c>
    </row>
    <row r="110" spans="1:17" x14ac:dyDescent="0.25">
      <c r="A110" t="s">
        <v>138</v>
      </c>
      <c r="B110" t="s">
        <v>1</v>
      </c>
      <c r="C110">
        <v>9</v>
      </c>
      <c r="D110" t="s">
        <v>2</v>
      </c>
      <c r="E110">
        <v>0</v>
      </c>
      <c r="F110">
        <v>0</v>
      </c>
      <c r="G110">
        <v>17</v>
      </c>
      <c r="H110">
        <v>0</v>
      </c>
      <c r="I110">
        <f t="shared" si="9"/>
        <v>0</v>
      </c>
      <c r="J110">
        <f t="shared" si="10"/>
        <v>0</v>
      </c>
      <c r="K110">
        <f t="shared" si="11"/>
        <v>1</v>
      </c>
      <c r="L110">
        <f t="shared" si="12"/>
        <v>0</v>
      </c>
      <c r="M110">
        <f t="shared" si="13"/>
        <v>0</v>
      </c>
      <c r="N110">
        <f t="shared" si="14"/>
        <v>0</v>
      </c>
      <c r="O110">
        <f t="shared" si="15"/>
        <v>0</v>
      </c>
      <c r="P110">
        <f t="shared" si="16"/>
        <v>0</v>
      </c>
      <c r="Q110" s="3">
        <f t="shared" si="17"/>
        <v>0</v>
      </c>
    </row>
    <row r="111" spans="1:17" x14ac:dyDescent="0.25">
      <c r="A111" t="s">
        <v>46</v>
      </c>
      <c r="B111" t="s">
        <v>1</v>
      </c>
      <c r="C111">
        <v>9</v>
      </c>
      <c r="D111" t="s">
        <v>2</v>
      </c>
      <c r="E111">
        <v>46</v>
      </c>
      <c r="F111">
        <v>2</v>
      </c>
      <c r="G111">
        <v>29</v>
      </c>
      <c r="H111">
        <v>1</v>
      </c>
      <c r="I111">
        <f t="shared" si="9"/>
        <v>-1</v>
      </c>
      <c r="J111">
        <f t="shared" si="10"/>
        <v>0</v>
      </c>
      <c r="K111">
        <f t="shared" si="11"/>
        <v>0</v>
      </c>
      <c r="L111">
        <f t="shared" si="12"/>
        <v>0</v>
      </c>
      <c r="M111">
        <f t="shared" si="13"/>
        <v>0</v>
      </c>
      <c r="N111">
        <f t="shared" si="14"/>
        <v>0</v>
      </c>
      <c r="O111">
        <f t="shared" si="15"/>
        <v>0</v>
      </c>
      <c r="P111">
        <f t="shared" si="16"/>
        <v>0</v>
      </c>
      <c r="Q111" s="3">
        <f t="shared" si="17"/>
        <v>0</v>
      </c>
    </row>
    <row r="112" spans="1:17" x14ac:dyDescent="0.25">
      <c r="A112" t="s">
        <v>47</v>
      </c>
      <c r="B112" t="s">
        <v>1</v>
      </c>
      <c r="C112">
        <v>9</v>
      </c>
      <c r="D112" t="s">
        <v>2</v>
      </c>
      <c r="E112">
        <v>65</v>
      </c>
      <c r="F112">
        <v>4</v>
      </c>
      <c r="G112">
        <v>45</v>
      </c>
      <c r="H112">
        <v>3</v>
      </c>
      <c r="I112">
        <f t="shared" si="9"/>
        <v>-1</v>
      </c>
      <c r="J112">
        <f t="shared" si="10"/>
        <v>0</v>
      </c>
      <c r="K112">
        <f t="shared" si="11"/>
        <v>0</v>
      </c>
      <c r="L112">
        <f t="shared" si="12"/>
        <v>0</v>
      </c>
      <c r="M112">
        <f t="shared" si="13"/>
        <v>0</v>
      </c>
      <c r="N112">
        <f t="shared" si="14"/>
        <v>1</v>
      </c>
      <c r="O112">
        <f t="shared" si="15"/>
        <v>0</v>
      </c>
      <c r="P112">
        <f t="shared" si="16"/>
        <v>0</v>
      </c>
      <c r="Q112" s="3">
        <f t="shared" si="17"/>
        <v>0.33333333333333331</v>
      </c>
    </row>
    <row r="113" spans="1:17" x14ac:dyDescent="0.25">
      <c r="A113" t="s">
        <v>48</v>
      </c>
      <c r="B113" t="s">
        <v>1</v>
      </c>
      <c r="C113">
        <v>9</v>
      </c>
      <c r="D113" t="s">
        <v>2</v>
      </c>
      <c r="E113">
        <v>35</v>
      </c>
      <c r="F113">
        <v>1</v>
      </c>
      <c r="G113">
        <v>17</v>
      </c>
      <c r="H113">
        <v>0</v>
      </c>
      <c r="I113">
        <f t="shared" si="9"/>
        <v>-1</v>
      </c>
      <c r="J113">
        <f t="shared" si="10"/>
        <v>0</v>
      </c>
      <c r="K113">
        <f t="shared" si="11"/>
        <v>1</v>
      </c>
      <c r="L113">
        <f t="shared" si="12"/>
        <v>0</v>
      </c>
      <c r="M113">
        <f t="shared" si="13"/>
        <v>0</v>
      </c>
      <c r="N113">
        <f t="shared" si="14"/>
        <v>0</v>
      </c>
      <c r="O113">
        <f t="shared" si="15"/>
        <v>0</v>
      </c>
      <c r="P113">
        <f t="shared" si="16"/>
        <v>0</v>
      </c>
      <c r="Q113" s="3">
        <f t="shared" si="17"/>
        <v>0</v>
      </c>
    </row>
    <row r="114" spans="1:17" x14ac:dyDescent="0.25">
      <c r="A114" t="s">
        <v>49</v>
      </c>
      <c r="B114" t="s">
        <v>1</v>
      </c>
      <c r="C114">
        <v>9</v>
      </c>
      <c r="D114" t="s">
        <v>2</v>
      </c>
      <c r="E114">
        <v>29</v>
      </c>
      <c r="F114">
        <v>1</v>
      </c>
      <c r="G114">
        <v>31</v>
      </c>
      <c r="H114">
        <v>1</v>
      </c>
      <c r="I114">
        <f t="shared" si="9"/>
        <v>0</v>
      </c>
      <c r="J114">
        <f t="shared" si="10"/>
        <v>0.5</v>
      </c>
      <c r="K114">
        <f t="shared" si="11"/>
        <v>1</v>
      </c>
      <c r="L114">
        <f t="shared" si="12"/>
        <v>0</v>
      </c>
      <c r="M114">
        <f t="shared" si="13"/>
        <v>0.5</v>
      </c>
      <c r="N114">
        <f t="shared" si="14"/>
        <v>0</v>
      </c>
      <c r="O114">
        <f t="shared" si="15"/>
        <v>0</v>
      </c>
      <c r="P114">
        <f t="shared" si="16"/>
        <v>0</v>
      </c>
      <c r="Q114" s="3">
        <f t="shared" si="17"/>
        <v>0</v>
      </c>
    </row>
    <row r="115" spans="1:17" x14ac:dyDescent="0.25">
      <c r="A115" t="s">
        <v>139</v>
      </c>
      <c r="B115" t="s">
        <v>1</v>
      </c>
      <c r="C115">
        <v>9</v>
      </c>
      <c r="D115" t="s">
        <v>2</v>
      </c>
      <c r="E115">
        <v>0</v>
      </c>
      <c r="F115">
        <v>0</v>
      </c>
      <c r="G115">
        <v>14</v>
      </c>
      <c r="H115">
        <v>0</v>
      </c>
      <c r="I115">
        <f t="shared" si="9"/>
        <v>0</v>
      </c>
      <c r="J115">
        <f t="shared" si="10"/>
        <v>0</v>
      </c>
      <c r="K115">
        <f t="shared" si="11"/>
        <v>1</v>
      </c>
      <c r="L115">
        <f t="shared" si="12"/>
        <v>0</v>
      </c>
      <c r="M115">
        <f t="shared" si="13"/>
        <v>0</v>
      </c>
      <c r="N115">
        <f t="shared" si="14"/>
        <v>0</v>
      </c>
      <c r="O115">
        <f t="shared" si="15"/>
        <v>0</v>
      </c>
      <c r="P115">
        <f t="shared" si="16"/>
        <v>0</v>
      </c>
      <c r="Q115" s="3">
        <f t="shared" si="17"/>
        <v>0</v>
      </c>
    </row>
    <row r="116" spans="1:17" x14ac:dyDescent="0.25">
      <c r="A116" t="s">
        <v>140</v>
      </c>
      <c r="B116" t="s">
        <v>1</v>
      </c>
      <c r="C116">
        <v>9</v>
      </c>
      <c r="D116" t="s">
        <v>2</v>
      </c>
      <c r="E116">
        <v>0</v>
      </c>
      <c r="F116">
        <v>0</v>
      </c>
      <c r="G116">
        <v>0</v>
      </c>
      <c r="H116">
        <v>0</v>
      </c>
      <c r="I116">
        <f t="shared" si="9"/>
        <v>0</v>
      </c>
      <c r="J116">
        <f t="shared" si="10"/>
        <v>0</v>
      </c>
      <c r="K116">
        <f t="shared" si="11"/>
        <v>1</v>
      </c>
      <c r="L116">
        <f t="shared" si="12"/>
        <v>0</v>
      </c>
      <c r="M116">
        <f t="shared" si="13"/>
        <v>0</v>
      </c>
      <c r="N116">
        <f t="shared" si="14"/>
        <v>0</v>
      </c>
      <c r="O116">
        <f t="shared" si="15"/>
        <v>0</v>
      </c>
      <c r="P116">
        <f t="shared" si="16"/>
        <v>0</v>
      </c>
      <c r="Q116" s="3">
        <f t="shared" si="17"/>
        <v>0</v>
      </c>
    </row>
    <row r="117" spans="1:17" x14ac:dyDescent="0.25">
      <c r="A117" t="s">
        <v>50</v>
      </c>
      <c r="B117" t="s">
        <v>1</v>
      </c>
      <c r="C117">
        <v>9</v>
      </c>
      <c r="D117" t="s">
        <v>2</v>
      </c>
      <c r="E117">
        <v>50</v>
      </c>
      <c r="F117">
        <v>3</v>
      </c>
      <c r="G117">
        <v>27</v>
      </c>
      <c r="H117">
        <v>1</v>
      </c>
      <c r="I117">
        <f t="shared" si="9"/>
        <v>-2</v>
      </c>
      <c r="J117">
        <f t="shared" si="10"/>
        <v>0</v>
      </c>
      <c r="K117">
        <f t="shared" si="11"/>
        <v>0</v>
      </c>
      <c r="L117">
        <f t="shared" si="12"/>
        <v>0</v>
      </c>
      <c r="M117">
        <f t="shared" si="13"/>
        <v>0</v>
      </c>
      <c r="N117">
        <f t="shared" si="14"/>
        <v>0</v>
      </c>
      <c r="O117">
        <f t="shared" si="15"/>
        <v>0</v>
      </c>
      <c r="P117">
        <f t="shared" si="16"/>
        <v>0</v>
      </c>
      <c r="Q117" s="3">
        <f t="shared" si="17"/>
        <v>0</v>
      </c>
    </row>
    <row r="118" spans="1:17" x14ac:dyDescent="0.25">
      <c r="A118" t="s">
        <v>51</v>
      </c>
      <c r="B118" t="s">
        <v>1</v>
      </c>
      <c r="C118">
        <v>9</v>
      </c>
      <c r="D118" t="s">
        <v>2</v>
      </c>
      <c r="E118">
        <v>40</v>
      </c>
      <c r="F118">
        <v>2</v>
      </c>
      <c r="G118">
        <v>17</v>
      </c>
      <c r="H118">
        <v>0</v>
      </c>
      <c r="I118">
        <f t="shared" si="9"/>
        <v>-2</v>
      </c>
      <c r="J118">
        <f t="shared" si="10"/>
        <v>0</v>
      </c>
      <c r="K118">
        <f t="shared" si="11"/>
        <v>0</v>
      </c>
      <c r="L118">
        <f t="shared" si="12"/>
        <v>0</v>
      </c>
      <c r="M118">
        <f t="shared" si="13"/>
        <v>0</v>
      </c>
      <c r="N118">
        <f t="shared" si="14"/>
        <v>0</v>
      </c>
      <c r="O118">
        <f t="shared" si="15"/>
        <v>0</v>
      </c>
      <c r="P118">
        <f t="shared" si="16"/>
        <v>0</v>
      </c>
      <c r="Q118" s="3">
        <f t="shared" si="17"/>
        <v>0</v>
      </c>
    </row>
    <row r="119" spans="1:17" x14ac:dyDescent="0.25">
      <c r="A119" t="s">
        <v>52</v>
      </c>
      <c r="B119" t="s">
        <v>1</v>
      </c>
      <c r="C119">
        <v>9</v>
      </c>
      <c r="D119" t="s">
        <v>2</v>
      </c>
      <c r="E119">
        <v>65</v>
      </c>
      <c r="F119">
        <v>4</v>
      </c>
      <c r="G119">
        <v>44</v>
      </c>
      <c r="H119">
        <v>2</v>
      </c>
      <c r="I119">
        <f t="shared" si="9"/>
        <v>-2</v>
      </c>
      <c r="J119">
        <f t="shared" si="10"/>
        <v>0</v>
      </c>
      <c r="K119">
        <f t="shared" si="11"/>
        <v>0</v>
      </c>
      <c r="L119">
        <f t="shared" si="12"/>
        <v>0</v>
      </c>
      <c r="M119">
        <f t="shared" si="13"/>
        <v>0</v>
      </c>
      <c r="N119">
        <f t="shared" si="14"/>
        <v>1</v>
      </c>
      <c r="O119">
        <f t="shared" si="15"/>
        <v>0</v>
      </c>
      <c r="P119">
        <f t="shared" si="16"/>
        <v>0</v>
      </c>
      <c r="Q119" s="3">
        <f t="shared" si="17"/>
        <v>0.33333333333333331</v>
      </c>
    </row>
    <row r="120" spans="1:17" x14ac:dyDescent="0.25">
      <c r="A120" t="s">
        <v>53</v>
      </c>
      <c r="B120" t="s">
        <v>1</v>
      </c>
      <c r="C120">
        <v>9</v>
      </c>
      <c r="D120" t="s">
        <v>2</v>
      </c>
      <c r="E120">
        <v>52</v>
      </c>
      <c r="F120">
        <v>3</v>
      </c>
      <c r="G120">
        <v>32</v>
      </c>
      <c r="H120">
        <v>1</v>
      </c>
      <c r="I120">
        <f t="shared" si="9"/>
        <v>-2</v>
      </c>
      <c r="J120">
        <f t="shared" si="10"/>
        <v>0</v>
      </c>
      <c r="K120">
        <f t="shared" si="11"/>
        <v>0</v>
      </c>
      <c r="L120">
        <f t="shared" si="12"/>
        <v>0</v>
      </c>
      <c r="M120">
        <f t="shared" si="13"/>
        <v>0</v>
      </c>
      <c r="N120">
        <f t="shared" si="14"/>
        <v>0</v>
      </c>
      <c r="O120">
        <f t="shared" si="15"/>
        <v>0</v>
      </c>
      <c r="P120">
        <f t="shared" si="16"/>
        <v>0</v>
      </c>
      <c r="Q120" s="3">
        <f t="shared" si="17"/>
        <v>0</v>
      </c>
    </row>
    <row r="121" spans="1:17" x14ac:dyDescent="0.25">
      <c r="A121" t="s">
        <v>141</v>
      </c>
      <c r="B121" t="s">
        <v>1</v>
      </c>
      <c r="C121">
        <v>9</v>
      </c>
      <c r="D121" t="s">
        <v>2</v>
      </c>
      <c r="E121">
        <v>0</v>
      </c>
      <c r="F121">
        <v>0</v>
      </c>
      <c r="G121">
        <v>18</v>
      </c>
      <c r="H121">
        <v>0</v>
      </c>
      <c r="I121">
        <f t="shared" ref="I121:I134" si="18">H121-F121</f>
        <v>0</v>
      </c>
      <c r="J121">
        <f t="shared" ref="J121:J134" si="19">IF(AND(OR(F121=4, F121=5), I121=0), 1,
   IF(AND(F121&gt;=1, F121&lt;=3, I121=0), 0.5,
   IF(AND(F121=0, I121=0), 0,
   IF(AND(F121&gt;=0, F121&lt;=4, I121&gt;1), 1, 0))))
   + IF(AND(OR(F121=0, F121=1), H121&gt;=2, H121&lt;=5), 0.25, 0)</f>
        <v>0</v>
      </c>
      <c r="K121">
        <f t="shared" ref="K121:K134" si="20">IF(OR(F121=0, F121=1), 1, 0)</f>
        <v>1</v>
      </c>
      <c r="L121">
        <f t="shared" ref="L121:L134" si="21">IF(AND(K121=1, H121&gt;1), 0.25, 0)</f>
        <v>0</v>
      </c>
      <c r="M121">
        <f t="shared" ref="M121:M134" si="22">J121+L121</f>
        <v>0</v>
      </c>
      <c r="N121">
        <f t="shared" ref="N121:N134" si="23">IF(G121&gt;=34, 1, 0)</f>
        <v>0</v>
      </c>
      <c r="O121">
        <f t="shared" ref="O121:O134" si="24">IF(G121&gt;=54, 1, 0)</f>
        <v>0</v>
      </c>
      <c r="P121">
        <f t="shared" ref="P121:P134" si="25">IF(G121&gt;=69, 1, 0)</f>
        <v>0</v>
      </c>
      <c r="Q121" s="3">
        <f t="shared" ref="Q121:Q134" si="26">(N121+O121+P121)/3</f>
        <v>0</v>
      </c>
    </row>
    <row r="122" spans="1:17" x14ac:dyDescent="0.25">
      <c r="A122" t="s">
        <v>54</v>
      </c>
      <c r="B122" t="s">
        <v>1</v>
      </c>
      <c r="C122">
        <v>9</v>
      </c>
      <c r="D122" t="s">
        <v>2</v>
      </c>
      <c r="E122">
        <v>44</v>
      </c>
      <c r="F122">
        <v>2</v>
      </c>
      <c r="G122">
        <v>27</v>
      </c>
      <c r="H122">
        <v>1</v>
      </c>
      <c r="I122">
        <f t="shared" si="18"/>
        <v>-1</v>
      </c>
      <c r="J122">
        <f t="shared" si="19"/>
        <v>0</v>
      </c>
      <c r="K122">
        <f t="shared" si="20"/>
        <v>0</v>
      </c>
      <c r="L122">
        <f t="shared" si="21"/>
        <v>0</v>
      </c>
      <c r="M122">
        <f t="shared" si="22"/>
        <v>0</v>
      </c>
      <c r="N122">
        <f t="shared" si="23"/>
        <v>0</v>
      </c>
      <c r="O122">
        <f t="shared" si="24"/>
        <v>0</v>
      </c>
      <c r="P122">
        <f t="shared" si="25"/>
        <v>0</v>
      </c>
      <c r="Q122" s="3">
        <f t="shared" si="26"/>
        <v>0</v>
      </c>
    </row>
    <row r="123" spans="1:17" x14ac:dyDescent="0.25">
      <c r="A123" t="s">
        <v>142</v>
      </c>
      <c r="B123" t="s">
        <v>1</v>
      </c>
      <c r="C123">
        <v>9</v>
      </c>
      <c r="D123" t="s">
        <v>2</v>
      </c>
      <c r="E123">
        <v>0</v>
      </c>
      <c r="F123">
        <v>0</v>
      </c>
      <c r="G123">
        <v>16</v>
      </c>
      <c r="H123">
        <v>0</v>
      </c>
      <c r="I123">
        <f t="shared" si="18"/>
        <v>0</v>
      </c>
      <c r="J123">
        <f t="shared" si="19"/>
        <v>0</v>
      </c>
      <c r="K123">
        <f t="shared" si="20"/>
        <v>1</v>
      </c>
      <c r="L123">
        <f t="shared" si="21"/>
        <v>0</v>
      </c>
      <c r="M123">
        <f t="shared" si="22"/>
        <v>0</v>
      </c>
      <c r="N123">
        <f t="shared" si="23"/>
        <v>0</v>
      </c>
      <c r="O123">
        <f t="shared" si="24"/>
        <v>0</v>
      </c>
      <c r="P123">
        <f t="shared" si="25"/>
        <v>0</v>
      </c>
      <c r="Q123" s="3">
        <f t="shared" si="26"/>
        <v>0</v>
      </c>
    </row>
    <row r="124" spans="1:17" x14ac:dyDescent="0.25">
      <c r="A124" t="s">
        <v>143</v>
      </c>
      <c r="B124" t="s">
        <v>1</v>
      </c>
      <c r="C124">
        <v>9</v>
      </c>
      <c r="D124" t="s">
        <v>2</v>
      </c>
      <c r="E124">
        <v>0</v>
      </c>
      <c r="F124">
        <v>0</v>
      </c>
      <c r="G124">
        <v>0</v>
      </c>
      <c r="H124">
        <v>0</v>
      </c>
      <c r="I124">
        <f t="shared" si="18"/>
        <v>0</v>
      </c>
      <c r="J124">
        <f t="shared" si="19"/>
        <v>0</v>
      </c>
      <c r="K124">
        <f t="shared" si="20"/>
        <v>1</v>
      </c>
      <c r="L124">
        <f t="shared" si="21"/>
        <v>0</v>
      </c>
      <c r="M124">
        <f t="shared" si="22"/>
        <v>0</v>
      </c>
      <c r="N124">
        <f t="shared" si="23"/>
        <v>0</v>
      </c>
      <c r="O124">
        <f t="shared" si="24"/>
        <v>0</v>
      </c>
      <c r="P124">
        <f t="shared" si="25"/>
        <v>0</v>
      </c>
      <c r="Q124" s="3">
        <f t="shared" si="26"/>
        <v>0</v>
      </c>
    </row>
    <row r="125" spans="1:17" x14ac:dyDescent="0.25">
      <c r="A125" t="s">
        <v>144</v>
      </c>
      <c r="B125" t="s">
        <v>1</v>
      </c>
      <c r="C125">
        <v>9</v>
      </c>
      <c r="D125" t="s">
        <v>2</v>
      </c>
      <c r="E125">
        <v>0</v>
      </c>
      <c r="F125">
        <v>0</v>
      </c>
      <c r="G125">
        <v>17</v>
      </c>
      <c r="H125">
        <v>0</v>
      </c>
      <c r="I125">
        <f t="shared" si="18"/>
        <v>0</v>
      </c>
      <c r="J125">
        <f t="shared" si="19"/>
        <v>0</v>
      </c>
      <c r="K125">
        <f t="shared" si="20"/>
        <v>1</v>
      </c>
      <c r="L125">
        <f t="shared" si="21"/>
        <v>0</v>
      </c>
      <c r="M125">
        <f t="shared" si="22"/>
        <v>0</v>
      </c>
      <c r="N125">
        <f t="shared" si="23"/>
        <v>0</v>
      </c>
      <c r="O125">
        <f t="shared" si="24"/>
        <v>0</v>
      </c>
      <c r="P125">
        <f t="shared" si="25"/>
        <v>0</v>
      </c>
      <c r="Q125" s="3">
        <f t="shared" si="26"/>
        <v>0</v>
      </c>
    </row>
    <row r="126" spans="1:17" x14ac:dyDescent="0.25">
      <c r="A126" t="s">
        <v>145</v>
      </c>
      <c r="B126" t="s">
        <v>1</v>
      </c>
      <c r="C126">
        <v>9</v>
      </c>
      <c r="D126" t="s">
        <v>2</v>
      </c>
      <c r="E126">
        <v>0</v>
      </c>
      <c r="F126">
        <v>0</v>
      </c>
      <c r="G126">
        <v>20</v>
      </c>
      <c r="H126">
        <v>0</v>
      </c>
      <c r="I126">
        <f t="shared" si="18"/>
        <v>0</v>
      </c>
      <c r="J126">
        <f t="shared" si="19"/>
        <v>0</v>
      </c>
      <c r="K126">
        <f t="shared" si="20"/>
        <v>1</v>
      </c>
      <c r="L126">
        <f t="shared" si="21"/>
        <v>0</v>
      </c>
      <c r="M126">
        <f t="shared" si="22"/>
        <v>0</v>
      </c>
      <c r="N126">
        <f t="shared" si="23"/>
        <v>0</v>
      </c>
      <c r="O126">
        <f t="shared" si="24"/>
        <v>0</v>
      </c>
      <c r="P126">
        <f t="shared" si="25"/>
        <v>0</v>
      </c>
      <c r="Q126" s="3">
        <f t="shared" si="26"/>
        <v>0</v>
      </c>
    </row>
    <row r="127" spans="1:17" x14ac:dyDescent="0.25">
      <c r="A127" t="s">
        <v>146</v>
      </c>
      <c r="B127" t="s">
        <v>1</v>
      </c>
      <c r="C127">
        <v>9</v>
      </c>
      <c r="D127" t="s">
        <v>2</v>
      </c>
      <c r="E127">
        <v>0</v>
      </c>
      <c r="F127">
        <v>0</v>
      </c>
      <c r="G127">
        <v>21</v>
      </c>
      <c r="H127">
        <v>0</v>
      </c>
      <c r="I127">
        <f t="shared" si="18"/>
        <v>0</v>
      </c>
      <c r="J127">
        <f t="shared" si="19"/>
        <v>0</v>
      </c>
      <c r="K127">
        <f t="shared" si="20"/>
        <v>1</v>
      </c>
      <c r="L127">
        <f t="shared" si="21"/>
        <v>0</v>
      </c>
      <c r="M127">
        <f t="shared" si="22"/>
        <v>0</v>
      </c>
      <c r="N127">
        <f t="shared" si="23"/>
        <v>0</v>
      </c>
      <c r="O127">
        <f t="shared" si="24"/>
        <v>0</v>
      </c>
      <c r="P127">
        <f t="shared" si="25"/>
        <v>0</v>
      </c>
      <c r="Q127" s="3">
        <f t="shared" si="26"/>
        <v>0</v>
      </c>
    </row>
    <row r="128" spans="1:17" x14ac:dyDescent="0.25">
      <c r="A128" t="s">
        <v>147</v>
      </c>
      <c r="B128" t="s">
        <v>1</v>
      </c>
      <c r="C128">
        <v>9</v>
      </c>
      <c r="D128" t="s">
        <v>2</v>
      </c>
      <c r="E128">
        <v>0</v>
      </c>
      <c r="F128">
        <v>0</v>
      </c>
      <c r="G128">
        <v>0</v>
      </c>
      <c r="H128">
        <v>0</v>
      </c>
      <c r="I128">
        <f t="shared" si="18"/>
        <v>0</v>
      </c>
      <c r="J128">
        <f t="shared" si="19"/>
        <v>0</v>
      </c>
      <c r="K128">
        <f t="shared" si="20"/>
        <v>1</v>
      </c>
      <c r="L128">
        <f t="shared" si="21"/>
        <v>0</v>
      </c>
      <c r="M128">
        <f t="shared" si="22"/>
        <v>0</v>
      </c>
      <c r="N128">
        <f t="shared" si="23"/>
        <v>0</v>
      </c>
      <c r="O128">
        <f t="shared" si="24"/>
        <v>0</v>
      </c>
      <c r="P128">
        <f t="shared" si="25"/>
        <v>0</v>
      </c>
      <c r="Q128" s="3">
        <f t="shared" si="26"/>
        <v>0</v>
      </c>
    </row>
    <row r="129" spans="1:17" x14ac:dyDescent="0.25">
      <c r="A129" t="s">
        <v>55</v>
      </c>
      <c r="B129" t="s">
        <v>1</v>
      </c>
      <c r="C129">
        <v>9</v>
      </c>
      <c r="D129" t="s">
        <v>2</v>
      </c>
      <c r="E129">
        <v>40</v>
      </c>
      <c r="F129">
        <v>2</v>
      </c>
      <c r="G129">
        <v>27</v>
      </c>
      <c r="H129">
        <v>1</v>
      </c>
      <c r="I129">
        <f t="shared" si="18"/>
        <v>-1</v>
      </c>
      <c r="J129">
        <f t="shared" si="19"/>
        <v>0</v>
      </c>
      <c r="K129">
        <f t="shared" si="20"/>
        <v>0</v>
      </c>
      <c r="L129">
        <f t="shared" si="21"/>
        <v>0</v>
      </c>
      <c r="M129">
        <f t="shared" si="22"/>
        <v>0</v>
      </c>
      <c r="N129">
        <f t="shared" si="23"/>
        <v>0</v>
      </c>
      <c r="O129">
        <f t="shared" si="24"/>
        <v>0</v>
      </c>
      <c r="P129">
        <f t="shared" si="25"/>
        <v>0</v>
      </c>
      <c r="Q129" s="3">
        <f t="shared" si="26"/>
        <v>0</v>
      </c>
    </row>
    <row r="130" spans="1:17" x14ac:dyDescent="0.25">
      <c r="A130" t="s">
        <v>148</v>
      </c>
      <c r="B130" t="s">
        <v>1</v>
      </c>
      <c r="C130">
        <v>9</v>
      </c>
      <c r="D130" t="s">
        <v>2</v>
      </c>
      <c r="E130">
        <v>0</v>
      </c>
      <c r="F130">
        <v>0</v>
      </c>
      <c r="G130">
        <v>26</v>
      </c>
      <c r="H130">
        <v>1</v>
      </c>
      <c r="I130">
        <f t="shared" si="18"/>
        <v>1</v>
      </c>
      <c r="J130">
        <f t="shared" si="19"/>
        <v>0</v>
      </c>
      <c r="K130">
        <f t="shared" si="20"/>
        <v>1</v>
      </c>
      <c r="L130">
        <f t="shared" si="21"/>
        <v>0</v>
      </c>
      <c r="M130">
        <f t="shared" si="22"/>
        <v>0</v>
      </c>
      <c r="N130">
        <f t="shared" si="23"/>
        <v>0</v>
      </c>
      <c r="O130">
        <f t="shared" si="24"/>
        <v>0</v>
      </c>
      <c r="P130">
        <f t="shared" si="25"/>
        <v>0</v>
      </c>
      <c r="Q130" s="3">
        <f t="shared" si="26"/>
        <v>0</v>
      </c>
    </row>
    <row r="131" spans="1:17" x14ac:dyDescent="0.25">
      <c r="A131" t="s">
        <v>149</v>
      </c>
      <c r="B131" t="s">
        <v>1</v>
      </c>
      <c r="C131">
        <v>9</v>
      </c>
      <c r="D131" t="s">
        <v>2</v>
      </c>
      <c r="E131">
        <v>0</v>
      </c>
      <c r="F131">
        <v>0</v>
      </c>
      <c r="G131">
        <v>16</v>
      </c>
      <c r="H131">
        <v>0</v>
      </c>
      <c r="I131">
        <f t="shared" si="18"/>
        <v>0</v>
      </c>
      <c r="J131">
        <f t="shared" si="19"/>
        <v>0</v>
      </c>
      <c r="K131">
        <f t="shared" si="20"/>
        <v>1</v>
      </c>
      <c r="L131">
        <f t="shared" si="21"/>
        <v>0</v>
      </c>
      <c r="M131">
        <f t="shared" si="22"/>
        <v>0</v>
      </c>
      <c r="N131">
        <f t="shared" si="23"/>
        <v>0</v>
      </c>
      <c r="O131">
        <f t="shared" si="24"/>
        <v>0</v>
      </c>
      <c r="P131">
        <f t="shared" si="25"/>
        <v>0</v>
      </c>
      <c r="Q131" s="3">
        <f t="shared" si="26"/>
        <v>0</v>
      </c>
    </row>
    <row r="132" spans="1:17" x14ac:dyDescent="0.25">
      <c r="A132" t="s">
        <v>56</v>
      </c>
      <c r="B132" t="s">
        <v>1</v>
      </c>
      <c r="C132">
        <v>9</v>
      </c>
      <c r="D132" t="s">
        <v>2</v>
      </c>
      <c r="E132">
        <v>23</v>
      </c>
      <c r="F132">
        <v>0</v>
      </c>
      <c r="G132">
        <v>22</v>
      </c>
      <c r="H132">
        <v>0</v>
      </c>
      <c r="I132">
        <f t="shared" si="18"/>
        <v>0</v>
      </c>
      <c r="J132">
        <f t="shared" si="19"/>
        <v>0</v>
      </c>
      <c r="K132">
        <f t="shared" si="20"/>
        <v>1</v>
      </c>
      <c r="L132">
        <f t="shared" si="21"/>
        <v>0</v>
      </c>
      <c r="M132">
        <f t="shared" si="22"/>
        <v>0</v>
      </c>
      <c r="N132">
        <f t="shared" si="23"/>
        <v>0</v>
      </c>
      <c r="O132">
        <f t="shared" si="24"/>
        <v>0</v>
      </c>
      <c r="P132">
        <f t="shared" si="25"/>
        <v>0</v>
      </c>
      <c r="Q132" s="3">
        <f t="shared" si="26"/>
        <v>0</v>
      </c>
    </row>
    <row r="133" spans="1:17" x14ac:dyDescent="0.25">
      <c r="A133" t="s">
        <v>150</v>
      </c>
      <c r="B133" t="s">
        <v>1</v>
      </c>
      <c r="C133">
        <v>9</v>
      </c>
      <c r="D133" t="s">
        <v>2</v>
      </c>
      <c r="E133">
        <v>0</v>
      </c>
      <c r="F133">
        <v>0</v>
      </c>
      <c r="G133">
        <v>25</v>
      </c>
      <c r="H133">
        <v>0</v>
      </c>
      <c r="I133">
        <f t="shared" si="18"/>
        <v>0</v>
      </c>
      <c r="J133">
        <f t="shared" si="19"/>
        <v>0</v>
      </c>
      <c r="K133">
        <f t="shared" si="20"/>
        <v>1</v>
      </c>
      <c r="L133">
        <f t="shared" si="21"/>
        <v>0</v>
      </c>
      <c r="M133">
        <f t="shared" si="22"/>
        <v>0</v>
      </c>
      <c r="N133">
        <f t="shared" si="23"/>
        <v>0</v>
      </c>
      <c r="O133">
        <f t="shared" si="24"/>
        <v>0</v>
      </c>
      <c r="P133">
        <f t="shared" si="25"/>
        <v>0</v>
      </c>
      <c r="Q133" s="3">
        <f t="shared" si="26"/>
        <v>0</v>
      </c>
    </row>
    <row r="134" spans="1:17" x14ac:dyDescent="0.25">
      <c r="A134" t="s">
        <v>151</v>
      </c>
      <c r="B134" t="s">
        <v>1</v>
      </c>
      <c r="C134">
        <v>9</v>
      </c>
      <c r="D134" t="s">
        <v>2</v>
      </c>
      <c r="E134">
        <v>0</v>
      </c>
      <c r="F134">
        <v>0</v>
      </c>
      <c r="G134">
        <v>12</v>
      </c>
      <c r="H134">
        <v>0</v>
      </c>
      <c r="I134">
        <f t="shared" si="18"/>
        <v>0</v>
      </c>
      <c r="J134">
        <f t="shared" si="19"/>
        <v>0</v>
      </c>
      <c r="K134">
        <f t="shared" si="20"/>
        <v>1</v>
      </c>
      <c r="L134">
        <f t="shared" si="21"/>
        <v>0</v>
      </c>
      <c r="M134">
        <f t="shared" si="22"/>
        <v>0</v>
      </c>
      <c r="N134">
        <f t="shared" si="23"/>
        <v>0</v>
      </c>
      <c r="O134">
        <f t="shared" si="24"/>
        <v>0</v>
      </c>
      <c r="P134">
        <f t="shared" si="25"/>
        <v>0</v>
      </c>
      <c r="Q134" s="3">
        <f t="shared" si="26"/>
        <v>0</v>
      </c>
    </row>
  </sheetData>
  <autoFilter ref="A1:Q56" xr:uid="{9C165027-CE66-4746-93AE-88B0063A2B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record-Algebra-I-DB-Calculated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2025-05-26T08:58:26Z</dcterms:created>
  <dcterms:modified xsi:type="dcterms:W3CDTF">2025-05-26T14:02:47Z</dcterms:modified>
</cp:coreProperties>
</file>