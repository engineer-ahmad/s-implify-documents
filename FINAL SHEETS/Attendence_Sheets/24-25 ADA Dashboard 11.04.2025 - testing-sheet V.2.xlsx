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44DE700F-B5BD-E249-9A41-B7609C3D5527}" xr6:coauthVersionLast="47" xr6:coauthVersionMax="47" xr10:uidLastSave="{00000000-0000-0000-0000-000000000000}"/>
  <bookViews>
    <workbookView xWindow="160" yWindow="660" windowWidth="21280" windowHeight="19040" firstSheet="2" activeTab="11" xr2:uid="{00000000-000D-0000-FFFF-FFFF00000000}"/>
  </bookViews>
  <sheets>
    <sheet name="SECA" sheetId="2" r:id="rId1"/>
    <sheet name="CECA" sheetId="3" r:id="rId2"/>
    <sheet name="SE" sheetId="5" r:id="rId3"/>
    <sheet name="LE" sheetId="6" r:id="rId4"/>
    <sheet name="GE" sheetId="7" r:id="rId5"/>
    <sheet name="CE" sheetId="8" r:id="rId6"/>
    <sheet name="KMS" sheetId="9" r:id="rId7"/>
    <sheet name="NMS" sheetId="10" r:id="rId8"/>
    <sheet name="ME" sheetId="11" r:id="rId9"/>
    <sheet name="9K" sheetId="12" r:id="rId10"/>
    <sheet name="KHS" sheetId="13" r:id="rId11"/>
    <sheet name="ECHS" sheetId="14" r:id="rId12"/>
  </sheets>
  <definedNames>
    <definedName name="_xlnm._FilterDatabase" localSheetId="9" hidden="1">'9K'!$A$6:$F$158</definedName>
    <definedName name="_xlnm._FilterDatabase" localSheetId="5" hidden="1">CE!$A$6:$F$157</definedName>
    <definedName name="_xlnm._FilterDatabase" localSheetId="1" hidden="1">CECA!$A$6:$F$157</definedName>
    <definedName name="_xlnm._FilterDatabase" localSheetId="11" hidden="1">ECHS!$A$6:$F$157</definedName>
    <definedName name="_xlnm._FilterDatabase" localSheetId="4" hidden="1">GE!$A$6:$F$157</definedName>
    <definedName name="_xlnm._FilterDatabase" localSheetId="10" hidden="1">KHS!$A$6:$F$155</definedName>
    <definedName name="_xlnm._FilterDatabase" localSheetId="6" hidden="1">KMS!$A$6:$F$157</definedName>
    <definedName name="_xlnm._FilterDatabase" localSheetId="3" hidden="1">LE!$A$6:$F$157</definedName>
    <definedName name="_xlnm._FilterDatabase" localSheetId="8" hidden="1">ME!$A$6:$F$157</definedName>
    <definedName name="_xlnm._FilterDatabase" localSheetId="7" hidden="1">NMS!$A$6:$F$156</definedName>
    <definedName name="_xlnm._FilterDatabase" localSheetId="2" hidden="1">SE!$A$6:$F$158</definedName>
    <definedName name="_xlnm._FilterDatabase" localSheetId="0" hidden="1">SECA!$A$6:$F$158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8" i="14" l="1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G159" i="2"/>
  <c r="G160" i="2"/>
  <c r="G161" i="2"/>
  <c r="G162" i="2"/>
  <c r="G163" i="2"/>
  <c r="G164" i="2"/>
  <c r="H164" i="2" s="1"/>
  <c r="G165" i="2"/>
  <c r="H165" i="2" s="1"/>
  <c r="G166" i="2"/>
  <c r="H166" i="2" s="1"/>
  <c r="G167" i="2"/>
  <c r="G168" i="2"/>
  <c r="G169" i="2"/>
  <c r="H169" i="2" s="1"/>
  <c r="G170" i="2"/>
  <c r="G171" i="2"/>
  <c r="G172" i="2"/>
  <c r="H172" i="2" s="1"/>
  <c r="G173" i="2"/>
  <c r="H173" i="2" s="1"/>
  <c r="G174" i="2"/>
  <c r="H174" i="2" s="1"/>
  <c r="G175" i="2"/>
  <c r="G176" i="2"/>
  <c r="G177" i="2"/>
  <c r="G178" i="2"/>
  <c r="G179" i="2"/>
  <c r="G180" i="2"/>
  <c r="H180" i="2" s="1"/>
  <c r="G181" i="2"/>
  <c r="H181" i="2" s="1"/>
  <c r="G158" i="3"/>
  <c r="G159" i="3"/>
  <c r="G160" i="3"/>
  <c r="G161" i="3"/>
  <c r="G162" i="3"/>
  <c r="G163" i="3"/>
  <c r="H163" i="3" s="1"/>
  <c r="G164" i="3"/>
  <c r="G165" i="3"/>
  <c r="H165" i="3" s="1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55" i="3"/>
  <c r="H158" i="3"/>
  <c r="H159" i="3"/>
  <c r="H160" i="3"/>
  <c r="H161" i="3"/>
  <c r="H162" i="3"/>
  <c r="H164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H162" i="2"/>
  <c r="H163" i="2"/>
  <c r="H167" i="2"/>
  <c r="H168" i="2"/>
  <c r="H170" i="2"/>
  <c r="H171" i="2"/>
  <c r="H175" i="2"/>
  <c r="H176" i="2"/>
  <c r="H177" i="2"/>
  <c r="H178" i="2"/>
  <c r="H179" i="2"/>
  <c r="H159" i="2"/>
  <c r="H160" i="2"/>
  <c r="H161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G157" i="14" l="1"/>
  <c r="E157" i="14"/>
  <c r="F157" i="14" s="1"/>
  <c r="G156" i="14"/>
  <c r="H156" i="14" s="1"/>
  <c r="E156" i="14"/>
  <c r="F156" i="14" s="1"/>
  <c r="G155" i="14"/>
  <c r="E155" i="14"/>
  <c r="F155" i="14" s="1"/>
  <c r="G154" i="14"/>
  <c r="E154" i="14"/>
  <c r="F154" i="14" s="1"/>
  <c r="G153" i="14"/>
  <c r="E153" i="14"/>
  <c r="F153" i="14" s="1"/>
  <c r="G152" i="14"/>
  <c r="E152" i="14"/>
  <c r="F152" i="14" s="1"/>
  <c r="G151" i="14"/>
  <c r="E151" i="14"/>
  <c r="F151" i="14" s="1"/>
  <c r="G150" i="14"/>
  <c r="E150" i="14"/>
  <c r="F150" i="14" s="1"/>
  <c r="G149" i="14"/>
  <c r="E149" i="14"/>
  <c r="F149" i="14" s="1"/>
  <c r="G148" i="14"/>
  <c r="E148" i="14"/>
  <c r="F148" i="14" s="1"/>
  <c r="G147" i="14"/>
  <c r="E147" i="14"/>
  <c r="F147" i="14" s="1"/>
  <c r="G146" i="14"/>
  <c r="E146" i="14"/>
  <c r="F146" i="14" s="1"/>
  <c r="G145" i="14"/>
  <c r="E145" i="14"/>
  <c r="F145" i="14" s="1"/>
  <c r="G144" i="14"/>
  <c r="H144" i="14" s="1"/>
  <c r="E144" i="14"/>
  <c r="F144" i="14" s="1"/>
  <c r="G143" i="14"/>
  <c r="E143" i="14"/>
  <c r="F143" i="14" s="1"/>
  <c r="G142" i="14"/>
  <c r="H142" i="14" s="1"/>
  <c r="E142" i="14"/>
  <c r="F142" i="14" s="1"/>
  <c r="G141" i="14"/>
  <c r="E141" i="14"/>
  <c r="F141" i="14" s="1"/>
  <c r="G140" i="14"/>
  <c r="E140" i="14"/>
  <c r="F140" i="14" s="1"/>
  <c r="G139" i="14"/>
  <c r="E139" i="14"/>
  <c r="F139" i="14" s="1"/>
  <c r="G138" i="14"/>
  <c r="E138" i="14"/>
  <c r="F138" i="14" s="1"/>
  <c r="G137" i="14"/>
  <c r="H137" i="14" s="1"/>
  <c r="E137" i="14"/>
  <c r="F137" i="14" s="1"/>
  <c r="G136" i="14"/>
  <c r="E136" i="14"/>
  <c r="F136" i="14" s="1"/>
  <c r="G135" i="14"/>
  <c r="E135" i="14"/>
  <c r="F135" i="14" s="1"/>
  <c r="G134" i="14"/>
  <c r="E134" i="14"/>
  <c r="F134" i="14" s="1"/>
  <c r="G133" i="14"/>
  <c r="E133" i="14"/>
  <c r="F133" i="14" s="1"/>
  <c r="G132" i="14"/>
  <c r="E132" i="14"/>
  <c r="F132" i="14" s="1"/>
  <c r="G131" i="14"/>
  <c r="E131" i="14"/>
  <c r="F131" i="14" s="1"/>
  <c r="G130" i="14"/>
  <c r="E130" i="14"/>
  <c r="F130" i="14" s="1"/>
  <c r="G129" i="14"/>
  <c r="E129" i="14"/>
  <c r="F129" i="14" s="1"/>
  <c r="G128" i="14"/>
  <c r="E128" i="14"/>
  <c r="F128" i="14" s="1"/>
  <c r="G127" i="14"/>
  <c r="E127" i="14"/>
  <c r="F127" i="14" s="1"/>
  <c r="G126" i="14"/>
  <c r="E126" i="14"/>
  <c r="F126" i="14" s="1"/>
  <c r="G125" i="14"/>
  <c r="E125" i="14"/>
  <c r="F125" i="14" s="1"/>
  <c r="G124" i="14"/>
  <c r="H124" i="14" s="1"/>
  <c r="E124" i="14"/>
  <c r="F124" i="14" s="1"/>
  <c r="G123" i="14"/>
  <c r="E123" i="14"/>
  <c r="F123" i="14" s="1"/>
  <c r="G122" i="14"/>
  <c r="H122" i="14" s="1"/>
  <c r="E122" i="14"/>
  <c r="F122" i="14" s="1"/>
  <c r="G121" i="14"/>
  <c r="E121" i="14"/>
  <c r="F121" i="14" s="1"/>
  <c r="G120" i="14"/>
  <c r="H120" i="14" s="1"/>
  <c r="E120" i="14"/>
  <c r="F120" i="14" s="1"/>
  <c r="G119" i="14"/>
  <c r="E119" i="14"/>
  <c r="F119" i="14" s="1"/>
  <c r="G118" i="14"/>
  <c r="E118" i="14"/>
  <c r="G117" i="14"/>
  <c r="E117" i="14"/>
  <c r="F117" i="14" s="1"/>
  <c r="G116" i="14"/>
  <c r="E116" i="14"/>
  <c r="F116" i="14" s="1"/>
  <c r="G115" i="14"/>
  <c r="E115" i="14"/>
  <c r="F115" i="14" s="1"/>
  <c r="G114" i="14"/>
  <c r="E114" i="14"/>
  <c r="F114" i="14" s="1"/>
  <c r="G113" i="14"/>
  <c r="E113" i="14"/>
  <c r="F113" i="14" s="1"/>
  <c r="G112" i="14"/>
  <c r="E112" i="14"/>
  <c r="F112" i="14" s="1"/>
  <c r="G111" i="14"/>
  <c r="E111" i="14"/>
  <c r="F111" i="14" s="1"/>
  <c r="G110" i="14"/>
  <c r="E110" i="14"/>
  <c r="F110" i="14" s="1"/>
  <c r="G109" i="14"/>
  <c r="E109" i="14"/>
  <c r="F109" i="14" s="1"/>
  <c r="G108" i="14"/>
  <c r="E108" i="14"/>
  <c r="F108" i="14" s="1"/>
  <c r="G107" i="14"/>
  <c r="E107" i="14"/>
  <c r="F107" i="14" s="1"/>
  <c r="G106" i="14"/>
  <c r="E106" i="14"/>
  <c r="F106" i="14" s="1"/>
  <c r="G105" i="14"/>
  <c r="E105" i="14"/>
  <c r="F105" i="14" s="1"/>
  <c r="G104" i="14"/>
  <c r="E104" i="14"/>
  <c r="F104" i="14" s="1"/>
  <c r="G103" i="14"/>
  <c r="E103" i="14"/>
  <c r="F103" i="14" s="1"/>
  <c r="G102" i="14"/>
  <c r="E102" i="14"/>
  <c r="F102" i="14" s="1"/>
  <c r="G101" i="14"/>
  <c r="E101" i="14"/>
  <c r="F101" i="14" s="1"/>
  <c r="G100" i="14"/>
  <c r="E100" i="14"/>
  <c r="F100" i="14" s="1"/>
  <c r="G99" i="14"/>
  <c r="E99" i="14"/>
  <c r="F99" i="14" s="1"/>
  <c r="G98" i="14"/>
  <c r="E98" i="14"/>
  <c r="F98" i="14" s="1"/>
  <c r="G97" i="14"/>
  <c r="E97" i="14"/>
  <c r="F97" i="14" s="1"/>
  <c r="G96" i="14"/>
  <c r="H96" i="14" s="1"/>
  <c r="F96" i="14"/>
  <c r="E96" i="14"/>
  <c r="G95" i="14"/>
  <c r="E95" i="14"/>
  <c r="F95" i="14" s="1"/>
  <c r="G94" i="14"/>
  <c r="E94" i="14"/>
  <c r="F94" i="14" s="1"/>
  <c r="G93" i="14"/>
  <c r="H93" i="14" s="1"/>
  <c r="E93" i="14"/>
  <c r="F93" i="14" s="1"/>
  <c r="G92" i="14"/>
  <c r="E92" i="14"/>
  <c r="F92" i="14" s="1"/>
  <c r="G91" i="14"/>
  <c r="E91" i="14"/>
  <c r="F91" i="14" s="1"/>
  <c r="G90" i="14"/>
  <c r="E90" i="14"/>
  <c r="F90" i="14" s="1"/>
  <c r="G89" i="14"/>
  <c r="H89" i="14" s="1"/>
  <c r="E89" i="14"/>
  <c r="F89" i="14" s="1"/>
  <c r="G88" i="14"/>
  <c r="H88" i="14" s="1"/>
  <c r="E88" i="14"/>
  <c r="F88" i="14" s="1"/>
  <c r="G87" i="14"/>
  <c r="E87" i="14"/>
  <c r="F87" i="14" s="1"/>
  <c r="G86" i="14"/>
  <c r="E86" i="14"/>
  <c r="F86" i="14" s="1"/>
  <c r="G85" i="14"/>
  <c r="E85" i="14"/>
  <c r="F85" i="14" s="1"/>
  <c r="G84" i="14"/>
  <c r="E84" i="14"/>
  <c r="F84" i="14" s="1"/>
  <c r="G83" i="14"/>
  <c r="E83" i="14"/>
  <c r="F83" i="14" s="1"/>
  <c r="G82" i="14"/>
  <c r="E82" i="14"/>
  <c r="F82" i="14" s="1"/>
  <c r="G81" i="14"/>
  <c r="H81" i="14" s="1"/>
  <c r="E81" i="14"/>
  <c r="F81" i="14" s="1"/>
  <c r="G80" i="14"/>
  <c r="E80" i="14"/>
  <c r="F80" i="14" s="1"/>
  <c r="G79" i="14"/>
  <c r="E79" i="14"/>
  <c r="F79" i="14" s="1"/>
  <c r="G78" i="14"/>
  <c r="E78" i="14"/>
  <c r="F78" i="14" s="1"/>
  <c r="G77" i="14"/>
  <c r="E77" i="14"/>
  <c r="F77" i="14" s="1"/>
  <c r="G76" i="14"/>
  <c r="E76" i="14"/>
  <c r="F76" i="14" s="1"/>
  <c r="G75" i="14"/>
  <c r="E75" i="14"/>
  <c r="G74" i="14"/>
  <c r="E74" i="14"/>
  <c r="F74" i="14" s="1"/>
  <c r="G73" i="14"/>
  <c r="H73" i="14" s="1"/>
  <c r="E73" i="14"/>
  <c r="F73" i="14" s="1"/>
  <c r="G72" i="14"/>
  <c r="E72" i="14"/>
  <c r="F72" i="14" s="1"/>
  <c r="G71" i="14"/>
  <c r="E71" i="14"/>
  <c r="F71" i="14" s="1"/>
  <c r="G70" i="14"/>
  <c r="E70" i="14"/>
  <c r="F70" i="14" s="1"/>
  <c r="G69" i="14"/>
  <c r="E69" i="14"/>
  <c r="G68" i="14"/>
  <c r="E68" i="14"/>
  <c r="F68" i="14" s="1"/>
  <c r="G67" i="14"/>
  <c r="E67" i="14"/>
  <c r="F67" i="14" s="1"/>
  <c r="G66" i="14"/>
  <c r="E66" i="14"/>
  <c r="F66" i="14" s="1"/>
  <c r="G65" i="14"/>
  <c r="E65" i="14"/>
  <c r="F65" i="14" s="1"/>
  <c r="G64" i="14"/>
  <c r="E64" i="14"/>
  <c r="F64" i="14" s="1"/>
  <c r="G63" i="14"/>
  <c r="E63" i="14"/>
  <c r="H63" i="14" s="1"/>
  <c r="G62" i="14"/>
  <c r="E62" i="14"/>
  <c r="F62" i="14" s="1"/>
  <c r="G61" i="14"/>
  <c r="F61" i="14"/>
  <c r="E61" i="14"/>
  <c r="G60" i="14"/>
  <c r="E60" i="14"/>
  <c r="F60" i="14" s="1"/>
  <c r="G59" i="14"/>
  <c r="E59" i="14"/>
  <c r="F59" i="14" s="1"/>
  <c r="G58" i="14"/>
  <c r="E58" i="14"/>
  <c r="F58" i="14" s="1"/>
  <c r="G57" i="14"/>
  <c r="E57" i="14"/>
  <c r="G56" i="14"/>
  <c r="E56" i="14"/>
  <c r="F56" i="14" s="1"/>
  <c r="G55" i="14"/>
  <c r="E55" i="14"/>
  <c r="F55" i="14" s="1"/>
  <c r="G54" i="14"/>
  <c r="F54" i="14"/>
  <c r="E54" i="14"/>
  <c r="G53" i="14"/>
  <c r="E53" i="14"/>
  <c r="F53" i="14" s="1"/>
  <c r="G52" i="14"/>
  <c r="E52" i="14"/>
  <c r="F52" i="14" s="1"/>
  <c r="G51" i="14"/>
  <c r="E51" i="14"/>
  <c r="G50" i="14"/>
  <c r="E50" i="14"/>
  <c r="F50" i="14" s="1"/>
  <c r="G49" i="14"/>
  <c r="H49" i="14" s="1"/>
  <c r="E49" i="14"/>
  <c r="F49" i="14" s="1"/>
  <c r="G48" i="14"/>
  <c r="E48" i="14"/>
  <c r="F48" i="14" s="1"/>
  <c r="G47" i="14"/>
  <c r="E47" i="14"/>
  <c r="F47" i="14" s="1"/>
  <c r="G46" i="14"/>
  <c r="E46" i="14"/>
  <c r="F46" i="14" s="1"/>
  <c r="G45" i="14"/>
  <c r="E45" i="14"/>
  <c r="F45" i="14" s="1"/>
  <c r="G44" i="14"/>
  <c r="E44" i="14"/>
  <c r="F44" i="14" s="1"/>
  <c r="G43" i="14"/>
  <c r="E43" i="14"/>
  <c r="F43" i="14" s="1"/>
  <c r="G42" i="14"/>
  <c r="E42" i="14"/>
  <c r="F42" i="14" s="1"/>
  <c r="G41" i="14"/>
  <c r="E41" i="14"/>
  <c r="G40" i="14"/>
  <c r="E40" i="14"/>
  <c r="F40" i="14" s="1"/>
  <c r="G39" i="14"/>
  <c r="E39" i="14"/>
  <c r="F39" i="14" s="1"/>
  <c r="G38" i="14"/>
  <c r="E38" i="14"/>
  <c r="F38" i="14" s="1"/>
  <c r="G37" i="14"/>
  <c r="E37" i="14"/>
  <c r="F37" i="14" s="1"/>
  <c r="G36" i="14"/>
  <c r="E36" i="14"/>
  <c r="F36" i="14" s="1"/>
  <c r="G35" i="14"/>
  <c r="H35" i="14" s="1"/>
  <c r="E35" i="14"/>
  <c r="F35" i="14" s="1"/>
  <c r="G34" i="14"/>
  <c r="E34" i="14"/>
  <c r="F34" i="14" s="1"/>
  <c r="G33" i="14"/>
  <c r="E33" i="14"/>
  <c r="F33" i="14" s="1"/>
  <c r="G32" i="14"/>
  <c r="E32" i="14"/>
  <c r="F32" i="14" s="1"/>
  <c r="G31" i="14"/>
  <c r="E31" i="14"/>
  <c r="G30" i="14"/>
  <c r="E30" i="14"/>
  <c r="F30" i="14" s="1"/>
  <c r="G29" i="14"/>
  <c r="E29" i="14"/>
  <c r="F29" i="14" s="1"/>
  <c r="G28" i="14"/>
  <c r="E28" i="14"/>
  <c r="F28" i="14" s="1"/>
  <c r="G27" i="14"/>
  <c r="E27" i="14"/>
  <c r="G26" i="14"/>
  <c r="E26" i="14"/>
  <c r="F26" i="14" s="1"/>
  <c r="G25" i="14"/>
  <c r="H25" i="14" s="1"/>
  <c r="E25" i="14"/>
  <c r="F25" i="14" s="1"/>
  <c r="G24" i="14"/>
  <c r="H24" i="14" s="1"/>
  <c r="E24" i="14"/>
  <c r="F24" i="14" s="1"/>
  <c r="G23" i="14"/>
  <c r="E23" i="14"/>
  <c r="F23" i="14" s="1"/>
  <c r="G22" i="14"/>
  <c r="E22" i="14"/>
  <c r="F22" i="14" s="1"/>
  <c r="G21" i="14"/>
  <c r="E21" i="14"/>
  <c r="G20" i="14"/>
  <c r="E20" i="14"/>
  <c r="F20" i="14" s="1"/>
  <c r="G19" i="14"/>
  <c r="E19" i="14"/>
  <c r="F19" i="14" s="1"/>
  <c r="G18" i="14"/>
  <c r="E18" i="14"/>
  <c r="F18" i="14" s="1"/>
  <c r="G17" i="14"/>
  <c r="E17" i="14"/>
  <c r="H17" i="14" s="1"/>
  <c r="G16" i="14"/>
  <c r="E16" i="14"/>
  <c r="F16" i="14" s="1"/>
  <c r="G15" i="14"/>
  <c r="E15" i="14"/>
  <c r="G14" i="14"/>
  <c r="E14" i="14"/>
  <c r="F14" i="14" s="1"/>
  <c r="G13" i="14"/>
  <c r="E13" i="14"/>
  <c r="F13" i="14" s="1"/>
  <c r="G12" i="14"/>
  <c r="E12" i="14"/>
  <c r="F12" i="14" s="1"/>
  <c r="G11" i="14"/>
  <c r="E11" i="14"/>
  <c r="G10" i="14"/>
  <c r="E10" i="14"/>
  <c r="F10" i="14" s="1"/>
  <c r="G9" i="14"/>
  <c r="E9" i="14"/>
  <c r="H9" i="14" s="1"/>
  <c r="G8" i="14"/>
  <c r="E8" i="14"/>
  <c r="F8" i="14" s="1"/>
  <c r="E7" i="14"/>
  <c r="F7" i="14" s="1"/>
  <c r="G155" i="13"/>
  <c r="E155" i="13"/>
  <c r="G154" i="13"/>
  <c r="E154" i="13"/>
  <c r="F154" i="13" s="1"/>
  <c r="G153" i="13"/>
  <c r="E153" i="13"/>
  <c r="F153" i="13" s="1"/>
  <c r="G152" i="13"/>
  <c r="E152" i="13"/>
  <c r="F152" i="13" s="1"/>
  <c r="G151" i="13"/>
  <c r="E151" i="13"/>
  <c r="F151" i="13" s="1"/>
  <c r="G150" i="13"/>
  <c r="H150" i="13" s="1"/>
  <c r="E150" i="13"/>
  <c r="F150" i="13" s="1"/>
  <c r="G149" i="13"/>
  <c r="E149" i="13"/>
  <c r="F149" i="13" s="1"/>
  <c r="G148" i="13"/>
  <c r="E148" i="13"/>
  <c r="F148" i="13" s="1"/>
  <c r="G147" i="13"/>
  <c r="E147" i="13"/>
  <c r="F147" i="13" s="1"/>
  <c r="G146" i="13"/>
  <c r="E146" i="13"/>
  <c r="F146" i="13" s="1"/>
  <c r="G145" i="13"/>
  <c r="E145" i="13"/>
  <c r="G144" i="13"/>
  <c r="E144" i="13"/>
  <c r="F144" i="13" s="1"/>
  <c r="G143" i="13"/>
  <c r="E143" i="13"/>
  <c r="F143" i="13" s="1"/>
  <c r="G142" i="13"/>
  <c r="E142" i="13"/>
  <c r="F142" i="13" s="1"/>
  <c r="G141" i="13"/>
  <c r="E141" i="13"/>
  <c r="F141" i="13" s="1"/>
  <c r="G140" i="13"/>
  <c r="E140" i="13"/>
  <c r="F140" i="13" s="1"/>
  <c r="G139" i="13"/>
  <c r="E139" i="13"/>
  <c r="F139" i="13" s="1"/>
  <c r="G138" i="13"/>
  <c r="E138" i="13"/>
  <c r="F138" i="13" s="1"/>
  <c r="G137" i="13"/>
  <c r="E137" i="13"/>
  <c r="F137" i="13" s="1"/>
  <c r="G136" i="13"/>
  <c r="E136" i="13"/>
  <c r="F136" i="13" s="1"/>
  <c r="G135" i="13"/>
  <c r="E135" i="13"/>
  <c r="F135" i="13" s="1"/>
  <c r="G134" i="13"/>
  <c r="E134" i="13"/>
  <c r="F134" i="13" s="1"/>
  <c r="G133" i="13"/>
  <c r="H133" i="13" s="1"/>
  <c r="E133" i="13"/>
  <c r="F133" i="13" s="1"/>
  <c r="G132" i="13"/>
  <c r="E132" i="13"/>
  <c r="F132" i="13" s="1"/>
  <c r="G131" i="13"/>
  <c r="E131" i="13"/>
  <c r="F131" i="13" s="1"/>
  <c r="G130" i="13"/>
  <c r="E130" i="13"/>
  <c r="F130" i="13" s="1"/>
  <c r="G129" i="13"/>
  <c r="E129" i="13"/>
  <c r="F129" i="13" s="1"/>
  <c r="G128" i="13"/>
  <c r="E128" i="13"/>
  <c r="F128" i="13" s="1"/>
  <c r="G127" i="13"/>
  <c r="E127" i="13"/>
  <c r="G126" i="13"/>
  <c r="E126" i="13"/>
  <c r="F126" i="13" s="1"/>
  <c r="G125" i="13"/>
  <c r="H125" i="13" s="1"/>
  <c r="E125" i="13"/>
  <c r="F125" i="13" s="1"/>
  <c r="G124" i="13"/>
  <c r="H124" i="13" s="1"/>
  <c r="E124" i="13"/>
  <c r="F124" i="13" s="1"/>
  <c r="G123" i="13"/>
  <c r="H123" i="13" s="1"/>
  <c r="E123" i="13"/>
  <c r="F123" i="13" s="1"/>
  <c r="G122" i="13"/>
  <c r="E122" i="13"/>
  <c r="F122" i="13" s="1"/>
  <c r="G121" i="13"/>
  <c r="E121" i="13"/>
  <c r="F121" i="13" s="1"/>
  <c r="G120" i="13"/>
  <c r="E120" i="13"/>
  <c r="F120" i="13" s="1"/>
  <c r="G119" i="13"/>
  <c r="E119" i="13"/>
  <c r="G118" i="13"/>
  <c r="E118" i="13"/>
  <c r="F118" i="13" s="1"/>
  <c r="G117" i="13"/>
  <c r="E117" i="13"/>
  <c r="F117" i="13" s="1"/>
  <c r="G116" i="13"/>
  <c r="E116" i="13"/>
  <c r="F116" i="13" s="1"/>
  <c r="G115" i="13"/>
  <c r="E115" i="13"/>
  <c r="F115" i="13" s="1"/>
  <c r="G114" i="13"/>
  <c r="E114" i="13"/>
  <c r="F114" i="13" s="1"/>
  <c r="G113" i="13"/>
  <c r="E113" i="13"/>
  <c r="F113" i="13" s="1"/>
  <c r="G112" i="13"/>
  <c r="E112" i="13"/>
  <c r="F112" i="13" s="1"/>
  <c r="G111" i="13"/>
  <c r="E111" i="13"/>
  <c r="F111" i="13" s="1"/>
  <c r="G110" i="13"/>
  <c r="E110" i="13"/>
  <c r="F110" i="13" s="1"/>
  <c r="G109" i="13"/>
  <c r="E109" i="13"/>
  <c r="F109" i="13" s="1"/>
  <c r="G108" i="13"/>
  <c r="E108" i="13"/>
  <c r="F108" i="13" s="1"/>
  <c r="G107" i="13"/>
  <c r="E107" i="13"/>
  <c r="F107" i="13" s="1"/>
  <c r="G106" i="13"/>
  <c r="E106" i="13"/>
  <c r="F106" i="13" s="1"/>
  <c r="G105" i="13"/>
  <c r="E105" i="13"/>
  <c r="F105" i="13" s="1"/>
  <c r="G104" i="13"/>
  <c r="E104" i="13"/>
  <c r="F104" i="13" s="1"/>
  <c r="G103" i="13"/>
  <c r="E103" i="13"/>
  <c r="F103" i="13" s="1"/>
  <c r="G102" i="13"/>
  <c r="E102" i="13"/>
  <c r="F102" i="13" s="1"/>
  <c r="G101" i="13"/>
  <c r="E101" i="13"/>
  <c r="F101" i="13" s="1"/>
  <c r="G100" i="13"/>
  <c r="E100" i="13"/>
  <c r="F100" i="13" s="1"/>
  <c r="G99" i="13"/>
  <c r="E99" i="13"/>
  <c r="F99" i="13" s="1"/>
  <c r="G98" i="13"/>
  <c r="E98" i="13"/>
  <c r="F98" i="13" s="1"/>
  <c r="G97" i="13"/>
  <c r="E97" i="13"/>
  <c r="F97" i="13" s="1"/>
  <c r="G96" i="13"/>
  <c r="E96" i="13"/>
  <c r="F96" i="13" s="1"/>
  <c r="G95" i="13"/>
  <c r="E95" i="13"/>
  <c r="F95" i="13" s="1"/>
  <c r="G94" i="13"/>
  <c r="E94" i="13"/>
  <c r="F94" i="13" s="1"/>
  <c r="G93" i="13"/>
  <c r="E93" i="13"/>
  <c r="F93" i="13" s="1"/>
  <c r="G92" i="13"/>
  <c r="E92" i="13"/>
  <c r="F92" i="13" s="1"/>
  <c r="G91" i="13"/>
  <c r="E91" i="13"/>
  <c r="F91" i="13" s="1"/>
  <c r="G90" i="13"/>
  <c r="E90" i="13"/>
  <c r="F90" i="13" s="1"/>
  <c r="G89" i="13"/>
  <c r="E89" i="13"/>
  <c r="F89" i="13" s="1"/>
  <c r="G88" i="13"/>
  <c r="E88" i="13"/>
  <c r="F88" i="13" s="1"/>
  <c r="G87" i="13"/>
  <c r="E87" i="13"/>
  <c r="G86" i="13"/>
  <c r="E86" i="13"/>
  <c r="F86" i="13" s="1"/>
  <c r="G85" i="13"/>
  <c r="E85" i="13"/>
  <c r="F85" i="13" s="1"/>
  <c r="G84" i="13"/>
  <c r="E84" i="13"/>
  <c r="F84" i="13" s="1"/>
  <c r="G83" i="13"/>
  <c r="E83" i="13"/>
  <c r="F83" i="13" s="1"/>
  <c r="G82" i="13"/>
  <c r="E82" i="13"/>
  <c r="F82" i="13" s="1"/>
  <c r="G81" i="13"/>
  <c r="E81" i="13"/>
  <c r="F81" i="13" s="1"/>
  <c r="G80" i="13"/>
  <c r="E80" i="13"/>
  <c r="F80" i="13" s="1"/>
  <c r="G79" i="13"/>
  <c r="E79" i="13"/>
  <c r="F79" i="13" s="1"/>
  <c r="G78" i="13"/>
  <c r="E78" i="13"/>
  <c r="F78" i="13" s="1"/>
  <c r="G77" i="13"/>
  <c r="E77" i="13"/>
  <c r="F77" i="13" s="1"/>
  <c r="G76" i="13"/>
  <c r="E76" i="13"/>
  <c r="F76" i="13" s="1"/>
  <c r="G75" i="13"/>
  <c r="E75" i="13"/>
  <c r="F75" i="13" s="1"/>
  <c r="G74" i="13"/>
  <c r="E74" i="13"/>
  <c r="F74" i="13" s="1"/>
  <c r="G73" i="13"/>
  <c r="E73" i="13"/>
  <c r="F73" i="13" s="1"/>
  <c r="G72" i="13"/>
  <c r="E72" i="13"/>
  <c r="F72" i="13" s="1"/>
  <c r="G71" i="13"/>
  <c r="E71" i="13"/>
  <c r="F71" i="13" s="1"/>
  <c r="G70" i="13"/>
  <c r="E70" i="13"/>
  <c r="F70" i="13" s="1"/>
  <c r="G69" i="13"/>
  <c r="H69" i="13" s="1"/>
  <c r="E69" i="13"/>
  <c r="F69" i="13" s="1"/>
  <c r="G68" i="13"/>
  <c r="E68" i="13"/>
  <c r="F68" i="13" s="1"/>
  <c r="G67" i="13"/>
  <c r="E67" i="13"/>
  <c r="F67" i="13" s="1"/>
  <c r="G66" i="13"/>
  <c r="E66" i="13"/>
  <c r="F66" i="13" s="1"/>
  <c r="G65" i="13"/>
  <c r="E65" i="13"/>
  <c r="F65" i="13" s="1"/>
  <c r="G64" i="13"/>
  <c r="E64" i="13"/>
  <c r="F64" i="13" s="1"/>
  <c r="G63" i="13"/>
  <c r="E63" i="13"/>
  <c r="F63" i="13" s="1"/>
  <c r="G62" i="13"/>
  <c r="E62" i="13"/>
  <c r="F62" i="13" s="1"/>
  <c r="G61" i="13"/>
  <c r="E61" i="13"/>
  <c r="F61" i="13" s="1"/>
  <c r="G60" i="13"/>
  <c r="E60" i="13"/>
  <c r="F60" i="13" s="1"/>
  <c r="G59" i="13"/>
  <c r="E59" i="13"/>
  <c r="F59" i="13" s="1"/>
  <c r="G58" i="13"/>
  <c r="E58" i="13"/>
  <c r="F58" i="13" s="1"/>
  <c r="G57" i="13"/>
  <c r="E57" i="13"/>
  <c r="F57" i="13" s="1"/>
  <c r="G56" i="13"/>
  <c r="E56" i="13"/>
  <c r="F56" i="13" s="1"/>
  <c r="G55" i="13"/>
  <c r="E55" i="13"/>
  <c r="G54" i="13"/>
  <c r="E54" i="13"/>
  <c r="F54" i="13" s="1"/>
  <c r="G53" i="13"/>
  <c r="E53" i="13"/>
  <c r="F53" i="13" s="1"/>
  <c r="G52" i="13"/>
  <c r="E52" i="13"/>
  <c r="F52" i="13" s="1"/>
  <c r="G51" i="13"/>
  <c r="E51" i="13"/>
  <c r="F51" i="13" s="1"/>
  <c r="G50" i="13"/>
  <c r="E50" i="13"/>
  <c r="F50" i="13" s="1"/>
  <c r="G49" i="13"/>
  <c r="E49" i="13"/>
  <c r="F49" i="13" s="1"/>
  <c r="G48" i="13"/>
  <c r="E48" i="13"/>
  <c r="F48" i="13" s="1"/>
  <c r="G47" i="13"/>
  <c r="E47" i="13"/>
  <c r="F47" i="13" s="1"/>
  <c r="G46" i="13"/>
  <c r="E46" i="13"/>
  <c r="F46" i="13" s="1"/>
  <c r="G45" i="13"/>
  <c r="E45" i="13"/>
  <c r="F45" i="13" s="1"/>
  <c r="G44" i="13"/>
  <c r="E44" i="13"/>
  <c r="F44" i="13" s="1"/>
  <c r="G43" i="13"/>
  <c r="E43" i="13"/>
  <c r="F43" i="13" s="1"/>
  <c r="G42" i="13"/>
  <c r="E42" i="13"/>
  <c r="F42" i="13" s="1"/>
  <c r="G41" i="13"/>
  <c r="E41" i="13"/>
  <c r="F41" i="13" s="1"/>
  <c r="G40" i="13"/>
  <c r="E40" i="13"/>
  <c r="F40" i="13" s="1"/>
  <c r="G39" i="13"/>
  <c r="E39" i="13"/>
  <c r="F39" i="13" s="1"/>
  <c r="G38" i="13"/>
  <c r="E38" i="13"/>
  <c r="F38" i="13" s="1"/>
  <c r="G37" i="13"/>
  <c r="E37" i="13"/>
  <c r="F37" i="13" s="1"/>
  <c r="G36" i="13"/>
  <c r="E36" i="13"/>
  <c r="F36" i="13" s="1"/>
  <c r="G35" i="13"/>
  <c r="E35" i="13"/>
  <c r="F35" i="13" s="1"/>
  <c r="G34" i="13"/>
  <c r="E34" i="13"/>
  <c r="F34" i="13" s="1"/>
  <c r="G33" i="13"/>
  <c r="E33" i="13"/>
  <c r="F33" i="13" s="1"/>
  <c r="G32" i="13"/>
  <c r="E32" i="13"/>
  <c r="F32" i="13" s="1"/>
  <c r="G31" i="13"/>
  <c r="E31" i="13"/>
  <c r="G30" i="13"/>
  <c r="E30" i="13"/>
  <c r="F30" i="13" s="1"/>
  <c r="G29" i="13"/>
  <c r="E29" i="13"/>
  <c r="F29" i="13" s="1"/>
  <c r="G28" i="13"/>
  <c r="E28" i="13"/>
  <c r="F28" i="13" s="1"/>
  <c r="G27" i="13"/>
  <c r="E27" i="13"/>
  <c r="F27" i="13" s="1"/>
  <c r="G26" i="13"/>
  <c r="E26" i="13"/>
  <c r="F26" i="13" s="1"/>
  <c r="G25" i="13"/>
  <c r="E25" i="13"/>
  <c r="F25" i="13" s="1"/>
  <c r="G24" i="13"/>
  <c r="E24" i="13"/>
  <c r="F24" i="13" s="1"/>
  <c r="G23" i="13"/>
  <c r="E23" i="13"/>
  <c r="G22" i="13"/>
  <c r="E22" i="13"/>
  <c r="F22" i="13" s="1"/>
  <c r="G21" i="13"/>
  <c r="E21" i="13"/>
  <c r="F21" i="13" s="1"/>
  <c r="G20" i="13"/>
  <c r="E20" i="13"/>
  <c r="F20" i="13" s="1"/>
  <c r="G19" i="13"/>
  <c r="E19" i="13"/>
  <c r="F19" i="13" s="1"/>
  <c r="G18" i="13"/>
  <c r="E18" i="13"/>
  <c r="F18" i="13" s="1"/>
  <c r="G17" i="13"/>
  <c r="E17" i="13"/>
  <c r="F17" i="13" s="1"/>
  <c r="G16" i="13"/>
  <c r="E16" i="13"/>
  <c r="F16" i="13" s="1"/>
  <c r="G15" i="13"/>
  <c r="E15" i="13"/>
  <c r="F15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G10" i="13"/>
  <c r="E10" i="13"/>
  <c r="F10" i="13" s="1"/>
  <c r="G9" i="13"/>
  <c r="E9" i="13"/>
  <c r="F9" i="13" s="1"/>
  <c r="G8" i="13"/>
  <c r="E8" i="13"/>
  <c r="F8" i="13" s="1"/>
  <c r="E7" i="13"/>
  <c r="H7" i="13" s="1"/>
  <c r="G158" i="12"/>
  <c r="E158" i="12"/>
  <c r="F158" i="12" s="1"/>
  <c r="G157" i="12"/>
  <c r="E157" i="12"/>
  <c r="G156" i="12"/>
  <c r="E156" i="12"/>
  <c r="F156" i="12" s="1"/>
  <c r="G155" i="12"/>
  <c r="E155" i="12"/>
  <c r="G154" i="12"/>
  <c r="E154" i="12"/>
  <c r="F154" i="12" s="1"/>
  <c r="G153" i="12"/>
  <c r="E153" i="12"/>
  <c r="G152" i="12"/>
  <c r="H152" i="12" s="1"/>
  <c r="F152" i="12"/>
  <c r="E152" i="12"/>
  <c r="G151" i="12"/>
  <c r="E151" i="12"/>
  <c r="H150" i="12"/>
  <c r="G150" i="12"/>
  <c r="E150" i="12"/>
  <c r="F150" i="12" s="1"/>
  <c r="G149" i="12"/>
  <c r="E149" i="12"/>
  <c r="G148" i="12"/>
  <c r="F148" i="12"/>
  <c r="E148" i="12"/>
  <c r="G147" i="12"/>
  <c r="E147" i="12"/>
  <c r="G146" i="12"/>
  <c r="E146" i="12"/>
  <c r="F146" i="12" s="1"/>
  <c r="G145" i="12"/>
  <c r="E145" i="12"/>
  <c r="G144" i="12"/>
  <c r="E144" i="12"/>
  <c r="F144" i="12" s="1"/>
  <c r="G143" i="12"/>
  <c r="E143" i="12"/>
  <c r="G142" i="12"/>
  <c r="H142" i="12" s="1"/>
  <c r="E142" i="12"/>
  <c r="F142" i="12" s="1"/>
  <c r="G141" i="12"/>
  <c r="E141" i="12"/>
  <c r="G140" i="12"/>
  <c r="E140" i="12"/>
  <c r="F140" i="12" s="1"/>
  <c r="G139" i="12"/>
  <c r="E139" i="12"/>
  <c r="G138" i="12"/>
  <c r="E138" i="12"/>
  <c r="F138" i="12" s="1"/>
  <c r="G137" i="12"/>
  <c r="E137" i="12"/>
  <c r="G136" i="12"/>
  <c r="E136" i="12"/>
  <c r="F136" i="12" s="1"/>
  <c r="G135" i="12"/>
  <c r="E135" i="12"/>
  <c r="H134" i="12"/>
  <c r="G134" i="12"/>
  <c r="E134" i="12"/>
  <c r="F134" i="12" s="1"/>
  <c r="G133" i="12"/>
  <c r="E133" i="12"/>
  <c r="G132" i="12"/>
  <c r="H132" i="12" s="1"/>
  <c r="F132" i="12"/>
  <c r="E132" i="12"/>
  <c r="G131" i="12"/>
  <c r="E131" i="12"/>
  <c r="G130" i="12"/>
  <c r="E130" i="12"/>
  <c r="F130" i="12" s="1"/>
  <c r="G129" i="12"/>
  <c r="E129" i="12"/>
  <c r="G128" i="12"/>
  <c r="E128" i="12"/>
  <c r="G127" i="12"/>
  <c r="E127" i="12"/>
  <c r="G126" i="12"/>
  <c r="E126" i="12"/>
  <c r="F126" i="12" s="1"/>
  <c r="G125" i="12"/>
  <c r="E125" i="12"/>
  <c r="G124" i="12"/>
  <c r="H124" i="12" s="1"/>
  <c r="E124" i="12"/>
  <c r="F124" i="12" s="1"/>
  <c r="G123" i="12"/>
  <c r="E123" i="12"/>
  <c r="G122" i="12"/>
  <c r="E122" i="12"/>
  <c r="F122" i="12" s="1"/>
  <c r="G121" i="12"/>
  <c r="E121" i="12"/>
  <c r="G120" i="12"/>
  <c r="E120" i="12"/>
  <c r="F120" i="12" s="1"/>
  <c r="G119" i="12"/>
  <c r="E119" i="12"/>
  <c r="G118" i="12"/>
  <c r="E118" i="12"/>
  <c r="F118" i="12" s="1"/>
  <c r="G117" i="12"/>
  <c r="E117" i="12"/>
  <c r="G116" i="12"/>
  <c r="F116" i="12"/>
  <c r="E116" i="12"/>
  <c r="G115" i="12"/>
  <c r="E115" i="12"/>
  <c r="G114" i="12"/>
  <c r="E114" i="12"/>
  <c r="F114" i="12" s="1"/>
  <c r="G113" i="12"/>
  <c r="E113" i="12"/>
  <c r="G112" i="12"/>
  <c r="H112" i="12" s="1"/>
  <c r="E112" i="12"/>
  <c r="F112" i="12" s="1"/>
  <c r="G111" i="12"/>
  <c r="E111" i="12"/>
  <c r="G110" i="12"/>
  <c r="E110" i="12"/>
  <c r="H110" i="12" s="1"/>
  <c r="G109" i="12"/>
  <c r="E109" i="12"/>
  <c r="G108" i="12"/>
  <c r="H108" i="12" s="1"/>
  <c r="F108" i="12"/>
  <c r="E108" i="12"/>
  <c r="G107" i="12"/>
  <c r="E107" i="12"/>
  <c r="G106" i="12"/>
  <c r="E106" i="12"/>
  <c r="F106" i="12" s="1"/>
  <c r="G105" i="12"/>
  <c r="E105" i="12"/>
  <c r="G104" i="12"/>
  <c r="E104" i="12"/>
  <c r="F104" i="12" s="1"/>
  <c r="G103" i="12"/>
  <c r="E103" i="12"/>
  <c r="G102" i="12"/>
  <c r="E102" i="12"/>
  <c r="F102" i="12" s="1"/>
  <c r="G101" i="12"/>
  <c r="E101" i="12"/>
  <c r="G100" i="12"/>
  <c r="H100" i="12" s="1"/>
  <c r="E100" i="12"/>
  <c r="F100" i="12" s="1"/>
  <c r="G99" i="12"/>
  <c r="E99" i="12"/>
  <c r="G98" i="12"/>
  <c r="E98" i="12"/>
  <c r="F98" i="12" s="1"/>
  <c r="G97" i="12"/>
  <c r="E97" i="12"/>
  <c r="G96" i="12"/>
  <c r="E96" i="12"/>
  <c r="G95" i="12"/>
  <c r="E95" i="12"/>
  <c r="G94" i="12"/>
  <c r="E94" i="12"/>
  <c r="F94" i="12" s="1"/>
  <c r="G93" i="12"/>
  <c r="E93" i="12"/>
  <c r="G92" i="12"/>
  <c r="H92" i="12" s="1"/>
  <c r="E92" i="12"/>
  <c r="F92" i="12" s="1"/>
  <c r="G91" i="12"/>
  <c r="E91" i="12"/>
  <c r="G90" i="12"/>
  <c r="E90" i="12"/>
  <c r="F90" i="12" s="1"/>
  <c r="G89" i="12"/>
  <c r="E89" i="12"/>
  <c r="G88" i="12"/>
  <c r="E88" i="12"/>
  <c r="F88" i="12" s="1"/>
  <c r="G87" i="12"/>
  <c r="E87" i="12"/>
  <c r="G86" i="12"/>
  <c r="E86" i="12"/>
  <c r="F86" i="12" s="1"/>
  <c r="G85" i="12"/>
  <c r="E85" i="12"/>
  <c r="G84" i="12"/>
  <c r="E84" i="12"/>
  <c r="F84" i="12" s="1"/>
  <c r="G83" i="12"/>
  <c r="E83" i="12"/>
  <c r="G82" i="12"/>
  <c r="E82" i="12"/>
  <c r="F82" i="12" s="1"/>
  <c r="G81" i="12"/>
  <c r="E81" i="12"/>
  <c r="G80" i="12"/>
  <c r="E80" i="12"/>
  <c r="F80" i="12" s="1"/>
  <c r="G79" i="12"/>
  <c r="E79" i="12"/>
  <c r="G78" i="12"/>
  <c r="F78" i="12"/>
  <c r="E78" i="12"/>
  <c r="G77" i="12"/>
  <c r="E77" i="12"/>
  <c r="G76" i="12"/>
  <c r="H76" i="12" s="1"/>
  <c r="E76" i="12"/>
  <c r="F76" i="12" s="1"/>
  <c r="G75" i="12"/>
  <c r="E75" i="12"/>
  <c r="G74" i="12"/>
  <c r="E74" i="12"/>
  <c r="F74" i="12" s="1"/>
  <c r="G73" i="12"/>
  <c r="E73" i="12"/>
  <c r="G72" i="12"/>
  <c r="E72" i="12"/>
  <c r="G71" i="12"/>
  <c r="E71" i="12"/>
  <c r="G70" i="12"/>
  <c r="H70" i="12" s="1"/>
  <c r="F70" i="12"/>
  <c r="E70" i="12"/>
  <c r="G69" i="12"/>
  <c r="E69" i="12"/>
  <c r="G68" i="12"/>
  <c r="H68" i="12" s="1"/>
  <c r="E68" i="12"/>
  <c r="F68" i="12" s="1"/>
  <c r="G67" i="12"/>
  <c r="E67" i="12"/>
  <c r="G66" i="12"/>
  <c r="E66" i="12"/>
  <c r="F66" i="12" s="1"/>
  <c r="G65" i="12"/>
  <c r="E65" i="12"/>
  <c r="G64" i="12"/>
  <c r="E64" i="12"/>
  <c r="G63" i="12"/>
  <c r="E63" i="12"/>
  <c r="G62" i="12"/>
  <c r="E62" i="12"/>
  <c r="F62" i="12" s="1"/>
  <c r="G61" i="12"/>
  <c r="E61" i="12"/>
  <c r="G60" i="12"/>
  <c r="E60" i="12"/>
  <c r="F60" i="12" s="1"/>
  <c r="G59" i="12"/>
  <c r="E59" i="12"/>
  <c r="G58" i="12"/>
  <c r="E58" i="12"/>
  <c r="F58" i="12" s="1"/>
  <c r="G57" i="12"/>
  <c r="E57" i="12"/>
  <c r="G56" i="12"/>
  <c r="E56" i="12"/>
  <c r="F56" i="12" s="1"/>
  <c r="G55" i="12"/>
  <c r="E55" i="12"/>
  <c r="G54" i="12"/>
  <c r="E54" i="12"/>
  <c r="F54" i="12" s="1"/>
  <c r="G53" i="12"/>
  <c r="E53" i="12"/>
  <c r="G52" i="12"/>
  <c r="E52" i="12"/>
  <c r="F52" i="12" s="1"/>
  <c r="G51" i="12"/>
  <c r="E51" i="12"/>
  <c r="G50" i="12"/>
  <c r="E50" i="12"/>
  <c r="F50" i="12" s="1"/>
  <c r="G49" i="12"/>
  <c r="E49" i="12"/>
  <c r="G48" i="12"/>
  <c r="E48" i="12"/>
  <c r="F48" i="12" s="1"/>
  <c r="G47" i="12"/>
  <c r="E47" i="12"/>
  <c r="G46" i="12"/>
  <c r="H46" i="12" s="1"/>
  <c r="E46" i="12"/>
  <c r="F46" i="12" s="1"/>
  <c r="G45" i="12"/>
  <c r="E45" i="12"/>
  <c r="G44" i="12"/>
  <c r="E44" i="12"/>
  <c r="F44" i="12" s="1"/>
  <c r="G43" i="12"/>
  <c r="E43" i="12"/>
  <c r="G42" i="12"/>
  <c r="E42" i="12"/>
  <c r="F42" i="12" s="1"/>
  <c r="G41" i="12"/>
  <c r="E41" i="12"/>
  <c r="G40" i="12"/>
  <c r="E40" i="12"/>
  <c r="F40" i="12" s="1"/>
  <c r="G39" i="12"/>
  <c r="E39" i="12"/>
  <c r="G38" i="12"/>
  <c r="E38" i="12"/>
  <c r="F38" i="12" s="1"/>
  <c r="G37" i="12"/>
  <c r="E37" i="12"/>
  <c r="G36" i="12"/>
  <c r="E36" i="12"/>
  <c r="F36" i="12" s="1"/>
  <c r="G35" i="12"/>
  <c r="E35" i="12"/>
  <c r="G34" i="12"/>
  <c r="E34" i="12"/>
  <c r="F34" i="12" s="1"/>
  <c r="G33" i="12"/>
  <c r="E33" i="12"/>
  <c r="G32" i="12"/>
  <c r="E32" i="12"/>
  <c r="G31" i="12"/>
  <c r="E31" i="12"/>
  <c r="G30" i="12"/>
  <c r="E30" i="12"/>
  <c r="F30" i="12" s="1"/>
  <c r="G29" i="12"/>
  <c r="E29" i="12"/>
  <c r="G28" i="12"/>
  <c r="E28" i="12"/>
  <c r="F28" i="12" s="1"/>
  <c r="G27" i="12"/>
  <c r="E27" i="12"/>
  <c r="G26" i="12"/>
  <c r="E26" i="12"/>
  <c r="F26" i="12" s="1"/>
  <c r="G25" i="12"/>
  <c r="E25" i="12"/>
  <c r="G24" i="12"/>
  <c r="E24" i="12"/>
  <c r="F24" i="12" s="1"/>
  <c r="G23" i="12"/>
  <c r="E23" i="12"/>
  <c r="G22" i="12"/>
  <c r="E22" i="12"/>
  <c r="F22" i="12" s="1"/>
  <c r="G21" i="12"/>
  <c r="E21" i="12"/>
  <c r="G20" i="12"/>
  <c r="F20" i="12"/>
  <c r="E20" i="12"/>
  <c r="G19" i="12"/>
  <c r="E19" i="12"/>
  <c r="G18" i="12"/>
  <c r="E18" i="12"/>
  <c r="F18" i="12" s="1"/>
  <c r="G17" i="12"/>
  <c r="E17" i="12"/>
  <c r="G16" i="12"/>
  <c r="H16" i="12" s="1"/>
  <c r="E16" i="12"/>
  <c r="F16" i="12" s="1"/>
  <c r="G15" i="12"/>
  <c r="E15" i="12"/>
  <c r="G14" i="12"/>
  <c r="E14" i="12"/>
  <c r="F14" i="12" s="1"/>
  <c r="G13" i="12"/>
  <c r="E13" i="12"/>
  <c r="G12" i="12"/>
  <c r="H12" i="12" s="1"/>
  <c r="F12" i="12"/>
  <c r="E12" i="12"/>
  <c r="G11" i="12"/>
  <c r="E11" i="12"/>
  <c r="G10" i="12"/>
  <c r="E10" i="12"/>
  <c r="F10" i="12" s="1"/>
  <c r="G9" i="12"/>
  <c r="E9" i="12"/>
  <c r="G8" i="12"/>
  <c r="E8" i="12"/>
  <c r="E7" i="12"/>
  <c r="F7" i="12" s="1"/>
  <c r="G157" i="11"/>
  <c r="E157" i="11"/>
  <c r="G156" i="11"/>
  <c r="E156" i="11"/>
  <c r="F156" i="11" s="1"/>
  <c r="G155" i="11"/>
  <c r="E155" i="11"/>
  <c r="F155" i="11" s="1"/>
  <c r="G154" i="11"/>
  <c r="E154" i="11"/>
  <c r="F154" i="11" s="1"/>
  <c r="G153" i="11"/>
  <c r="E153" i="11"/>
  <c r="F153" i="11" s="1"/>
  <c r="G152" i="11"/>
  <c r="E152" i="11"/>
  <c r="F152" i="11" s="1"/>
  <c r="G151" i="11"/>
  <c r="E151" i="11"/>
  <c r="G150" i="11"/>
  <c r="E150" i="11"/>
  <c r="F150" i="11" s="1"/>
  <c r="G149" i="11"/>
  <c r="E149" i="11"/>
  <c r="F149" i="11" s="1"/>
  <c r="G148" i="11"/>
  <c r="E148" i="11"/>
  <c r="F148" i="11" s="1"/>
  <c r="G147" i="11"/>
  <c r="E147" i="11"/>
  <c r="F147" i="11" s="1"/>
  <c r="G146" i="11"/>
  <c r="E146" i="11"/>
  <c r="F146" i="11" s="1"/>
  <c r="G145" i="11"/>
  <c r="E145" i="11"/>
  <c r="F145" i="11" s="1"/>
  <c r="G144" i="11"/>
  <c r="E144" i="11"/>
  <c r="F144" i="11" s="1"/>
  <c r="G143" i="11"/>
  <c r="E143" i="11"/>
  <c r="G142" i="11"/>
  <c r="E142" i="11"/>
  <c r="F142" i="11" s="1"/>
  <c r="G141" i="11"/>
  <c r="E141" i="11"/>
  <c r="G140" i="11"/>
  <c r="E140" i="11"/>
  <c r="F140" i="11" s="1"/>
  <c r="G139" i="11"/>
  <c r="E139" i="11"/>
  <c r="F139" i="11" s="1"/>
  <c r="G138" i="11"/>
  <c r="E138" i="11"/>
  <c r="F138" i="11" s="1"/>
  <c r="G137" i="11"/>
  <c r="E137" i="11"/>
  <c r="F137" i="11" s="1"/>
  <c r="G136" i="11"/>
  <c r="E136" i="11"/>
  <c r="F136" i="11" s="1"/>
  <c r="G135" i="11"/>
  <c r="E135" i="11"/>
  <c r="G134" i="11"/>
  <c r="E134" i="11"/>
  <c r="F134" i="11" s="1"/>
  <c r="G133" i="11"/>
  <c r="E133" i="11"/>
  <c r="F133" i="11" s="1"/>
  <c r="G132" i="11"/>
  <c r="E132" i="11"/>
  <c r="F132" i="11" s="1"/>
  <c r="G131" i="11"/>
  <c r="E131" i="11"/>
  <c r="F131" i="11" s="1"/>
  <c r="G130" i="11"/>
  <c r="E130" i="11"/>
  <c r="F130" i="11" s="1"/>
  <c r="G129" i="11"/>
  <c r="E129" i="11"/>
  <c r="H129" i="11" s="1"/>
  <c r="G128" i="11"/>
  <c r="F128" i="11"/>
  <c r="E128" i="11"/>
  <c r="G127" i="11"/>
  <c r="E127" i="11"/>
  <c r="F127" i="11" s="1"/>
  <c r="G126" i="11"/>
  <c r="E126" i="11"/>
  <c r="F126" i="11" s="1"/>
  <c r="G125" i="11"/>
  <c r="E125" i="11"/>
  <c r="F125" i="11" s="1"/>
  <c r="G124" i="11"/>
  <c r="E124" i="11"/>
  <c r="F124" i="11" s="1"/>
  <c r="G123" i="11"/>
  <c r="E123" i="11"/>
  <c r="H123" i="11" s="1"/>
  <c r="G122" i="11"/>
  <c r="E122" i="11"/>
  <c r="F122" i="11" s="1"/>
  <c r="G121" i="11"/>
  <c r="F121" i="11"/>
  <c r="E121" i="11"/>
  <c r="G120" i="11"/>
  <c r="E120" i="11"/>
  <c r="F120" i="11" s="1"/>
  <c r="G119" i="11"/>
  <c r="E119" i="11"/>
  <c r="G118" i="11"/>
  <c r="E118" i="11"/>
  <c r="F118" i="11" s="1"/>
  <c r="G117" i="11"/>
  <c r="H117" i="11" s="1"/>
  <c r="E117" i="11"/>
  <c r="F117" i="11" s="1"/>
  <c r="G116" i="11"/>
  <c r="E116" i="11"/>
  <c r="F116" i="11" s="1"/>
  <c r="G115" i="11"/>
  <c r="E115" i="11"/>
  <c r="F115" i="11" s="1"/>
  <c r="G114" i="11"/>
  <c r="E114" i="11"/>
  <c r="F114" i="11" s="1"/>
  <c r="G113" i="11"/>
  <c r="H113" i="11" s="1"/>
  <c r="E113" i="11"/>
  <c r="F113" i="11" s="1"/>
  <c r="G112" i="11"/>
  <c r="E112" i="11"/>
  <c r="F112" i="11" s="1"/>
  <c r="G111" i="11"/>
  <c r="E111" i="11"/>
  <c r="F111" i="11" s="1"/>
  <c r="G110" i="11"/>
  <c r="E110" i="11"/>
  <c r="F110" i="11" s="1"/>
  <c r="G109" i="11"/>
  <c r="E109" i="11"/>
  <c r="G108" i="11"/>
  <c r="E108" i="11"/>
  <c r="F108" i="11" s="1"/>
  <c r="G107" i="11"/>
  <c r="E107" i="11"/>
  <c r="F107" i="11" s="1"/>
  <c r="G106" i="11"/>
  <c r="E106" i="11"/>
  <c r="F106" i="11" s="1"/>
  <c r="G105" i="11"/>
  <c r="E105" i="11"/>
  <c r="F105" i="11" s="1"/>
  <c r="G104" i="11"/>
  <c r="E104" i="11"/>
  <c r="F104" i="11" s="1"/>
  <c r="G103" i="11"/>
  <c r="E103" i="11"/>
  <c r="G102" i="11"/>
  <c r="E102" i="11"/>
  <c r="F102" i="11" s="1"/>
  <c r="G101" i="11"/>
  <c r="E101" i="11"/>
  <c r="G100" i="11"/>
  <c r="E100" i="11"/>
  <c r="F100" i="11" s="1"/>
  <c r="G99" i="11"/>
  <c r="E99" i="11"/>
  <c r="F99" i="11" s="1"/>
  <c r="G98" i="11"/>
  <c r="E98" i="11"/>
  <c r="F98" i="11" s="1"/>
  <c r="G97" i="11"/>
  <c r="E97" i="11"/>
  <c r="G96" i="11"/>
  <c r="E96" i="11"/>
  <c r="F96" i="11" s="1"/>
  <c r="G95" i="11"/>
  <c r="E95" i="11"/>
  <c r="F95" i="11" s="1"/>
  <c r="G94" i="11"/>
  <c r="E94" i="11"/>
  <c r="F94" i="11" s="1"/>
  <c r="G93" i="11"/>
  <c r="E93" i="11"/>
  <c r="F93" i="11" s="1"/>
  <c r="G92" i="11"/>
  <c r="E92" i="11"/>
  <c r="F92" i="11" s="1"/>
  <c r="G91" i="11"/>
  <c r="E91" i="11"/>
  <c r="F91" i="11" s="1"/>
  <c r="G90" i="11"/>
  <c r="E90" i="11"/>
  <c r="F90" i="11" s="1"/>
  <c r="G89" i="11"/>
  <c r="E89" i="11"/>
  <c r="F89" i="11" s="1"/>
  <c r="G88" i="11"/>
  <c r="E88" i="11"/>
  <c r="F88" i="11" s="1"/>
  <c r="G87" i="11"/>
  <c r="E87" i="11"/>
  <c r="G86" i="11"/>
  <c r="E86" i="11"/>
  <c r="F86" i="11" s="1"/>
  <c r="G85" i="11"/>
  <c r="E85" i="11"/>
  <c r="G84" i="11"/>
  <c r="H84" i="11" s="1"/>
  <c r="F84" i="11"/>
  <c r="E84" i="11"/>
  <c r="G83" i="11"/>
  <c r="E83" i="11"/>
  <c r="F83" i="11" s="1"/>
  <c r="G82" i="11"/>
  <c r="E82" i="11"/>
  <c r="F82" i="11" s="1"/>
  <c r="G81" i="11"/>
  <c r="E81" i="11"/>
  <c r="F81" i="11" s="1"/>
  <c r="G80" i="11"/>
  <c r="E80" i="11"/>
  <c r="F80" i="11" s="1"/>
  <c r="G79" i="11"/>
  <c r="E79" i="11"/>
  <c r="F79" i="11" s="1"/>
  <c r="G78" i="11"/>
  <c r="E78" i="11"/>
  <c r="F78" i="11" s="1"/>
  <c r="G77" i="11"/>
  <c r="H77" i="11" s="1"/>
  <c r="E77" i="11"/>
  <c r="F77" i="11" s="1"/>
  <c r="G76" i="11"/>
  <c r="E76" i="11"/>
  <c r="F76" i="11" s="1"/>
  <c r="G75" i="11"/>
  <c r="E75" i="11"/>
  <c r="G74" i="11"/>
  <c r="E74" i="11"/>
  <c r="F74" i="11" s="1"/>
  <c r="G73" i="11"/>
  <c r="E73" i="11"/>
  <c r="F73" i="11" s="1"/>
  <c r="G72" i="11"/>
  <c r="E72" i="11"/>
  <c r="F72" i="11" s="1"/>
  <c r="G71" i="11"/>
  <c r="E71" i="11"/>
  <c r="F71" i="11" s="1"/>
  <c r="G70" i="11"/>
  <c r="F70" i="11"/>
  <c r="E70" i="11"/>
  <c r="G69" i="11"/>
  <c r="E69" i="11"/>
  <c r="G68" i="11"/>
  <c r="E68" i="11"/>
  <c r="F68" i="11" s="1"/>
  <c r="G67" i="11"/>
  <c r="E67" i="11"/>
  <c r="F67" i="11" s="1"/>
  <c r="G66" i="11"/>
  <c r="E66" i="11"/>
  <c r="F66" i="11" s="1"/>
  <c r="G65" i="11"/>
  <c r="E65" i="11"/>
  <c r="F65" i="11" s="1"/>
  <c r="G64" i="11"/>
  <c r="E64" i="11"/>
  <c r="F64" i="11" s="1"/>
  <c r="G63" i="11"/>
  <c r="E63" i="11"/>
  <c r="F63" i="11" s="1"/>
  <c r="G62" i="11"/>
  <c r="E62" i="11"/>
  <c r="F62" i="11" s="1"/>
  <c r="G61" i="11"/>
  <c r="E61" i="11"/>
  <c r="F61" i="11" s="1"/>
  <c r="G60" i="11"/>
  <c r="E60" i="11"/>
  <c r="F60" i="11" s="1"/>
  <c r="G59" i="11"/>
  <c r="E59" i="11"/>
  <c r="F59" i="11" s="1"/>
  <c r="G58" i="11"/>
  <c r="E58" i="11"/>
  <c r="F58" i="11" s="1"/>
  <c r="G57" i="11"/>
  <c r="E57" i="11"/>
  <c r="F57" i="11" s="1"/>
  <c r="G56" i="11"/>
  <c r="E56" i="11"/>
  <c r="F56" i="11" s="1"/>
  <c r="G55" i="11"/>
  <c r="E55" i="11"/>
  <c r="G54" i="11"/>
  <c r="E54" i="11"/>
  <c r="F54" i="11" s="1"/>
  <c r="G53" i="11"/>
  <c r="E53" i="11"/>
  <c r="F53" i="11" s="1"/>
  <c r="G52" i="11"/>
  <c r="E52" i="11"/>
  <c r="F52" i="11" s="1"/>
  <c r="G51" i="11"/>
  <c r="E51" i="11"/>
  <c r="F51" i="11" s="1"/>
  <c r="G50" i="11"/>
  <c r="E50" i="11"/>
  <c r="F50" i="11" s="1"/>
  <c r="G49" i="11"/>
  <c r="E49" i="11"/>
  <c r="F49" i="11" s="1"/>
  <c r="G48" i="11"/>
  <c r="E48" i="11"/>
  <c r="F48" i="11" s="1"/>
  <c r="G47" i="11"/>
  <c r="E47" i="11"/>
  <c r="F47" i="11" s="1"/>
  <c r="G46" i="11"/>
  <c r="E46" i="11"/>
  <c r="F46" i="11" s="1"/>
  <c r="G45" i="11"/>
  <c r="E45" i="11"/>
  <c r="F45" i="11" s="1"/>
  <c r="G44" i="11"/>
  <c r="E44" i="11"/>
  <c r="F44" i="11" s="1"/>
  <c r="G43" i="11"/>
  <c r="H43" i="11" s="1"/>
  <c r="E43" i="11"/>
  <c r="F43" i="11" s="1"/>
  <c r="G42" i="11"/>
  <c r="E42" i="11"/>
  <c r="F42" i="11" s="1"/>
  <c r="G41" i="11"/>
  <c r="E41" i="11"/>
  <c r="F41" i="11" s="1"/>
  <c r="G40" i="11"/>
  <c r="E40" i="11"/>
  <c r="F40" i="11" s="1"/>
  <c r="G39" i="11"/>
  <c r="F39" i="11"/>
  <c r="E39" i="11"/>
  <c r="G38" i="11"/>
  <c r="E38" i="11"/>
  <c r="F38" i="11" s="1"/>
  <c r="G37" i="11"/>
  <c r="E37" i="11"/>
  <c r="F37" i="11" s="1"/>
  <c r="G36" i="11"/>
  <c r="F36" i="11"/>
  <c r="E36" i="11"/>
  <c r="G35" i="11"/>
  <c r="E35" i="11"/>
  <c r="F35" i="11" s="1"/>
  <c r="G34" i="11"/>
  <c r="E34" i="11"/>
  <c r="F34" i="11" s="1"/>
  <c r="G33" i="11"/>
  <c r="E33" i="11"/>
  <c r="F33" i="11" s="1"/>
  <c r="G32" i="11"/>
  <c r="H32" i="11" s="1"/>
  <c r="E32" i="11"/>
  <c r="F32" i="11" s="1"/>
  <c r="G31" i="11"/>
  <c r="E31" i="11"/>
  <c r="F31" i="11" s="1"/>
  <c r="G30" i="11"/>
  <c r="E30" i="11"/>
  <c r="F30" i="11" s="1"/>
  <c r="G29" i="11"/>
  <c r="E29" i="11"/>
  <c r="G28" i="11"/>
  <c r="E28" i="11"/>
  <c r="F28" i="11" s="1"/>
  <c r="G27" i="11"/>
  <c r="E27" i="11"/>
  <c r="G26" i="11"/>
  <c r="E26" i="11"/>
  <c r="F26" i="11" s="1"/>
  <c r="G25" i="11"/>
  <c r="E25" i="11"/>
  <c r="F25" i="11" s="1"/>
  <c r="G24" i="11"/>
  <c r="E24" i="11"/>
  <c r="F24" i="11" s="1"/>
  <c r="G23" i="11"/>
  <c r="E23" i="11"/>
  <c r="G22" i="11"/>
  <c r="E22" i="11"/>
  <c r="F22" i="11" s="1"/>
  <c r="G21" i="11"/>
  <c r="E21" i="11"/>
  <c r="F21" i="11" s="1"/>
  <c r="G20" i="11"/>
  <c r="F20" i="11"/>
  <c r="E20" i="11"/>
  <c r="G19" i="11"/>
  <c r="E19" i="11"/>
  <c r="F19" i="11" s="1"/>
  <c r="G18" i="11"/>
  <c r="E18" i="11"/>
  <c r="F18" i="11" s="1"/>
  <c r="G17" i="11"/>
  <c r="E17" i="11"/>
  <c r="G16" i="11"/>
  <c r="H16" i="11" s="1"/>
  <c r="E16" i="11"/>
  <c r="F16" i="11" s="1"/>
  <c r="G15" i="11"/>
  <c r="H15" i="11" s="1"/>
  <c r="E15" i="11"/>
  <c r="F15" i="11" s="1"/>
  <c r="G14" i="11"/>
  <c r="E14" i="11"/>
  <c r="F14" i="11" s="1"/>
  <c r="G13" i="11"/>
  <c r="E13" i="1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E7" i="11"/>
  <c r="F7" i="11" s="1"/>
  <c r="G156" i="10"/>
  <c r="E156" i="10"/>
  <c r="F156" i="10" s="1"/>
  <c r="G155" i="10"/>
  <c r="F155" i="10"/>
  <c r="E155" i="10"/>
  <c r="G154" i="10"/>
  <c r="E154" i="10"/>
  <c r="F154" i="10" s="1"/>
  <c r="G153" i="10"/>
  <c r="E153" i="10"/>
  <c r="F153" i="10" s="1"/>
  <c r="G152" i="10"/>
  <c r="H152" i="10" s="1"/>
  <c r="E152" i="10"/>
  <c r="F152" i="10" s="1"/>
  <c r="G151" i="10"/>
  <c r="E151" i="10"/>
  <c r="F151" i="10" s="1"/>
  <c r="G150" i="10"/>
  <c r="E150" i="10"/>
  <c r="F150" i="10" s="1"/>
  <c r="G149" i="10"/>
  <c r="E149" i="10"/>
  <c r="F149" i="10" s="1"/>
  <c r="G148" i="10"/>
  <c r="H148" i="10" s="1"/>
  <c r="E148" i="10"/>
  <c r="F148" i="10" s="1"/>
  <c r="G147" i="10"/>
  <c r="E147" i="10"/>
  <c r="F147" i="10" s="1"/>
  <c r="G146" i="10"/>
  <c r="E146" i="10"/>
  <c r="F146" i="10" s="1"/>
  <c r="G145" i="10"/>
  <c r="E145" i="10"/>
  <c r="F145" i="10" s="1"/>
  <c r="G144" i="10"/>
  <c r="E144" i="10"/>
  <c r="F144" i="10" s="1"/>
  <c r="G143" i="10"/>
  <c r="E143" i="10"/>
  <c r="F143" i="10" s="1"/>
  <c r="G142" i="10"/>
  <c r="E142" i="10"/>
  <c r="F142" i="10" s="1"/>
  <c r="G141" i="10"/>
  <c r="E141" i="10"/>
  <c r="F141" i="10" s="1"/>
  <c r="G140" i="10"/>
  <c r="E140" i="10"/>
  <c r="F140" i="10" s="1"/>
  <c r="G139" i="10"/>
  <c r="E139" i="10"/>
  <c r="F139" i="10" s="1"/>
  <c r="G138" i="10"/>
  <c r="E138" i="10"/>
  <c r="F138" i="10" s="1"/>
  <c r="G137" i="10"/>
  <c r="E137" i="10"/>
  <c r="F137" i="10" s="1"/>
  <c r="G136" i="10"/>
  <c r="E136" i="10"/>
  <c r="F136" i="10" s="1"/>
  <c r="G135" i="10"/>
  <c r="E135" i="10"/>
  <c r="F135" i="10" s="1"/>
  <c r="G134" i="10"/>
  <c r="E134" i="10"/>
  <c r="F134" i="10" s="1"/>
  <c r="G133" i="10"/>
  <c r="E133" i="10"/>
  <c r="F133" i="10" s="1"/>
  <c r="G132" i="10"/>
  <c r="E132" i="10"/>
  <c r="F132" i="10" s="1"/>
  <c r="G131" i="10"/>
  <c r="E131" i="10"/>
  <c r="F131" i="10" s="1"/>
  <c r="G130" i="10"/>
  <c r="E130" i="10"/>
  <c r="F130" i="10" s="1"/>
  <c r="G129" i="10"/>
  <c r="E129" i="10"/>
  <c r="F129" i="10" s="1"/>
  <c r="G128" i="10"/>
  <c r="E128" i="10"/>
  <c r="F128" i="10" s="1"/>
  <c r="G127" i="10"/>
  <c r="E127" i="10"/>
  <c r="F127" i="10" s="1"/>
  <c r="G126" i="10"/>
  <c r="E126" i="10"/>
  <c r="F126" i="10" s="1"/>
  <c r="G125" i="10"/>
  <c r="E125" i="10"/>
  <c r="F125" i="10" s="1"/>
  <c r="G124" i="10"/>
  <c r="H124" i="10" s="1"/>
  <c r="F124" i="10"/>
  <c r="E124" i="10"/>
  <c r="G123" i="10"/>
  <c r="E123" i="10"/>
  <c r="F123" i="10" s="1"/>
  <c r="G122" i="10"/>
  <c r="H122" i="10" s="1"/>
  <c r="E122" i="10"/>
  <c r="F122" i="10" s="1"/>
  <c r="G121" i="10"/>
  <c r="E121" i="10"/>
  <c r="F121" i="10" s="1"/>
  <c r="G120" i="10"/>
  <c r="H120" i="10" s="1"/>
  <c r="E120" i="10"/>
  <c r="F120" i="10" s="1"/>
  <c r="G119" i="10"/>
  <c r="E119" i="10"/>
  <c r="F119" i="10" s="1"/>
  <c r="G118" i="10"/>
  <c r="E118" i="10"/>
  <c r="G117" i="10"/>
  <c r="E117" i="10"/>
  <c r="F117" i="10" s="1"/>
  <c r="G116" i="10"/>
  <c r="H116" i="10" s="1"/>
  <c r="F116" i="10"/>
  <c r="E116" i="10"/>
  <c r="G115" i="10"/>
  <c r="E115" i="10"/>
  <c r="F115" i="10" s="1"/>
  <c r="G114" i="10"/>
  <c r="E114" i="10"/>
  <c r="F114" i="10" s="1"/>
  <c r="G113" i="10"/>
  <c r="E113" i="10"/>
  <c r="F113" i="10" s="1"/>
  <c r="G112" i="10"/>
  <c r="H112" i="10" s="1"/>
  <c r="E112" i="10"/>
  <c r="F112" i="10" s="1"/>
  <c r="G111" i="10"/>
  <c r="E111" i="10"/>
  <c r="F111" i="10" s="1"/>
  <c r="G110" i="10"/>
  <c r="E110" i="10"/>
  <c r="F110" i="10" s="1"/>
  <c r="G109" i="10"/>
  <c r="E109" i="10"/>
  <c r="F109" i="10" s="1"/>
  <c r="G108" i="10"/>
  <c r="E108" i="10"/>
  <c r="F108" i="10" s="1"/>
  <c r="G107" i="10"/>
  <c r="E107" i="10"/>
  <c r="F107" i="10" s="1"/>
  <c r="G106" i="10"/>
  <c r="E106" i="10"/>
  <c r="F106" i="10" s="1"/>
  <c r="G105" i="10"/>
  <c r="E105" i="10"/>
  <c r="F105" i="10" s="1"/>
  <c r="G104" i="10"/>
  <c r="E104" i="10"/>
  <c r="F104" i="10" s="1"/>
  <c r="G103" i="10"/>
  <c r="E103" i="10"/>
  <c r="F103" i="10" s="1"/>
  <c r="G102" i="10"/>
  <c r="E102" i="10"/>
  <c r="F102" i="10" s="1"/>
  <c r="G101" i="10"/>
  <c r="H101" i="10" s="1"/>
  <c r="E101" i="10"/>
  <c r="F101" i="10" s="1"/>
  <c r="G100" i="10"/>
  <c r="H100" i="10" s="1"/>
  <c r="E100" i="10"/>
  <c r="F100" i="10" s="1"/>
  <c r="G99" i="10"/>
  <c r="E99" i="10"/>
  <c r="F99" i="10" s="1"/>
  <c r="G98" i="10"/>
  <c r="E98" i="10"/>
  <c r="F98" i="10" s="1"/>
  <c r="G97" i="10"/>
  <c r="E97" i="10"/>
  <c r="F97" i="10" s="1"/>
  <c r="G96" i="10"/>
  <c r="H96" i="10" s="1"/>
  <c r="E96" i="10"/>
  <c r="F96" i="10" s="1"/>
  <c r="G95" i="10"/>
  <c r="E95" i="10"/>
  <c r="F95" i="10" s="1"/>
  <c r="G94" i="10"/>
  <c r="E94" i="10"/>
  <c r="F94" i="10" s="1"/>
  <c r="G93" i="10"/>
  <c r="E93" i="10"/>
  <c r="F93" i="10" s="1"/>
  <c r="G92" i="10"/>
  <c r="E92" i="10"/>
  <c r="F92" i="10" s="1"/>
  <c r="G91" i="10"/>
  <c r="E91" i="10"/>
  <c r="F91" i="10" s="1"/>
  <c r="G90" i="10"/>
  <c r="H90" i="10" s="1"/>
  <c r="E90" i="10"/>
  <c r="F90" i="10" s="1"/>
  <c r="G89" i="10"/>
  <c r="E89" i="10"/>
  <c r="F89" i="10" s="1"/>
  <c r="G88" i="10"/>
  <c r="E88" i="10"/>
  <c r="F88" i="10" s="1"/>
  <c r="G87" i="10"/>
  <c r="E87" i="10"/>
  <c r="F87" i="10" s="1"/>
  <c r="G86" i="10"/>
  <c r="E86" i="10"/>
  <c r="F86" i="10" s="1"/>
  <c r="G85" i="10"/>
  <c r="E85" i="10"/>
  <c r="F85" i="10" s="1"/>
  <c r="G84" i="10"/>
  <c r="H84" i="10" s="1"/>
  <c r="E84" i="10"/>
  <c r="F84" i="10" s="1"/>
  <c r="G83" i="10"/>
  <c r="E83" i="10"/>
  <c r="F83" i="10" s="1"/>
  <c r="G82" i="10"/>
  <c r="H82" i="10" s="1"/>
  <c r="E82" i="10"/>
  <c r="F82" i="10" s="1"/>
  <c r="G81" i="10"/>
  <c r="E81" i="10"/>
  <c r="F81" i="10" s="1"/>
  <c r="G80" i="10"/>
  <c r="H80" i="10" s="1"/>
  <c r="E80" i="10"/>
  <c r="F80" i="10" s="1"/>
  <c r="G79" i="10"/>
  <c r="E79" i="10"/>
  <c r="F79" i="10" s="1"/>
  <c r="G78" i="10"/>
  <c r="E78" i="10"/>
  <c r="F78" i="10" s="1"/>
  <c r="G77" i="10"/>
  <c r="E77" i="10"/>
  <c r="F77" i="10" s="1"/>
  <c r="G76" i="10"/>
  <c r="E76" i="10"/>
  <c r="F76" i="10" s="1"/>
  <c r="G75" i="10"/>
  <c r="E75" i="10"/>
  <c r="F75" i="10" s="1"/>
  <c r="G74" i="10"/>
  <c r="E74" i="10"/>
  <c r="F74" i="10" s="1"/>
  <c r="G73" i="10"/>
  <c r="E73" i="10"/>
  <c r="F73" i="10" s="1"/>
  <c r="G72" i="10"/>
  <c r="E72" i="10"/>
  <c r="F72" i="10" s="1"/>
  <c r="G71" i="10"/>
  <c r="E71" i="10"/>
  <c r="F71" i="10" s="1"/>
  <c r="G70" i="10"/>
  <c r="H70" i="10" s="1"/>
  <c r="E70" i="10"/>
  <c r="F70" i="10" s="1"/>
  <c r="G69" i="10"/>
  <c r="E69" i="10"/>
  <c r="F69" i="10" s="1"/>
  <c r="G68" i="10"/>
  <c r="H68" i="10" s="1"/>
  <c r="E68" i="10"/>
  <c r="F68" i="10" s="1"/>
  <c r="G67" i="10"/>
  <c r="E67" i="10"/>
  <c r="F67" i="10" s="1"/>
  <c r="G66" i="10"/>
  <c r="H66" i="10" s="1"/>
  <c r="E66" i="10"/>
  <c r="F66" i="10" s="1"/>
  <c r="G65" i="10"/>
  <c r="E65" i="10"/>
  <c r="F65" i="10" s="1"/>
  <c r="G64" i="10"/>
  <c r="E64" i="10"/>
  <c r="F64" i="10" s="1"/>
  <c r="G63" i="10"/>
  <c r="E63" i="10"/>
  <c r="F63" i="10" s="1"/>
  <c r="G62" i="10"/>
  <c r="E62" i="10"/>
  <c r="F62" i="10" s="1"/>
  <c r="G61" i="10"/>
  <c r="E61" i="10"/>
  <c r="F61" i="10" s="1"/>
  <c r="G60" i="10"/>
  <c r="E60" i="10"/>
  <c r="F60" i="10" s="1"/>
  <c r="G59" i="10"/>
  <c r="E59" i="10"/>
  <c r="F59" i="10" s="1"/>
  <c r="G58" i="10"/>
  <c r="E58" i="10"/>
  <c r="F58" i="10" s="1"/>
  <c r="G57" i="10"/>
  <c r="E57" i="10"/>
  <c r="F57" i="10" s="1"/>
  <c r="G56" i="10"/>
  <c r="E56" i="10"/>
  <c r="F56" i="10" s="1"/>
  <c r="G55" i="10"/>
  <c r="F55" i="10"/>
  <c r="E55" i="10"/>
  <c r="G54" i="10"/>
  <c r="E54" i="10"/>
  <c r="H54" i="10" s="1"/>
  <c r="G53" i="10"/>
  <c r="E53" i="10"/>
  <c r="F53" i="10" s="1"/>
  <c r="G52" i="10"/>
  <c r="H52" i="10" s="1"/>
  <c r="F52" i="10"/>
  <c r="E52" i="10"/>
  <c r="G51" i="10"/>
  <c r="E51" i="10"/>
  <c r="F51" i="10" s="1"/>
  <c r="G50" i="10"/>
  <c r="E50" i="10"/>
  <c r="F50" i="10" s="1"/>
  <c r="G49" i="10"/>
  <c r="E49" i="10"/>
  <c r="F49" i="10" s="1"/>
  <c r="G48" i="10"/>
  <c r="H48" i="10" s="1"/>
  <c r="E48" i="10"/>
  <c r="F48" i="10" s="1"/>
  <c r="G47" i="10"/>
  <c r="E47" i="10"/>
  <c r="F47" i="10" s="1"/>
  <c r="G46" i="10"/>
  <c r="E46" i="10"/>
  <c r="F46" i="10" s="1"/>
  <c r="G45" i="10"/>
  <c r="E45" i="10"/>
  <c r="F45" i="10" s="1"/>
  <c r="G44" i="10"/>
  <c r="E44" i="10"/>
  <c r="F44" i="10" s="1"/>
  <c r="G43" i="10"/>
  <c r="E43" i="10"/>
  <c r="F43" i="10" s="1"/>
  <c r="G42" i="10"/>
  <c r="H42" i="10" s="1"/>
  <c r="E42" i="10"/>
  <c r="F42" i="10" s="1"/>
  <c r="G41" i="10"/>
  <c r="E41" i="10"/>
  <c r="F41" i="10" s="1"/>
  <c r="G40" i="10"/>
  <c r="E40" i="10"/>
  <c r="F40" i="10" s="1"/>
  <c r="G39" i="10"/>
  <c r="E39" i="10"/>
  <c r="F39" i="10" s="1"/>
  <c r="G38" i="10"/>
  <c r="E38" i="10"/>
  <c r="F38" i="10" s="1"/>
  <c r="G37" i="10"/>
  <c r="E37" i="10"/>
  <c r="F37" i="10" s="1"/>
  <c r="G36" i="10"/>
  <c r="E36" i="10"/>
  <c r="F36" i="10" s="1"/>
  <c r="G35" i="10"/>
  <c r="F35" i="10"/>
  <c r="E35" i="10"/>
  <c r="G34" i="10"/>
  <c r="F34" i="10"/>
  <c r="E34" i="10"/>
  <c r="G33" i="10"/>
  <c r="E33" i="10"/>
  <c r="F33" i="10" s="1"/>
  <c r="G32" i="10"/>
  <c r="H32" i="10" s="1"/>
  <c r="E32" i="10"/>
  <c r="F32" i="10" s="1"/>
  <c r="G31" i="10"/>
  <c r="E31" i="10"/>
  <c r="F31" i="10" s="1"/>
  <c r="G30" i="10"/>
  <c r="H30" i="10" s="1"/>
  <c r="E30" i="10"/>
  <c r="F30" i="10" s="1"/>
  <c r="G29" i="10"/>
  <c r="E29" i="10"/>
  <c r="F29" i="10" s="1"/>
  <c r="G28" i="10"/>
  <c r="H28" i="10" s="1"/>
  <c r="E28" i="10"/>
  <c r="F28" i="10" s="1"/>
  <c r="G27" i="10"/>
  <c r="F27" i="10"/>
  <c r="E27" i="10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H22" i="10" s="1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6" i="10"/>
  <c r="E16" i="10"/>
  <c r="F16" i="10" s="1"/>
  <c r="G15" i="10"/>
  <c r="F15" i="10"/>
  <c r="E15" i="10"/>
  <c r="G14" i="10"/>
  <c r="F14" i="10"/>
  <c r="E14" i="10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E7" i="10"/>
  <c r="G157" i="9"/>
  <c r="E157" i="9"/>
  <c r="F157" i="9" s="1"/>
  <c r="G156" i="9"/>
  <c r="E156" i="9"/>
  <c r="F156" i="9" s="1"/>
  <c r="G155" i="9"/>
  <c r="E155" i="9"/>
  <c r="F155" i="9" s="1"/>
  <c r="H154" i="9"/>
  <c r="G154" i="9"/>
  <c r="E154" i="9"/>
  <c r="F154" i="9" s="1"/>
  <c r="G153" i="9"/>
  <c r="E153" i="9"/>
  <c r="F153" i="9" s="1"/>
  <c r="G152" i="9"/>
  <c r="E152" i="9"/>
  <c r="F152" i="9" s="1"/>
  <c r="G151" i="9"/>
  <c r="E151" i="9"/>
  <c r="F151" i="9" s="1"/>
  <c r="G150" i="9"/>
  <c r="E150" i="9"/>
  <c r="F150" i="9" s="1"/>
  <c r="G149" i="9"/>
  <c r="E149" i="9"/>
  <c r="F149" i="9" s="1"/>
  <c r="G148" i="9"/>
  <c r="E148" i="9"/>
  <c r="F148" i="9" s="1"/>
  <c r="G147" i="9"/>
  <c r="E147" i="9"/>
  <c r="F147" i="9" s="1"/>
  <c r="G146" i="9"/>
  <c r="E146" i="9"/>
  <c r="G145" i="9"/>
  <c r="E145" i="9"/>
  <c r="F145" i="9" s="1"/>
  <c r="G144" i="9"/>
  <c r="E144" i="9"/>
  <c r="F144" i="9" s="1"/>
  <c r="G143" i="9"/>
  <c r="E143" i="9"/>
  <c r="F143" i="9" s="1"/>
  <c r="G142" i="9"/>
  <c r="E142" i="9"/>
  <c r="F142" i="9" s="1"/>
  <c r="G141" i="9"/>
  <c r="E141" i="9"/>
  <c r="F141" i="9" s="1"/>
  <c r="G140" i="9"/>
  <c r="E140" i="9"/>
  <c r="F140" i="9" s="1"/>
  <c r="G139" i="9"/>
  <c r="E139" i="9"/>
  <c r="F139" i="9" s="1"/>
  <c r="G138" i="9"/>
  <c r="E138" i="9"/>
  <c r="F138" i="9" s="1"/>
  <c r="G137" i="9"/>
  <c r="E137" i="9"/>
  <c r="F137" i="9" s="1"/>
  <c r="G136" i="9"/>
  <c r="E136" i="9"/>
  <c r="F136" i="9" s="1"/>
  <c r="G135" i="9"/>
  <c r="E135" i="9"/>
  <c r="F135" i="9" s="1"/>
  <c r="G134" i="9"/>
  <c r="E134" i="9"/>
  <c r="F134" i="9" s="1"/>
  <c r="G133" i="9"/>
  <c r="E133" i="9"/>
  <c r="F133" i="9" s="1"/>
  <c r="G132" i="9"/>
  <c r="E132" i="9"/>
  <c r="F132" i="9" s="1"/>
  <c r="G131" i="9"/>
  <c r="E131" i="9"/>
  <c r="F131" i="9" s="1"/>
  <c r="G130" i="9"/>
  <c r="E130" i="9"/>
  <c r="G129" i="9"/>
  <c r="E129" i="9"/>
  <c r="F129" i="9" s="1"/>
  <c r="G128" i="9"/>
  <c r="E128" i="9"/>
  <c r="F128" i="9" s="1"/>
  <c r="G127" i="9"/>
  <c r="E127" i="9"/>
  <c r="F127" i="9" s="1"/>
  <c r="G126" i="9"/>
  <c r="E126" i="9"/>
  <c r="F126" i="9" s="1"/>
  <c r="G125" i="9"/>
  <c r="E125" i="9"/>
  <c r="F125" i="9" s="1"/>
  <c r="G124" i="9"/>
  <c r="E124" i="9"/>
  <c r="F124" i="9" s="1"/>
  <c r="G123" i="9"/>
  <c r="E123" i="9"/>
  <c r="F123" i="9" s="1"/>
  <c r="G122" i="9"/>
  <c r="E122" i="9"/>
  <c r="F122" i="9" s="1"/>
  <c r="G121" i="9"/>
  <c r="E121" i="9"/>
  <c r="F121" i="9" s="1"/>
  <c r="G120" i="9"/>
  <c r="E120" i="9"/>
  <c r="F120" i="9" s="1"/>
  <c r="G119" i="9"/>
  <c r="E119" i="9"/>
  <c r="F119" i="9" s="1"/>
  <c r="G118" i="9"/>
  <c r="E118" i="9"/>
  <c r="F118" i="9" s="1"/>
  <c r="G117" i="9"/>
  <c r="E117" i="9"/>
  <c r="F117" i="9" s="1"/>
  <c r="G116" i="9"/>
  <c r="E116" i="9"/>
  <c r="F116" i="9" s="1"/>
  <c r="G115" i="9"/>
  <c r="E115" i="9"/>
  <c r="F115" i="9" s="1"/>
  <c r="G114" i="9"/>
  <c r="E114" i="9"/>
  <c r="G113" i="9"/>
  <c r="E113" i="9"/>
  <c r="F113" i="9" s="1"/>
  <c r="G112" i="9"/>
  <c r="E112" i="9"/>
  <c r="F112" i="9" s="1"/>
  <c r="G111" i="9"/>
  <c r="E111" i="9"/>
  <c r="F111" i="9" s="1"/>
  <c r="G110" i="9"/>
  <c r="E110" i="9"/>
  <c r="F110" i="9" s="1"/>
  <c r="G109" i="9"/>
  <c r="E109" i="9"/>
  <c r="F109" i="9" s="1"/>
  <c r="G108" i="9"/>
  <c r="E108" i="9"/>
  <c r="F108" i="9" s="1"/>
  <c r="G107" i="9"/>
  <c r="E107" i="9"/>
  <c r="F107" i="9" s="1"/>
  <c r="G106" i="9"/>
  <c r="E106" i="9"/>
  <c r="F106" i="9" s="1"/>
  <c r="G105" i="9"/>
  <c r="E105" i="9"/>
  <c r="F105" i="9" s="1"/>
  <c r="G104" i="9"/>
  <c r="E104" i="9"/>
  <c r="G103" i="9"/>
  <c r="E103" i="9"/>
  <c r="F103" i="9" s="1"/>
  <c r="G102" i="9"/>
  <c r="E102" i="9"/>
  <c r="F102" i="9" s="1"/>
  <c r="G101" i="9"/>
  <c r="E101" i="9"/>
  <c r="F101" i="9" s="1"/>
  <c r="G100" i="9"/>
  <c r="E100" i="9"/>
  <c r="F100" i="9" s="1"/>
  <c r="G99" i="9"/>
  <c r="E99" i="9"/>
  <c r="F99" i="9" s="1"/>
  <c r="G98" i="9"/>
  <c r="E98" i="9"/>
  <c r="G97" i="9"/>
  <c r="E97" i="9"/>
  <c r="F97" i="9" s="1"/>
  <c r="G96" i="9"/>
  <c r="E96" i="9"/>
  <c r="F96" i="9" s="1"/>
  <c r="G95" i="9"/>
  <c r="E95" i="9"/>
  <c r="F95" i="9" s="1"/>
  <c r="G94" i="9"/>
  <c r="E94" i="9"/>
  <c r="G93" i="9"/>
  <c r="E93" i="9"/>
  <c r="F93" i="9" s="1"/>
  <c r="G92" i="9"/>
  <c r="E92" i="9"/>
  <c r="G91" i="9"/>
  <c r="E91" i="9"/>
  <c r="F91" i="9" s="1"/>
  <c r="G90" i="9"/>
  <c r="H90" i="9" s="1"/>
  <c r="E90" i="9"/>
  <c r="F90" i="9" s="1"/>
  <c r="G89" i="9"/>
  <c r="E89" i="9"/>
  <c r="F89" i="9" s="1"/>
  <c r="G88" i="9"/>
  <c r="E88" i="9"/>
  <c r="F88" i="9" s="1"/>
  <c r="G87" i="9"/>
  <c r="E87" i="9"/>
  <c r="F87" i="9" s="1"/>
  <c r="G86" i="9"/>
  <c r="H86" i="9" s="1"/>
  <c r="E86" i="9"/>
  <c r="F86" i="9" s="1"/>
  <c r="G85" i="9"/>
  <c r="E85" i="9"/>
  <c r="F85" i="9" s="1"/>
  <c r="G84" i="9"/>
  <c r="E84" i="9"/>
  <c r="F84" i="9" s="1"/>
  <c r="G83" i="9"/>
  <c r="E83" i="9"/>
  <c r="F83" i="9" s="1"/>
  <c r="G82" i="9"/>
  <c r="E82" i="9"/>
  <c r="G81" i="9"/>
  <c r="E81" i="9"/>
  <c r="F81" i="9" s="1"/>
  <c r="G80" i="9"/>
  <c r="E80" i="9"/>
  <c r="F80" i="9" s="1"/>
  <c r="G79" i="9"/>
  <c r="E79" i="9"/>
  <c r="F79" i="9" s="1"/>
  <c r="G78" i="9"/>
  <c r="E78" i="9"/>
  <c r="F78" i="9" s="1"/>
  <c r="G77" i="9"/>
  <c r="E77" i="9"/>
  <c r="F77" i="9" s="1"/>
  <c r="G76" i="9"/>
  <c r="H76" i="9" s="1"/>
  <c r="E76" i="9"/>
  <c r="F76" i="9" s="1"/>
  <c r="G75" i="9"/>
  <c r="E75" i="9"/>
  <c r="F75" i="9" s="1"/>
  <c r="G74" i="9"/>
  <c r="H74" i="9" s="1"/>
  <c r="F74" i="9"/>
  <c r="E74" i="9"/>
  <c r="G73" i="9"/>
  <c r="E73" i="9"/>
  <c r="F73" i="9" s="1"/>
  <c r="G72" i="9"/>
  <c r="E72" i="9"/>
  <c r="F72" i="9" s="1"/>
  <c r="G71" i="9"/>
  <c r="E71" i="9"/>
  <c r="F71" i="9" s="1"/>
  <c r="G70" i="9"/>
  <c r="H70" i="9" s="1"/>
  <c r="E70" i="9"/>
  <c r="F70" i="9" s="1"/>
  <c r="G69" i="9"/>
  <c r="E69" i="9"/>
  <c r="F69" i="9" s="1"/>
  <c r="G68" i="9"/>
  <c r="E68" i="9"/>
  <c r="F68" i="9" s="1"/>
  <c r="G67" i="9"/>
  <c r="E67" i="9"/>
  <c r="F67" i="9" s="1"/>
  <c r="G66" i="9"/>
  <c r="E66" i="9"/>
  <c r="G65" i="9"/>
  <c r="E65" i="9"/>
  <c r="F65" i="9" s="1"/>
  <c r="G64" i="9"/>
  <c r="E64" i="9"/>
  <c r="F64" i="9" s="1"/>
  <c r="G63" i="9"/>
  <c r="E63" i="9"/>
  <c r="F63" i="9" s="1"/>
  <c r="G62" i="9"/>
  <c r="E62" i="9"/>
  <c r="F62" i="9" s="1"/>
  <c r="G61" i="9"/>
  <c r="H61" i="9" s="1"/>
  <c r="E61" i="9"/>
  <c r="F61" i="9" s="1"/>
  <c r="G60" i="9"/>
  <c r="E60" i="9"/>
  <c r="F60" i="9" s="1"/>
  <c r="G59" i="9"/>
  <c r="E59" i="9"/>
  <c r="F59" i="9" s="1"/>
  <c r="G58" i="9"/>
  <c r="E58" i="9"/>
  <c r="F58" i="9" s="1"/>
  <c r="G57" i="9"/>
  <c r="E57" i="9"/>
  <c r="F57" i="9" s="1"/>
  <c r="G56" i="9"/>
  <c r="E56" i="9"/>
  <c r="F56" i="9" s="1"/>
  <c r="G55" i="9"/>
  <c r="E55" i="9"/>
  <c r="F55" i="9" s="1"/>
  <c r="G54" i="9"/>
  <c r="E54" i="9"/>
  <c r="F54" i="9" s="1"/>
  <c r="G53" i="9"/>
  <c r="E53" i="9"/>
  <c r="F53" i="9" s="1"/>
  <c r="G52" i="9"/>
  <c r="E52" i="9"/>
  <c r="F52" i="9" s="1"/>
  <c r="G51" i="9"/>
  <c r="E51" i="9"/>
  <c r="F51" i="9" s="1"/>
  <c r="G50" i="9"/>
  <c r="E50" i="9"/>
  <c r="G49" i="9"/>
  <c r="E49" i="9"/>
  <c r="F49" i="9" s="1"/>
  <c r="G48" i="9"/>
  <c r="E48" i="9"/>
  <c r="F48" i="9" s="1"/>
  <c r="G47" i="9"/>
  <c r="E47" i="9"/>
  <c r="F47" i="9" s="1"/>
  <c r="G46" i="9"/>
  <c r="E46" i="9"/>
  <c r="F46" i="9" s="1"/>
  <c r="G45" i="9"/>
  <c r="E45" i="9"/>
  <c r="F45" i="9" s="1"/>
  <c r="G44" i="9"/>
  <c r="E44" i="9"/>
  <c r="G43" i="9"/>
  <c r="E43" i="9"/>
  <c r="F43" i="9" s="1"/>
  <c r="G42" i="9"/>
  <c r="E42" i="9"/>
  <c r="F42" i="9" s="1"/>
  <c r="G41" i="9"/>
  <c r="E41" i="9"/>
  <c r="F41" i="9" s="1"/>
  <c r="G40" i="9"/>
  <c r="E40" i="9"/>
  <c r="G39" i="9"/>
  <c r="E39" i="9"/>
  <c r="F39" i="9" s="1"/>
  <c r="G38" i="9"/>
  <c r="E38" i="9"/>
  <c r="G37" i="9"/>
  <c r="E37" i="9"/>
  <c r="F37" i="9" s="1"/>
  <c r="G36" i="9"/>
  <c r="E36" i="9"/>
  <c r="F36" i="9" s="1"/>
  <c r="G35" i="9"/>
  <c r="E35" i="9"/>
  <c r="F35" i="9" s="1"/>
  <c r="G34" i="9"/>
  <c r="E34" i="9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G27" i="9"/>
  <c r="E27" i="9"/>
  <c r="F27" i="9" s="1"/>
  <c r="G26" i="9"/>
  <c r="E26" i="9"/>
  <c r="F26" i="9" s="1"/>
  <c r="G25" i="9"/>
  <c r="E25" i="9"/>
  <c r="F25" i="9" s="1"/>
  <c r="G24" i="9"/>
  <c r="H24" i="9" s="1"/>
  <c r="E24" i="9"/>
  <c r="F24" i="9" s="1"/>
  <c r="G23" i="9"/>
  <c r="E23" i="9"/>
  <c r="F23" i="9" s="1"/>
  <c r="G22" i="9"/>
  <c r="E22" i="9"/>
  <c r="F22" i="9" s="1"/>
  <c r="G21" i="9"/>
  <c r="F21" i="9"/>
  <c r="E21" i="9"/>
  <c r="G20" i="9"/>
  <c r="E20" i="9"/>
  <c r="F20" i="9" s="1"/>
  <c r="G19" i="9"/>
  <c r="H19" i="9" s="1"/>
  <c r="E19" i="9"/>
  <c r="F19" i="9" s="1"/>
  <c r="G18" i="9"/>
  <c r="E18" i="9"/>
  <c r="G17" i="9"/>
  <c r="E17" i="9"/>
  <c r="F17" i="9" s="1"/>
  <c r="G16" i="9"/>
  <c r="E16" i="9"/>
  <c r="F16" i="9" s="1"/>
  <c r="G15" i="9"/>
  <c r="E15" i="9"/>
  <c r="F15" i="9" s="1"/>
  <c r="G14" i="9"/>
  <c r="E14" i="9"/>
  <c r="F14" i="9" s="1"/>
  <c r="G13" i="9"/>
  <c r="H13" i="9" s="1"/>
  <c r="E13" i="9"/>
  <c r="F13" i="9" s="1"/>
  <c r="G12" i="9"/>
  <c r="E12" i="9"/>
  <c r="F12" i="9" s="1"/>
  <c r="G11" i="9"/>
  <c r="H11" i="9" s="1"/>
  <c r="E11" i="9"/>
  <c r="F11" i="9" s="1"/>
  <c r="G10" i="9"/>
  <c r="E10" i="9"/>
  <c r="F10" i="9" s="1"/>
  <c r="G9" i="9"/>
  <c r="E9" i="9"/>
  <c r="F9" i="9" s="1"/>
  <c r="G8" i="9"/>
  <c r="E8" i="9"/>
  <c r="F8" i="9" s="1"/>
  <c r="E7" i="9"/>
  <c r="H7" i="9" s="1"/>
  <c r="G157" i="8"/>
  <c r="E157" i="8"/>
  <c r="F157" i="8" s="1"/>
  <c r="G156" i="8"/>
  <c r="E156" i="8"/>
  <c r="G155" i="8"/>
  <c r="E155" i="8"/>
  <c r="F155" i="8" s="1"/>
  <c r="G154" i="8"/>
  <c r="E154" i="8"/>
  <c r="F154" i="8" s="1"/>
  <c r="G153" i="8"/>
  <c r="E153" i="8"/>
  <c r="F153" i="8" s="1"/>
  <c r="G152" i="8"/>
  <c r="E152" i="8"/>
  <c r="F152" i="8" s="1"/>
  <c r="G151" i="8"/>
  <c r="E151" i="8"/>
  <c r="F151" i="8" s="1"/>
  <c r="G150" i="8"/>
  <c r="E150" i="8"/>
  <c r="G149" i="8"/>
  <c r="E149" i="8"/>
  <c r="F149" i="8" s="1"/>
  <c r="G148" i="8"/>
  <c r="E148" i="8"/>
  <c r="F148" i="8" s="1"/>
  <c r="G147" i="8"/>
  <c r="E147" i="8"/>
  <c r="F147" i="8" s="1"/>
  <c r="G146" i="8"/>
  <c r="E146" i="8"/>
  <c r="G145" i="8"/>
  <c r="E145" i="8"/>
  <c r="F145" i="8" s="1"/>
  <c r="G144" i="8"/>
  <c r="H144" i="8" s="1"/>
  <c r="E144" i="8"/>
  <c r="F144" i="8" s="1"/>
  <c r="G143" i="8"/>
  <c r="E143" i="8"/>
  <c r="F143" i="8" s="1"/>
  <c r="G142" i="8"/>
  <c r="E142" i="8"/>
  <c r="F142" i="8" s="1"/>
  <c r="G141" i="8"/>
  <c r="E141" i="8"/>
  <c r="F141" i="8" s="1"/>
  <c r="G140" i="8"/>
  <c r="E140" i="8"/>
  <c r="G139" i="8"/>
  <c r="E139" i="8"/>
  <c r="F139" i="8" s="1"/>
  <c r="G138" i="8"/>
  <c r="E138" i="8"/>
  <c r="G137" i="8"/>
  <c r="H137" i="8" s="1"/>
  <c r="E137" i="8"/>
  <c r="F137" i="8" s="1"/>
  <c r="G136" i="8"/>
  <c r="E136" i="8"/>
  <c r="F136" i="8" s="1"/>
  <c r="G135" i="8"/>
  <c r="E135" i="8"/>
  <c r="F135" i="8" s="1"/>
  <c r="G134" i="8"/>
  <c r="E134" i="8"/>
  <c r="G133" i="8"/>
  <c r="E133" i="8"/>
  <c r="F133" i="8" s="1"/>
  <c r="G132" i="8"/>
  <c r="H132" i="8" s="1"/>
  <c r="E132" i="8"/>
  <c r="F132" i="8" s="1"/>
  <c r="G131" i="8"/>
  <c r="E131" i="8"/>
  <c r="F131" i="8" s="1"/>
  <c r="G130" i="8"/>
  <c r="E130" i="8"/>
  <c r="F130" i="8" s="1"/>
  <c r="G129" i="8"/>
  <c r="E129" i="8"/>
  <c r="F129" i="8" s="1"/>
  <c r="G128" i="8"/>
  <c r="E128" i="8"/>
  <c r="G127" i="8"/>
  <c r="E127" i="8"/>
  <c r="F127" i="8" s="1"/>
  <c r="G126" i="8"/>
  <c r="E126" i="8"/>
  <c r="F126" i="8" s="1"/>
  <c r="G125" i="8"/>
  <c r="H125" i="8" s="1"/>
  <c r="E125" i="8"/>
  <c r="F125" i="8" s="1"/>
  <c r="G124" i="8"/>
  <c r="E124" i="8"/>
  <c r="G123" i="8"/>
  <c r="E123" i="8"/>
  <c r="F123" i="8" s="1"/>
  <c r="G122" i="8"/>
  <c r="E122" i="8"/>
  <c r="F122" i="8" s="1"/>
  <c r="G121" i="8"/>
  <c r="H121" i="8" s="1"/>
  <c r="F121" i="8"/>
  <c r="E121" i="8"/>
  <c r="G120" i="8"/>
  <c r="E120" i="8"/>
  <c r="F120" i="8" s="1"/>
  <c r="G119" i="8"/>
  <c r="E119" i="8"/>
  <c r="F119" i="8" s="1"/>
  <c r="G118" i="8"/>
  <c r="E118" i="8"/>
  <c r="F118" i="8" s="1"/>
  <c r="G117" i="8"/>
  <c r="E117" i="8"/>
  <c r="F117" i="8" s="1"/>
  <c r="G116" i="8"/>
  <c r="E116" i="8"/>
  <c r="F116" i="8" s="1"/>
  <c r="G115" i="8"/>
  <c r="E115" i="8"/>
  <c r="F115" i="8" s="1"/>
  <c r="G114" i="8"/>
  <c r="E114" i="8"/>
  <c r="G113" i="8"/>
  <c r="E113" i="8"/>
  <c r="F113" i="8" s="1"/>
  <c r="G112" i="8"/>
  <c r="E112" i="8"/>
  <c r="F112" i="8" s="1"/>
  <c r="G111" i="8"/>
  <c r="E111" i="8"/>
  <c r="H111" i="8" s="1"/>
  <c r="G110" i="8"/>
  <c r="E110" i="8"/>
  <c r="F110" i="8" s="1"/>
  <c r="G109" i="8"/>
  <c r="E109" i="8"/>
  <c r="F109" i="8" s="1"/>
  <c r="G108" i="8"/>
  <c r="E108" i="8"/>
  <c r="G107" i="8"/>
  <c r="E107" i="8"/>
  <c r="F107" i="8" s="1"/>
  <c r="G106" i="8"/>
  <c r="E106" i="8"/>
  <c r="F106" i="8" s="1"/>
  <c r="G105" i="8"/>
  <c r="E105" i="8"/>
  <c r="F105" i="8" s="1"/>
  <c r="G104" i="8"/>
  <c r="E104" i="8"/>
  <c r="F104" i="8" s="1"/>
  <c r="G103" i="8"/>
  <c r="E103" i="8"/>
  <c r="F103" i="8" s="1"/>
  <c r="G102" i="8"/>
  <c r="E102" i="8"/>
  <c r="G101" i="8"/>
  <c r="E101" i="8"/>
  <c r="F101" i="8" s="1"/>
  <c r="G100" i="8"/>
  <c r="E100" i="8"/>
  <c r="F100" i="8" s="1"/>
  <c r="G99" i="8"/>
  <c r="E99" i="8"/>
  <c r="F99" i="8" s="1"/>
  <c r="G98" i="8"/>
  <c r="E98" i="8"/>
  <c r="F98" i="8" s="1"/>
  <c r="G97" i="8"/>
  <c r="E97" i="8"/>
  <c r="F97" i="8" s="1"/>
  <c r="G96" i="8"/>
  <c r="E96" i="8"/>
  <c r="G95" i="8"/>
  <c r="E95" i="8"/>
  <c r="F95" i="8" s="1"/>
  <c r="G94" i="8"/>
  <c r="E94" i="8"/>
  <c r="F94" i="8" s="1"/>
  <c r="G93" i="8"/>
  <c r="E93" i="8"/>
  <c r="F93" i="8" s="1"/>
  <c r="G92" i="8"/>
  <c r="E92" i="8"/>
  <c r="G91" i="8"/>
  <c r="E91" i="8"/>
  <c r="F91" i="8" s="1"/>
  <c r="G90" i="8"/>
  <c r="E90" i="8"/>
  <c r="F90" i="8" s="1"/>
  <c r="G89" i="8"/>
  <c r="E89" i="8"/>
  <c r="F89" i="8" s="1"/>
  <c r="G88" i="8"/>
  <c r="E88" i="8"/>
  <c r="F88" i="8" s="1"/>
  <c r="G87" i="8"/>
  <c r="E87" i="8"/>
  <c r="F87" i="8" s="1"/>
  <c r="G86" i="8"/>
  <c r="E86" i="8"/>
  <c r="F86" i="8" s="1"/>
  <c r="G85" i="8"/>
  <c r="E85" i="8"/>
  <c r="F85" i="8" s="1"/>
  <c r="G84" i="8"/>
  <c r="E84" i="8"/>
  <c r="F84" i="8" s="1"/>
  <c r="G83" i="8"/>
  <c r="E83" i="8"/>
  <c r="F83" i="8" s="1"/>
  <c r="G82" i="8"/>
  <c r="E82" i="8"/>
  <c r="G81" i="8"/>
  <c r="E81" i="8"/>
  <c r="F81" i="8" s="1"/>
  <c r="G80" i="8"/>
  <c r="E80" i="8"/>
  <c r="F80" i="8" s="1"/>
  <c r="G79" i="8"/>
  <c r="E79" i="8"/>
  <c r="F79" i="8" s="1"/>
  <c r="G78" i="8"/>
  <c r="E78" i="8"/>
  <c r="F78" i="8" s="1"/>
  <c r="G77" i="8"/>
  <c r="E77" i="8"/>
  <c r="F77" i="8" s="1"/>
  <c r="G76" i="8"/>
  <c r="E76" i="8"/>
  <c r="G75" i="8"/>
  <c r="H75" i="8" s="1"/>
  <c r="F75" i="8"/>
  <c r="E75" i="8"/>
  <c r="G74" i="8"/>
  <c r="E74" i="8"/>
  <c r="G73" i="8"/>
  <c r="E73" i="8"/>
  <c r="F73" i="8" s="1"/>
  <c r="G72" i="8"/>
  <c r="E72" i="8"/>
  <c r="F72" i="8" s="1"/>
  <c r="G71" i="8"/>
  <c r="E71" i="8"/>
  <c r="F71" i="8" s="1"/>
  <c r="G70" i="8"/>
  <c r="E70" i="8"/>
  <c r="F70" i="8" s="1"/>
  <c r="G69" i="8"/>
  <c r="E69" i="8"/>
  <c r="F69" i="8" s="1"/>
  <c r="G68" i="8"/>
  <c r="E68" i="8"/>
  <c r="F68" i="8" s="1"/>
  <c r="G67" i="8"/>
  <c r="E67" i="8"/>
  <c r="F67" i="8" s="1"/>
  <c r="G66" i="8"/>
  <c r="E66" i="8"/>
  <c r="F66" i="8" s="1"/>
  <c r="G65" i="8"/>
  <c r="E65" i="8"/>
  <c r="F65" i="8" s="1"/>
  <c r="G64" i="8"/>
  <c r="E64" i="8"/>
  <c r="F64" i="8" s="1"/>
  <c r="G63" i="8"/>
  <c r="H63" i="8" s="1"/>
  <c r="E63" i="8"/>
  <c r="F63" i="8" s="1"/>
  <c r="G62" i="8"/>
  <c r="H62" i="8" s="1"/>
  <c r="E62" i="8"/>
  <c r="F62" i="8" s="1"/>
  <c r="G61" i="8"/>
  <c r="E61" i="8"/>
  <c r="F61" i="8" s="1"/>
  <c r="G60" i="8"/>
  <c r="E60" i="8"/>
  <c r="G59" i="8"/>
  <c r="H59" i="8" s="1"/>
  <c r="E59" i="8"/>
  <c r="F59" i="8" s="1"/>
  <c r="G58" i="8"/>
  <c r="E58" i="8"/>
  <c r="G57" i="8"/>
  <c r="E57" i="8"/>
  <c r="F57" i="8" s="1"/>
  <c r="G56" i="8"/>
  <c r="E56" i="8"/>
  <c r="F56" i="8" s="1"/>
  <c r="G55" i="8"/>
  <c r="F55" i="8"/>
  <c r="E55" i="8"/>
  <c r="G54" i="8"/>
  <c r="E54" i="8"/>
  <c r="F54" i="8" s="1"/>
  <c r="G53" i="8"/>
  <c r="E53" i="8"/>
  <c r="F53" i="8" s="1"/>
  <c r="G52" i="8"/>
  <c r="E52" i="8"/>
  <c r="F52" i="8" s="1"/>
  <c r="G51" i="8"/>
  <c r="E51" i="8"/>
  <c r="G50" i="8"/>
  <c r="E50" i="8"/>
  <c r="F50" i="8" s="1"/>
  <c r="G49" i="8"/>
  <c r="E49" i="8"/>
  <c r="F49" i="8" s="1"/>
  <c r="G48" i="8"/>
  <c r="E48" i="8"/>
  <c r="F48" i="8" s="1"/>
  <c r="G47" i="8"/>
  <c r="E47" i="8"/>
  <c r="F47" i="8" s="1"/>
  <c r="G46" i="8"/>
  <c r="E46" i="8"/>
  <c r="G45" i="8"/>
  <c r="E45" i="8"/>
  <c r="F45" i="8" s="1"/>
  <c r="G44" i="8"/>
  <c r="E44" i="8"/>
  <c r="G43" i="8"/>
  <c r="E43" i="8"/>
  <c r="F43" i="8" s="1"/>
  <c r="G42" i="8"/>
  <c r="E42" i="8"/>
  <c r="F42" i="8" s="1"/>
  <c r="G41" i="8"/>
  <c r="E41" i="8"/>
  <c r="F41" i="8" s="1"/>
  <c r="G40" i="8"/>
  <c r="H40" i="8" s="1"/>
  <c r="E40" i="8"/>
  <c r="F40" i="8" s="1"/>
  <c r="G39" i="8"/>
  <c r="E39" i="8"/>
  <c r="F39" i="8" s="1"/>
  <c r="G38" i="8"/>
  <c r="E38" i="8"/>
  <c r="F38" i="8" s="1"/>
  <c r="G37" i="8"/>
  <c r="E37" i="8"/>
  <c r="F37" i="8" s="1"/>
  <c r="G36" i="8"/>
  <c r="E36" i="8"/>
  <c r="F36" i="8" s="1"/>
  <c r="G35" i="8"/>
  <c r="E35" i="8"/>
  <c r="F35" i="8" s="1"/>
  <c r="G34" i="8"/>
  <c r="E34" i="8"/>
  <c r="G33" i="8"/>
  <c r="E33" i="8"/>
  <c r="F33" i="8" s="1"/>
  <c r="G32" i="8"/>
  <c r="E32" i="8"/>
  <c r="F32" i="8" s="1"/>
  <c r="G31" i="8"/>
  <c r="H31" i="8" s="1"/>
  <c r="E31" i="8"/>
  <c r="F31" i="8" s="1"/>
  <c r="G30" i="8"/>
  <c r="E30" i="8"/>
  <c r="F30" i="8" s="1"/>
  <c r="G29" i="8"/>
  <c r="E29" i="8"/>
  <c r="F29" i="8" s="1"/>
  <c r="G28" i="8"/>
  <c r="E28" i="8"/>
  <c r="G27" i="8"/>
  <c r="E27" i="8"/>
  <c r="F27" i="8" s="1"/>
  <c r="G26" i="8"/>
  <c r="E26" i="8"/>
  <c r="F26" i="8" s="1"/>
  <c r="G25" i="8"/>
  <c r="E25" i="8"/>
  <c r="F25" i="8" s="1"/>
  <c r="G24" i="8"/>
  <c r="E24" i="8"/>
  <c r="F24" i="8" s="1"/>
  <c r="G23" i="8"/>
  <c r="E23" i="8"/>
  <c r="F23" i="8" s="1"/>
  <c r="G22" i="8"/>
  <c r="E22" i="8"/>
  <c r="G21" i="8"/>
  <c r="E21" i="8"/>
  <c r="F21" i="8" s="1"/>
  <c r="G20" i="8"/>
  <c r="E20" i="8"/>
  <c r="F20" i="8" s="1"/>
  <c r="G19" i="8"/>
  <c r="E19" i="8"/>
  <c r="G18" i="8"/>
  <c r="E18" i="8"/>
  <c r="F18" i="8" s="1"/>
  <c r="G17" i="8"/>
  <c r="E17" i="8"/>
  <c r="F17" i="8" s="1"/>
  <c r="G16" i="8"/>
  <c r="E16" i="8"/>
  <c r="F16" i="8" s="1"/>
  <c r="G15" i="8"/>
  <c r="E15" i="8"/>
  <c r="H15" i="8" s="1"/>
  <c r="G14" i="8"/>
  <c r="E14" i="8"/>
  <c r="F14" i="8" s="1"/>
  <c r="G13" i="8"/>
  <c r="E13" i="8"/>
  <c r="F13" i="8" s="1"/>
  <c r="G12" i="8"/>
  <c r="E12" i="8"/>
  <c r="G11" i="8"/>
  <c r="E11" i="8"/>
  <c r="F11" i="8" s="1"/>
  <c r="G10" i="8"/>
  <c r="E10" i="8"/>
  <c r="G9" i="8"/>
  <c r="E9" i="8"/>
  <c r="F9" i="8" s="1"/>
  <c r="G8" i="8"/>
  <c r="E8" i="8"/>
  <c r="F8" i="8" s="1"/>
  <c r="E7" i="8"/>
  <c r="F7" i="8" s="1"/>
  <c r="G157" i="7"/>
  <c r="E157" i="7"/>
  <c r="G156" i="7"/>
  <c r="E156" i="7"/>
  <c r="F156" i="7" s="1"/>
  <c r="G155" i="7"/>
  <c r="E155" i="7"/>
  <c r="G154" i="7"/>
  <c r="E154" i="7"/>
  <c r="F154" i="7" s="1"/>
  <c r="G153" i="7"/>
  <c r="E153" i="7"/>
  <c r="G152" i="7"/>
  <c r="E152" i="7"/>
  <c r="F152" i="7" s="1"/>
  <c r="G151" i="7"/>
  <c r="E151" i="7"/>
  <c r="F151" i="7" s="1"/>
  <c r="G150" i="7"/>
  <c r="E150" i="7"/>
  <c r="F150" i="7" s="1"/>
  <c r="G149" i="7"/>
  <c r="E149" i="7"/>
  <c r="G148" i="7"/>
  <c r="E148" i="7"/>
  <c r="F148" i="7" s="1"/>
  <c r="G147" i="7"/>
  <c r="E147" i="7"/>
  <c r="F147" i="7" s="1"/>
  <c r="G146" i="7"/>
  <c r="E146" i="7"/>
  <c r="F146" i="7" s="1"/>
  <c r="G145" i="7"/>
  <c r="E145" i="7"/>
  <c r="G144" i="7"/>
  <c r="E144" i="7"/>
  <c r="F144" i="7" s="1"/>
  <c r="G143" i="7"/>
  <c r="E143" i="7"/>
  <c r="G142" i="7"/>
  <c r="E142" i="7"/>
  <c r="F142" i="7" s="1"/>
  <c r="G141" i="7"/>
  <c r="E141" i="7"/>
  <c r="G140" i="7"/>
  <c r="E140" i="7"/>
  <c r="F140" i="7" s="1"/>
  <c r="G139" i="7"/>
  <c r="E139" i="7"/>
  <c r="G138" i="7"/>
  <c r="E138" i="7"/>
  <c r="F138" i="7" s="1"/>
  <c r="G137" i="7"/>
  <c r="E137" i="7"/>
  <c r="G136" i="7"/>
  <c r="E136" i="7"/>
  <c r="F136" i="7" s="1"/>
  <c r="G135" i="7"/>
  <c r="E135" i="7"/>
  <c r="F135" i="7" s="1"/>
  <c r="G134" i="7"/>
  <c r="E134" i="7"/>
  <c r="F134" i="7" s="1"/>
  <c r="G133" i="7"/>
  <c r="E133" i="7"/>
  <c r="G132" i="7"/>
  <c r="E132" i="7"/>
  <c r="F132" i="7" s="1"/>
  <c r="G131" i="7"/>
  <c r="E131" i="7"/>
  <c r="G130" i="7"/>
  <c r="E130" i="7"/>
  <c r="F130" i="7" s="1"/>
  <c r="G129" i="7"/>
  <c r="E129" i="7"/>
  <c r="G128" i="7"/>
  <c r="E128" i="7"/>
  <c r="F128" i="7" s="1"/>
  <c r="G127" i="7"/>
  <c r="E127" i="7"/>
  <c r="F127" i="7" s="1"/>
  <c r="G126" i="7"/>
  <c r="E126" i="7"/>
  <c r="F126" i="7" s="1"/>
  <c r="G125" i="7"/>
  <c r="E125" i="7"/>
  <c r="F125" i="7" s="1"/>
  <c r="G124" i="7"/>
  <c r="E124" i="7"/>
  <c r="F124" i="7" s="1"/>
  <c r="G123" i="7"/>
  <c r="E123" i="7"/>
  <c r="F123" i="7" s="1"/>
  <c r="G122" i="7"/>
  <c r="E122" i="7"/>
  <c r="F122" i="7" s="1"/>
  <c r="G121" i="7"/>
  <c r="E121" i="7"/>
  <c r="F121" i="7" s="1"/>
  <c r="G120" i="7"/>
  <c r="E120" i="7"/>
  <c r="F120" i="7" s="1"/>
  <c r="G119" i="7"/>
  <c r="E119" i="7"/>
  <c r="F119" i="7" s="1"/>
  <c r="G118" i="7"/>
  <c r="E118" i="7"/>
  <c r="F118" i="7" s="1"/>
  <c r="G117" i="7"/>
  <c r="E117" i="7"/>
  <c r="F117" i="7" s="1"/>
  <c r="G116" i="7"/>
  <c r="E116" i="7"/>
  <c r="F116" i="7" s="1"/>
  <c r="G115" i="7"/>
  <c r="E115" i="7"/>
  <c r="F115" i="7" s="1"/>
  <c r="G114" i="7"/>
  <c r="E114" i="7"/>
  <c r="F114" i="7" s="1"/>
  <c r="G113" i="7"/>
  <c r="E113" i="7"/>
  <c r="F113" i="7" s="1"/>
  <c r="G112" i="7"/>
  <c r="E112" i="7"/>
  <c r="F112" i="7" s="1"/>
  <c r="G111" i="7"/>
  <c r="E111" i="7"/>
  <c r="F111" i="7" s="1"/>
  <c r="G110" i="7"/>
  <c r="E110" i="7"/>
  <c r="F110" i="7" s="1"/>
  <c r="G109" i="7"/>
  <c r="E109" i="7"/>
  <c r="G108" i="7"/>
  <c r="E108" i="7"/>
  <c r="F108" i="7" s="1"/>
  <c r="G107" i="7"/>
  <c r="E107" i="7"/>
  <c r="F107" i="7" s="1"/>
  <c r="G106" i="7"/>
  <c r="E106" i="7"/>
  <c r="F106" i="7" s="1"/>
  <c r="G105" i="7"/>
  <c r="E105" i="7"/>
  <c r="F105" i="7" s="1"/>
  <c r="G104" i="7"/>
  <c r="E104" i="7"/>
  <c r="F104" i="7" s="1"/>
  <c r="G103" i="7"/>
  <c r="E103" i="7"/>
  <c r="F103" i="7" s="1"/>
  <c r="G102" i="7"/>
  <c r="E102" i="7"/>
  <c r="F102" i="7" s="1"/>
  <c r="G101" i="7"/>
  <c r="E101" i="7"/>
  <c r="F101" i="7" s="1"/>
  <c r="G100" i="7"/>
  <c r="E100" i="7"/>
  <c r="F100" i="7" s="1"/>
  <c r="G99" i="7"/>
  <c r="E99" i="7"/>
  <c r="F99" i="7" s="1"/>
  <c r="G98" i="7"/>
  <c r="E98" i="7"/>
  <c r="F98" i="7" s="1"/>
  <c r="G97" i="7"/>
  <c r="E97" i="7"/>
  <c r="F97" i="7" s="1"/>
  <c r="G96" i="7"/>
  <c r="E96" i="7"/>
  <c r="F96" i="7" s="1"/>
  <c r="G95" i="7"/>
  <c r="H95" i="7" s="1"/>
  <c r="E95" i="7"/>
  <c r="F95" i="7" s="1"/>
  <c r="G94" i="7"/>
  <c r="E94" i="7"/>
  <c r="F94" i="7" s="1"/>
  <c r="G93" i="7"/>
  <c r="E93" i="7"/>
  <c r="G92" i="7"/>
  <c r="E92" i="7"/>
  <c r="F92" i="7" s="1"/>
  <c r="G91" i="7"/>
  <c r="E91" i="7"/>
  <c r="F91" i="7" s="1"/>
  <c r="G90" i="7"/>
  <c r="E90" i="7"/>
  <c r="F90" i="7" s="1"/>
  <c r="G89" i="7"/>
  <c r="E89" i="7"/>
  <c r="F89" i="7" s="1"/>
  <c r="G88" i="7"/>
  <c r="E88" i="7"/>
  <c r="F88" i="7" s="1"/>
  <c r="G87" i="7"/>
  <c r="E87" i="7"/>
  <c r="F87" i="7" s="1"/>
  <c r="G86" i="7"/>
  <c r="E86" i="7"/>
  <c r="F86" i="7" s="1"/>
  <c r="G85" i="7"/>
  <c r="E85" i="7"/>
  <c r="F85" i="7" s="1"/>
  <c r="G84" i="7"/>
  <c r="E84" i="7"/>
  <c r="F84" i="7" s="1"/>
  <c r="G83" i="7"/>
  <c r="E83" i="7"/>
  <c r="F83" i="7" s="1"/>
  <c r="G82" i="7"/>
  <c r="E82" i="7"/>
  <c r="F82" i="7" s="1"/>
  <c r="G81" i="7"/>
  <c r="E81" i="7"/>
  <c r="G80" i="7"/>
  <c r="E80" i="7"/>
  <c r="F80" i="7" s="1"/>
  <c r="G79" i="7"/>
  <c r="E79" i="7"/>
  <c r="F79" i="7" s="1"/>
  <c r="G78" i="7"/>
  <c r="E78" i="7"/>
  <c r="F78" i="7" s="1"/>
  <c r="G77" i="7"/>
  <c r="E77" i="7"/>
  <c r="F77" i="7" s="1"/>
  <c r="G76" i="7"/>
  <c r="E76" i="7"/>
  <c r="G75" i="7"/>
  <c r="E75" i="7"/>
  <c r="G74" i="7"/>
  <c r="E74" i="7"/>
  <c r="F74" i="7" s="1"/>
  <c r="G73" i="7"/>
  <c r="E73" i="7"/>
  <c r="F73" i="7" s="1"/>
  <c r="G72" i="7"/>
  <c r="E72" i="7"/>
  <c r="F72" i="7" s="1"/>
  <c r="G71" i="7"/>
  <c r="E71" i="7"/>
  <c r="F71" i="7" s="1"/>
  <c r="G70" i="7"/>
  <c r="E70" i="7"/>
  <c r="F70" i="7" s="1"/>
  <c r="G69" i="7"/>
  <c r="E69" i="7"/>
  <c r="F69" i="7" s="1"/>
  <c r="G68" i="7"/>
  <c r="E68" i="7"/>
  <c r="G67" i="7"/>
  <c r="E67" i="7"/>
  <c r="F67" i="7" s="1"/>
  <c r="G66" i="7"/>
  <c r="E66" i="7"/>
  <c r="F66" i="7" s="1"/>
  <c r="G65" i="7"/>
  <c r="E65" i="7"/>
  <c r="F65" i="7" s="1"/>
  <c r="G64" i="7"/>
  <c r="E64" i="7"/>
  <c r="F64" i="7" s="1"/>
  <c r="G63" i="7"/>
  <c r="E63" i="7"/>
  <c r="F63" i="7" s="1"/>
  <c r="G62" i="7"/>
  <c r="E62" i="7"/>
  <c r="F62" i="7" s="1"/>
  <c r="G61" i="7"/>
  <c r="E61" i="7"/>
  <c r="F61" i="7" s="1"/>
  <c r="G60" i="7"/>
  <c r="E60" i="7"/>
  <c r="F60" i="7" s="1"/>
  <c r="G59" i="7"/>
  <c r="E59" i="7"/>
  <c r="F59" i="7" s="1"/>
  <c r="G58" i="7"/>
  <c r="E58" i="7"/>
  <c r="F58" i="7" s="1"/>
  <c r="G57" i="7"/>
  <c r="E57" i="7"/>
  <c r="F57" i="7" s="1"/>
  <c r="G56" i="7"/>
  <c r="E56" i="7"/>
  <c r="F56" i="7" s="1"/>
  <c r="G55" i="7"/>
  <c r="E55" i="7"/>
  <c r="F55" i="7" s="1"/>
  <c r="G54" i="7"/>
  <c r="E54" i="7"/>
  <c r="F54" i="7" s="1"/>
  <c r="G53" i="7"/>
  <c r="E53" i="7"/>
  <c r="F53" i="7" s="1"/>
  <c r="G52" i="7"/>
  <c r="E52" i="7"/>
  <c r="G51" i="7"/>
  <c r="E51" i="7"/>
  <c r="F51" i="7" s="1"/>
  <c r="G50" i="7"/>
  <c r="E50" i="7"/>
  <c r="F50" i="7" s="1"/>
  <c r="G49" i="7"/>
  <c r="E49" i="7"/>
  <c r="G48" i="7"/>
  <c r="E48" i="7"/>
  <c r="G47" i="7"/>
  <c r="E47" i="7"/>
  <c r="F47" i="7" s="1"/>
  <c r="G46" i="7"/>
  <c r="E46" i="7"/>
  <c r="F46" i="7" s="1"/>
  <c r="G45" i="7"/>
  <c r="E45" i="7"/>
  <c r="F45" i="7" s="1"/>
  <c r="G44" i="7"/>
  <c r="E44" i="7"/>
  <c r="F44" i="7" s="1"/>
  <c r="G43" i="7"/>
  <c r="E43" i="7"/>
  <c r="F43" i="7" s="1"/>
  <c r="G42" i="7"/>
  <c r="H42" i="7" s="1"/>
  <c r="E42" i="7"/>
  <c r="F42" i="7" s="1"/>
  <c r="G41" i="7"/>
  <c r="E41" i="7"/>
  <c r="F41" i="7" s="1"/>
  <c r="G40" i="7"/>
  <c r="E40" i="7"/>
  <c r="G39" i="7"/>
  <c r="H39" i="7" s="1"/>
  <c r="E39" i="7"/>
  <c r="F39" i="7" s="1"/>
  <c r="G38" i="7"/>
  <c r="E38" i="7"/>
  <c r="F38" i="7" s="1"/>
  <c r="G37" i="7"/>
  <c r="E37" i="7"/>
  <c r="F37" i="7" s="1"/>
  <c r="G36" i="7"/>
  <c r="E36" i="7"/>
  <c r="F36" i="7" s="1"/>
  <c r="G35" i="7"/>
  <c r="H35" i="7" s="1"/>
  <c r="E35" i="7"/>
  <c r="F35" i="7" s="1"/>
  <c r="G34" i="7"/>
  <c r="E34" i="7"/>
  <c r="F34" i="7" s="1"/>
  <c r="G33" i="7"/>
  <c r="H33" i="7" s="1"/>
  <c r="E33" i="7"/>
  <c r="F33" i="7" s="1"/>
  <c r="G32" i="7"/>
  <c r="E32" i="7"/>
  <c r="F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G27" i="7"/>
  <c r="E27" i="7"/>
  <c r="F27" i="7" s="1"/>
  <c r="G26" i="7"/>
  <c r="E26" i="7"/>
  <c r="F26" i="7" s="1"/>
  <c r="G25" i="7"/>
  <c r="E25" i="7"/>
  <c r="G24" i="7"/>
  <c r="E24" i="7"/>
  <c r="F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G19" i="7"/>
  <c r="E19" i="7"/>
  <c r="G18" i="7"/>
  <c r="E18" i="7"/>
  <c r="F18" i="7" s="1"/>
  <c r="G17" i="7"/>
  <c r="E17" i="7"/>
  <c r="F17" i="7" s="1"/>
  <c r="G16" i="7"/>
  <c r="E16" i="7"/>
  <c r="F16" i="7" s="1"/>
  <c r="G15" i="7"/>
  <c r="E15" i="7"/>
  <c r="F15" i="7" s="1"/>
  <c r="G14" i="7"/>
  <c r="E14" i="7"/>
  <c r="F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E7" i="7"/>
  <c r="F7" i="7" s="1"/>
  <c r="E157" i="6"/>
  <c r="H157" i="6" s="1"/>
  <c r="E156" i="6"/>
  <c r="F156" i="6" s="1"/>
  <c r="E155" i="6"/>
  <c r="H155" i="6" s="1"/>
  <c r="E154" i="6"/>
  <c r="H154" i="6" s="1"/>
  <c r="E153" i="6"/>
  <c r="H153" i="6" s="1"/>
  <c r="E152" i="6"/>
  <c r="F152" i="6" s="1"/>
  <c r="E151" i="6"/>
  <c r="H151" i="6" s="1"/>
  <c r="E150" i="6"/>
  <c r="F150" i="6" s="1"/>
  <c r="E149" i="6"/>
  <c r="H149" i="6" s="1"/>
  <c r="E148" i="6"/>
  <c r="E147" i="6"/>
  <c r="H147" i="6" s="1"/>
  <c r="E146" i="6"/>
  <c r="H146" i="6" s="1"/>
  <c r="E145" i="6"/>
  <c r="H145" i="6" s="1"/>
  <c r="E144" i="6"/>
  <c r="E143" i="6"/>
  <c r="H143" i="6" s="1"/>
  <c r="E142" i="6"/>
  <c r="E141" i="6"/>
  <c r="H141" i="6" s="1"/>
  <c r="E140" i="6"/>
  <c r="F140" i="6" s="1"/>
  <c r="E139" i="6"/>
  <c r="H139" i="6" s="1"/>
  <c r="E138" i="6"/>
  <c r="H138" i="6" s="1"/>
  <c r="E137" i="6"/>
  <c r="H137" i="6" s="1"/>
  <c r="E136" i="6"/>
  <c r="F136" i="6" s="1"/>
  <c r="E135" i="6"/>
  <c r="H135" i="6" s="1"/>
  <c r="E134" i="6"/>
  <c r="F134" i="6" s="1"/>
  <c r="E133" i="6"/>
  <c r="H133" i="6" s="1"/>
  <c r="E132" i="6"/>
  <c r="H132" i="6" s="1"/>
  <c r="E131" i="6"/>
  <c r="H131" i="6" s="1"/>
  <c r="E130" i="6"/>
  <c r="H130" i="6" s="1"/>
  <c r="H129" i="6"/>
  <c r="E129" i="6"/>
  <c r="F129" i="6" s="1"/>
  <c r="E128" i="6"/>
  <c r="H127" i="6"/>
  <c r="E127" i="6"/>
  <c r="F127" i="6" s="1"/>
  <c r="E126" i="6"/>
  <c r="E125" i="6"/>
  <c r="F125" i="6" s="1"/>
  <c r="E124" i="6"/>
  <c r="H124" i="6" s="1"/>
  <c r="E123" i="6"/>
  <c r="F123" i="6" s="1"/>
  <c r="E122" i="6"/>
  <c r="E121" i="6"/>
  <c r="E120" i="6"/>
  <c r="H120" i="6" s="1"/>
  <c r="E119" i="6"/>
  <c r="E118" i="6"/>
  <c r="H118" i="6" s="1"/>
  <c r="E117" i="6"/>
  <c r="E116" i="6"/>
  <c r="E115" i="6"/>
  <c r="F115" i="6" s="1"/>
  <c r="E114" i="6"/>
  <c r="H114" i="6" s="1"/>
  <c r="E113" i="6"/>
  <c r="H113" i="6" s="1"/>
  <c r="E112" i="6"/>
  <c r="H112" i="6" s="1"/>
  <c r="E111" i="6"/>
  <c r="H111" i="6" s="1"/>
  <c r="E110" i="6"/>
  <c r="H110" i="6" s="1"/>
  <c r="E109" i="6"/>
  <c r="F109" i="6" s="1"/>
  <c r="E108" i="6"/>
  <c r="H108" i="6" s="1"/>
  <c r="E107" i="6"/>
  <c r="F107" i="6" s="1"/>
  <c r="E106" i="6"/>
  <c r="E105" i="6"/>
  <c r="H105" i="6" s="1"/>
  <c r="E104" i="6"/>
  <c r="H104" i="6" s="1"/>
  <c r="E103" i="6"/>
  <c r="E102" i="6"/>
  <c r="H102" i="6" s="1"/>
  <c r="E101" i="6"/>
  <c r="E100" i="6"/>
  <c r="E99" i="6"/>
  <c r="F99" i="6" s="1"/>
  <c r="E98" i="6"/>
  <c r="H98" i="6" s="1"/>
  <c r="E97" i="6"/>
  <c r="H97" i="6" s="1"/>
  <c r="E96" i="6"/>
  <c r="H96" i="6" s="1"/>
  <c r="E95" i="6"/>
  <c r="H95" i="6" s="1"/>
  <c r="E94" i="6"/>
  <c r="F94" i="6" s="1"/>
  <c r="E93" i="6"/>
  <c r="E92" i="6"/>
  <c r="F92" i="6" s="1"/>
  <c r="E91" i="6"/>
  <c r="F91" i="6" s="1"/>
  <c r="E90" i="6"/>
  <c r="E89" i="6"/>
  <c r="H89" i="6" s="1"/>
  <c r="E88" i="6"/>
  <c r="H88" i="6" s="1"/>
  <c r="E87" i="6"/>
  <c r="E86" i="6"/>
  <c r="F86" i="6" s="1"/>
  <c r="E85" i="6"/>
  <c r="E84" i="6"/>
  <c r="E83" i="6"/>
  <c r="F83" i="6" s="1"/>
  <c r="E82" i="6"/>
  <c r="H82" i="6" s="1"/>
  <c r="E81" i="6"/>
  <c r="F81" i="6" s="1"/>
  <c r="E80" i="6"/>
  <c r="H80" i="6" s="1"/>
  <c r="E79" i="6"/>
  <c r="H79" i="6" s="1"/>
  <c r="E78" i="6"/>
  <c r="H78" i="6" s="1"/>
  <c r="E77" i="6"/>
  <c r="E76" i="6"/>
  <c r="H76" i="6" s="1"/>
  <c r="E75" i="6"/>
  <c r="F75" i="6" s="1"/>
  <c r="E74" i="6"/>
  <c r="E73" i="6"/>
  <c r="H73" i="6" s="1"/>
  <c r="E72" i="6"/>
  <c r="H72" i="6" s="1"/>
  <c r="E71" i="6"/>
  <c r="E70" i="6"/>
  <c r="H70" i="6" s="1"/>
  <c r="E69" i="6"/>
  <c r="E68" i="6"/>
  <c r="E67" i="6"/>
  <c r="E66" i="6"/>
  <c r="H66" i="6" s="1"/>
  <c r="E65" i="6"/>
  <c r="H65" i="6" s="1"/>
  <c r="E64" i="6"/>
  <c r="H64" i="6" s="1"/>
  <c r="E63" i="6"/>
  <c r="H63" i="6" s="1"/>
  <c r="E62" i="6"/>
  <c r="H62" i="6" s="1"/>
  <c r="E61" i="6"/>
  <c r="F61" i="6" s="1"/>
  <c r="E60" i="6"/>
  <c r="H60" i="6" s="1"/>
  <c r="E59" i="6"/>
  <c r="F59" i="6" s="1"/>
  <c r="E58" i="6"/>
  <c r="E57" i="6"/>
  <c r="E56" i="6"/>
  <c r="H56" i="6" s="1"/>
  <c r="E55" i="6"/>
  <c r="E54" i="6"/>
  <c r="H54" i="6" s="1"/>
  <c r="E53" i="6"/>
  <c r="E52" i="6"/>
  <c r="E51" i="6"/>
  <c r="F51" i="6" s="1"/>
  <c r="E50" i="6"/>
  <c r="H50" i="6" s="1"/>
  <c r="E49" i="6"/>
  <c r="H49" i="6" s="1"/>
  <c r="E48" i="6"/>
  <c r="H48" i="6" s="1"/>
  <c r="H47" i="6"/>
  <c r="F47" i="6"/>
  <c r="E47" i="6"/>
  <c r="E46" i="6"/>
  <c r="H46" i="6" s="1"/>
  <c r="E45" i="6"/>
  <c r="F45" i="6" s="1"/>
  <c r="E44" i="6"/>
  <c r="H44" i="6" s="1"/>
  <c r="E43" i="6"/>
  <c r="F43" i="6" s="1"/>
  <c r="E42" i="6"/>
  <c r="E41" i="6"/>
  <c r="H41" i="6" s="1"/>
  <c r="E40" i="6"/>
  <c r="H40" i="6" s="1"/>
  <c r="E39" i="6"/>
  <c r="E38" i="6"/>
  <c r="H38" i="6" s="1"/>
  <c r="E37" i="6"/>
  <c r="E36" i="6"/>
  <c r="E35" i="6"/>
  <c r="F35" i="6" s="1"/>
  <c r="E34" i="6"/>
  <c r="H34" i="6" s="1"/>
  <c r="E33" i="6"/>
  <c r="H33" i="6" s="1"/>
  <c r="E32" i="6"/>
  <c r="H32" i="6" s="1"/>
  <c r="E31" i="6"/>
  <c r="H31" i="6" s="1"/>
  <c r="E30" i="6"/>
  <c r="H30" i="6" s="1"/>
  <c r="E29" i="6"/>
  <c r="E28" i="6"/>
  <c r="H28" i="6" s="1"/>
  <c r="E27" i="6"/>
  <c r="F27" i="6" s="1"/>
  <c r="E26" i="6"/>
  <c r="E25" i="6"/>
  <c r="H25" i="6" s="1"/>
  <c r="E24" i="6"/>
  <c r="H24" i="6" s="1"/>
  <c r="E23" i="6"/>
  <c r="E22" i="6"/>
  <c r="H22" i="6" s="1"/>
  <c r="E21" i="6"/>
  <c r="E20" i="6"/>
  <c r="E19" i="6"/>
  <c r="F19" i="6" s="1"/>
  <c r="E18" i="6"/>
  <c r="H18" i="6" s="1"/>
  <c r="E17" i="6"/>
  <c r="H17" i="6" s="1"/>
  <c r="E16" i="6"/>
  <c r="H16" i="6" s="1"/>
  <c r="E15" i="6"/>
  <c r="H15" i="6" s="1"/>
  <c r="E14" i="6"/>
  <c r="H14" i="6" s="1"/>
  <c r="E13" i="6"/>
  <c r="E12" i="6"/>
  <c r="H12" i="6" s="1"/>
  <c r="H11" i="6"/>
  <c r="E11" i="6"/>
  <c r="F11" i="6" s="1"/>
  <c r="E10" i="6"/>
  <c r="E9" i="6"/>
  <c r="H9" i="6" s="1"/>
  <c r="E8" i="6"/>
  <c r="H8" i="6" s="1"/>
  <c r="E7" i="6"/>
  <c r="G158" i="5"/>
  <c r="E158" i="5"/>
  <c r="F158" i="5" s="1"/>
  <c r="G157" i="5"/>
  <c r="E157" i="5"/>
  <c r="F157" i="5" s="1"/>
  <c r="G156" i="5"/>
  <c r="E156" i="5"/>
  <c r="F156" i="5" s="1"/>
  <c r="G155" i="5"/>
  <c r="E155" i="5"/>
  <c r="F155" i="5" s="1"/>
  <c r="G154" i="5"/>
  <c r="E154" i="5"/>
  <c r="F154" i="5" s="1"/>
  <c r="G153" i="5"/>
  <c r="E153" i="5"/>
  <c r="F153" i="5" s="1"/>
  <c r="G152" i="5"/>
  <c r="E152" i="5"/>
  <c r="F152" i="5" s="1"/>
  <c r="G151" i="5"/>
  <c r="E151" i="5"/>
  <c r="F151" i="5" s="1"/>
  <c r="G150" i="5"/>
  <c r="E150" i="5"/>
  <c r="G149" i="5"/>
  <c r="E149" i="5"/>
  <c r="F149" i="5" s="1"/>
  <c r="G148" i="5"/>
  <c r="E148" i="5"/>
  <c r="F148" i="5" s="1"/>
  <c r="G147" i="5"/>
  <c r="E147" i="5"/>
  <c r="F147" i="5" s="1"/>
  <c r="G146" i="5"/>
  <c r="E146" i="5"/>
  <c r="F146" i="5" s="1"/>
  <c r="G145" i="5"/>
  <c r="E145" i="5"/>
  <c r="F145" i="5" s="1"/>
  <c r="G144" i="5"/>
  <c r="E144" i="5"/>
  <c r="F144" i="5" s="1"/>
  <c r="G143" i="5"/>
  <c r="E143" i="5"/>
  <c r="F143" i="5" s="1"/>
  <c r="G142" i="5"/>
  <c r="E142" i="5"/>
  <c r="F142" i="5" s="1"/>
  <c r="G141" i="5"/>
  <c r="E141" i="5"/>
  <c r="F141" i="5" s="1"/>
  <c r="G140" i="5"/>
  <c r="E140" i="5"/>
  <c r="F140" i="5" s="1"/>
  <c r="G139" i="5"/>
  <c r="E139" i="5"/>
  <c r="F139" i="5" s="1"/>
  <c r="G138" i="5"/>
  <c r="E138" i="5"/>
  <c r="F138" i="5" s="1"/>
  <c r="G137" i="5"/>
  <c r="E137" i="5"/>
  <c r="F137" i="5" s="1"/>
  <c r="G136" i="5"/>
  <c r="E136" i="5"/>
  <c r="F136" i="5" s="1"/>
  <c r="G135" i="5"/>
  <c r="E135" i="5"/>
  <c r="F135" i="5" s="1"/>
  <c r="G134" i="5"/>
  <c r="E134" i="5"/>
  <c r="F134" i="5" s="1"/>
  <c r="G133" i="5"/>
  <c r="E133" i="5"/>
  <c r="F133" i="5" s="1"/>
  <c r="G132" i="5"/>
  <c r="E132" i="5"/>
  <c r="F132" i="5" s="1"/>
  <c r="G131" i="5"/>
  <c r="E131" i="5"/>
  <c r="F131" i="5" s="1"/>
  <c r="G130" i="5"/>
  <c r="E130" i="5"/>
  <c r="F130" i="5" s="1"/>
  <c r="G129" i="5"/>
  <c r="E129" i="5"/>
  <c r="F129" i="5" s="1"/>
  <c r="G128" i="5"/>
  <c r="E128" i="5"/>
  <c r="F128" i="5" s="1"/>
  <c r="G127" i="5"/>
  <c r="E127" i="5"/>
  <c r="F127" i="5" s="1"/>
  <c r="G126" i="5"/>
  <c r="E126" i="5"/>
  <c r="F126" i="5" s="1"/>
  <c r="G125" i="5"/>
  <c r="E125" i="5"/>
  <c r="F125" i="5" s="1"/>
  <c r="G124" i="5"/>
  <c r="H124" i="5" s="1"/>
  <c r="E124" i="5"/>
  <c r="F124" i="5" s="1"/>
  <c r="G123" i="5"/>
  <c r="E123" i="5"/>
  <c r="F123" i="5" s="1"/>
  <c r="G122" i="5"/>
  <c r="E122" i="5"/>
  <c r="F122" i="5" s="1"/>
  <c r="G121" i="5"/>
  <c r="E121" i="5"/>
  <c r="F121" i="5" s="1"/>
  <c r="G120" i="5"/>
  <c r="E120" i="5"/>
  <c r="F120" i="5" s="1"/>
  <c r="G119" i="5"/>
  <c r="E119" i="5"/>
  <c r="F119" i="5" s="1"/>
  <c r="G118" i="5"/>
  <c r="E118" i="5"/>
  <c r="G117" i="5"/>
  <c r="E117" i="5"/>
  <c r="F117" i="5" s="1"/>
  <c r="G116" i="5"/>
  <c r="H116" i="5" s="1"/>
  <c r="E116" i="5"/>
  <c r="F116" i="5" s="1"/>
  <c r="G115" i="5"/>
  <c r="E115" i="5"/>
  <c r="F115" i="5" s="1"/>
  <c r="G114" i="5"/>
  <c r="E114" i="5"/>
  <c r="F114" i="5" s="1"/>
  <c r="G113" i="5"/>
  <c r="E113" i="5"/>
  <c r="F113" i="5" s="1"/>
  <c r="G112" i="5"/>
  <c r="E112" i="5"/>
  <c r="F112" i="5" s="1"/>
  <c r="G111" i="5"/>
  <c r="E111" i="5"/>
  <c r="F111" i="5" s="1"/>
  <c r="G110" i="5"/>
  <c r="E110" i="5"/>
  <c r="F110" i="5" s="1"/>
  <c r="G109" i="5"/>
  <c r="E109" i="5"/>
  <c r="F109" i="5" s="1"/>
  <c r="G108" i="5"/>
  <c r="E108" i="5"/>
  <c r="F108" i="5" s="1"/>
  <c r="G107" i="5"/>
  <c r="E107" i="5"/>
  <c r="F107" i="5" s="1"/>
  <c r="G106" i="5"/>
  <c r="E106" i="5"/>
  <c r="F106" i="5" s="1"/>
  <c r="G105" i="5"/>
  <c r="E105" i="5"/>
  <c r="F105" i="5" s="1"/>
  <c r="G104" i="5"/>
  <c r="E104" i="5"/>
  <c r="F104" i="5" s="1"/>
  <c r="G103" i="5"/>
  <c r="E103" i="5"/>
  <c r="F103" i="5" s="1"/>
  <c r="G102" i="5"/>
  <c r="E102" i="5"/>
  <c r="F102" i="5" s="1"/>
  <c r="G101" i="5"/>
  <c r="E101" i="5"/>
  <c r="F101" i="5" s="1"/>
  <c r="G100" i="5"/>
  <c r="H100" i="5" s="1"/>
  <c r="E100" i="5"/>
  <c r="F100" i="5" s="1"/>
  <c r="G99" i="5"/>
  <c r="E99" i="5"/>
  <c r="F99" i="5" s="1"/>
  <c r="G98" i="5"/>
  <c r="E98" i="5"/>
  <c r="F98" i="5" s="1"/>
  <c r="G97" i="5"/>
  <c r="E97" i="5"/>
  <c r="F97" i="5" s="1"/>
  <c r="G96" i="5"/>
  <c r="E96" i="5"/>
  <c r="F96" i="5" s="1"/>
  <c r="G95" i="5"/>
  <c r="E95" i="5"/>
  <c r="F95" i="5" s="1"/>
  <c r="G94" i="5"/>
  <c r="E94" i="5"/>
  <c r="F94" i="5" s="1"/>
  <c r="G93" i="5"/>
  <c r="E93" i="5"/>
  <c r="F93" i="5" s="1"/>
  <c r="G92" i="5"/>
  <c r="H92" i="5" s="1"/>
  <c r="E92" i="5"/>
  <c r="F92" i="5" s="1"/>
  <c r="G91" i="5"/>
  <c r="E91" i="5"/>
  <c r="F91" i="5" s="1"/>
  <c r="G90" i="5"/>
  <c r="E90" i="5"/>
  <c r="F90" i="5" s="1"/>
  <c r="G89" i="5"/>
  <c r="E89" i="5"/>
  <c r="F89" i="5" s="1"/>
  <c r="G88" i="5"/>
  <c r="E88" i="5"/>
  <c r="F88" i="5" s="1"/>
  <c r="G87" i="5"/>
  <c r="E87" i="5"/>
  <c r="F87" i="5" s="1"/>
  <c r="G86" i="5"/>
  <c r="E86" i="5"/>
  <c r="G85" i="5"/>
  <c r="E85" i="5"/>
  <c r="F85" i="5" s="1"/>
  <c r="G84" i="5"/>
  <c r="H84" i="5" s="1"/>
  <c r="E84" i="5"/>
  <c r="F84" i="5" s="1"/>
  <c r="G83" i="5"/>
  <c r="E83" i="5"/>
  <c r="F83" i="5" s="1"/>
  <c r="G82" i="5"/>
  <c r="E82" i="5"/>
  <c r="F82" i="5" s="1"/>
  <c r="G81" i="5"/>
  <c r="E81" i="5"/>
  <c r="F81" i="5" s="1"/>
  <c r="G80" i="5"/>
  <c r="E80" i="5"/>
  <c r="F80" i="5" s="1"/>
  <c r="G79" i="5"/>
  <c r="E79" i="5"/>
  <c r="F79" i="5" s="1"/>
  <c r="G78" i="5"/>
  <c r="E78" i="5"/>
  <c r="F78" i="5" s="1"/>
  <c r="G77" i="5"/>
  <c r="E77" i="5"/>
  <c r="F77" i="5" s="1"/>
  <c r="G76" i="5"/>
  <c r="H76" i="5" s="1"/>
  <c r="E76" i="5"/>
  <c r="F76" i="5" s="1"/>
  <c r="G75" i="5"/>
  <c r="E75" i="5"/>
  <c r="F75" i="5" s="1"/>
  <c r="G74" i="5"/>
  <c r="E74" i="5"/>
  <c r="F74" i="5" s="1"/>
  <c r="G73" i="5"/>
  <c r="E73" i="5"/>
  <c r="F73" i="5" s="1"/>
  <c r="G72" i="5"/>
  <c r="E72" i="5"/>
  <c r="F72" i="5" s="1"/>
  <c r="G71" i="5"/>
  <c r="E71" i="5"/>
  <c r="F71" i="5" s="1"/>
  <c r="G70" i="5"/>
  <c r="E70" i="5"/>
  <c r="F70" i="5" s="1"/>
  <c r="G69" i="5"/>
  <c r="E69" i="5"/>
  <c r="F69" i="5" s="1"/>
  <c r="G68" i="5"/>
  <c r="E68" i="5"/>
  <c r="F68" i="5" s="1"/>
  <c r="G67" i="5"/>
  <c r="E67" i="5"/>
  <c r="F67" i="5" s="1"/>
  <c r="G66" i="5"/>
  <c r="E66" i="5"/>
  <c r="F66" i="5" s="1"/>
  <c r="G65" i="5"/>
  <c r="E65" i="5"/>
  <c r="F65" i="5" s="1"/>
  <c r="G64" i="5"/>
  <c r="E64" i="5"/>
  <c r="F64" i="5" s="1"/>
  <c r="G63" i="5"/>
  <c r="E63" i="5"/>
  <c r="F63" i="5" s="1"/>
  <c r="G62" i="5"/>
  <c r="E62" i="5"/>
  <c r="F62" i="5" s="1"/>
  <c r="G61" i="5"/>
  <c r="E61" i="5"/>
  <c r="F61" i="5" s="1"/>
  <c r="G60" i="5"/>
  <c r="E60" i="5"/>
  <c r="F60" i="5" s="1"/>
  <c r="G59" i="5"/>
  <c r="E59" i="5"/>
  <c r="F59" i="5" s="1"/>
  <c r="G58" i="5"/>
  <c r="E58" i="5"/>
  <c r="F58" i="5" s="1"/>
  <c r="G57" i="5"/>
  <c r="E57" i="5"/>
  <c r="F57" i="5" s="1"/>
  <c r="G56" i="5"/>
  <c r="E56" i="5"/>
  <c r="F56" i="5" s="1"/>
  <c r="G55" i="5"/>
  <c r="E55" i="5"/>
  <c r="F55" i="5" s="1"/>
  <c r="G54" i="5"/>
  <c r="E54" i="5"/>
  <c r="G53" i="5"/>
  <c r="E53" i="5"/>
  <c r="F53" i="5" s="1"/>
  <c r="G52" i="5"/>
  <c r="E52" i="5"/>
  <c r="F52" i="5" s="1"/>
  <c r="G51" i="5"/>
  <c r="E51" i="5"/>
  <c r="F51" i="5" s="1"/>
  <c r="G50" i="5"/>
  <c r="E50" i="5"/>
  <c r="F50" i="5" s="1"/>
  <c r="G49" i="5"/>
  <c r="E49" i="5"/>
  <c r="F49" i="5" s="1"/>
  <c r="G48" i="5"/>
  <c r="E48" i="5"/>
  <c r="F48" i="5" s="1"/>
  <c r="G47" i="5"/>
  <c r="E47" i="5"/>
  <c r="F47" i="5" s="1"/>
  <c r="G46" i="5"/>
  <c r="E46" i="5"/>
  <c r="F46" i="5" s="1"/>
  <c r="G45" i="5"/>
  <c r="E45" i="5"/>
  <c r="F45" i="5" s="1"/>
  <c r="G44" i="5"/>
  <c r="E44" i="5"/>
  <c r="F44" i="5" s="1"/>
  <c r="G43" i="5"/>
  <c r="E43" i="5"/>
  <c r="F43" i="5" s="1"/>
  <c r="G42" i="5"/>
  <c r="E42" i="5"/>
  <c r="F42" i="5" s="1"/>
  <c r="G41" i="5"/>
  <c r="E41" i="5"/>
  <c r="F41" i="5" s="1"/>
  <c r="G40" i="5"/>
  <c r="E40" i="5"/>
  <c r="F40" i="5" s="1"/>
  <c r="G39" i="5"/>
  <c r="E39" i="5"/>
  <c r="F39" i="5" s="1"/>
  <c r="G38" i="5"/>
  <c r="E38" i="5"/>
  <c r="F38" i="5" s="1"/>
  <c r="G37" i="5"/>
  <c r="E37" i="5"/>
  <c r="F37" i="5" s="1"/>
  <c r="G36" i="5"/>
  <c r="E36" i="5"/>
  <c r="F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G23" i="5"/>
  <c r="E23" i="5"/>
  <c r="F23" i="5" s="1"/>
  <c r="G22" i="5"/>
  <c r="E22" i="5"/>
  <c r="G21" i="5"/>
  <c r="E21" i="5"/>
  <c r="F21" i="5" s="1"/>
  <c r="G20" i="5"/>
  <c r="E20" i="5"/>
  <c r="F20" i="5" s="1"/>
  <c r="G19" i="5"/>
  <c r="E19" i="5"/>
  <c r="F19" i="5" s="1"/>
  <c r="G18" i="5"/>
  <c r="E18" i="5"/>
  <c r="F18" i="5" s="1"/>
  <c r="G17" i="5"/>
  <c r="E17" i="5"/>
  <c r="F17" i="5" s="1"/>
  <c r="G16" i="5"/>
  <c r="E16" i="5"/>
  <c r="F16" i="5" s="1"/>
  <c r="G15" i="5"/>
  <c r="E15" i="5"/>
  <c r="F15" i="5" s="1"/>
  <c r="G14" i="5"/>
  <c r="E14" i="5"/>
  <c r="F14" i="5" s="1"/>
  <c r="G13" i="5"/>
  <c r="E13" i="5"/>
  <c r="F13" i="5" s="1"/>
  <c r="G12" i="5"/>
  <c r="E12" i="5"/>
  <c r="F12" i="5" s="1"/>
  <c r="G11" i="5"/>
  <c r="E11" i="5"/>
  <c r="F11" i="5" s="1"/>
  <c r="G10" i="5"/>
  <c r="E10" i="5"/>
  <c r="F10" i="5" s="1"/>
  <c r="G9" i="5"/>
  <c r="E9" i="5"/>
  <c r="F9" i="5" s="1"/>
  <c r="G8" i="5"/>
  <c r="E8" i="5"/>
  <c r="F8" i="5" s="1"/>
  <c r="E7" i="5"/>
  <c r="H7" i="5" s="1"/>
  <c r="G157" i="3"/>
  <c r="E157" i="3"/>
  <c r="G156" i="3"/>
  <c r="E156" i="3"/>
  <c r="F156" i="3" s="1"/>
  <c r="E155" i="3"/>
  <c r="F155" i="3" s="1"/>
  <c r="G154" i="3"/>
  <c r="E154" i="3"/>
  <c r="F154" i="3" s="1"/>
  <c r="G153" i="3"/>
  <c r="E153" i="3"/>
  <c r="F153" i="3" s="1"/>
  <c r="G152" i="3"/>
  <c r="E152" i="3"/>
  <c r="F152" i="3" s="1"/>
  <c r="G151" i="3"/>
  <c r="E151" i="3"/>
  <c r="F151" i="3" s="1"/>
  <c r="G150" i="3"/>
  <c r="E150" i="3"/>
  <c r="F150" i="3" s="1"/>
  <c r="G149" i="3"/>
  <c r="E149" i="3"/>
  <c r="F149" i="3" s="1"/>
  <c r="G148" i="3"/>
  <c r="E148" i="3"/>
  <c r="G147" i="3"/>
  <c r="E147" i="3"/>
  <c r="F147" i="3" s="1"/>
  <c r="G146" i="3"/>
  <c r="H146" i="3" s="1"/>
  <c r="E146" i="3"/>
  <c r="F146" i="3" s="1"/>
  <c r="G145" i="3"/>
  <c r="E145" i="3"/>
  <c r="G144" i="3"/>
  <c r="H144" i="3" s="1"/>
  <c r="E144" i="3"/>
  <c r="F144" i="3" s="1"/>
  <c r="G143" i="3"/>
  <c r="E143" i="3"/>
  <c r="F143" i="3" s="1"/>
  <c r="G142" i="3"/>
  <c r="H142" i="3" s="1"/>
  <c r="E142" i="3"/>
  <c r="F142" i="3" s="1"/>
  <c r="G141" i="3"/>
  <c r="E141" i="3"/>
  <c r="F141" i="3" s="1"/>
  <c r="G140" i="3"/>
  <c r="E140" i="3"/>
  <c r="F140" i="3" s="1"/>
  <c r="G139" i="3"/>
  <c r="E139" i="3"/>
  <c r="F139" i="3" s="1"/>
  <c r="G138" i="3"/>
  <c r="H138" i="3" s="1"/>
  <c r="E138" i="3"/>
  <c r="F138" i="3" s="1"/>
  <c r="G137" i="3"/>
  <c r="E137" i="3"/>
  <c r="F137" i="3" s="1"/>
  <c r="G136" i="3"/>
  <c r="E136" i="3"/>
  <c r="F136" i="3" s="1"/>
  <c r="G135" i="3"/>
  <c r="E135" i="3"/>
  <c r="F135" i="3" s="1"/>
  <c r="G134" i="3"/>
  <c r="H134" i="3" s="1"/>
  <c r="E134" i="3"/>
  <c r="F134" i="3" s="1"/>
  <c r="G133" i="3"/>
  <c r="E133" i="3"/>
  <c r="F133" i="3" s="1"/>
  <c r="G132" i="3"/>
  <c r="E132" i="3"/>
  <c r="F132" i="3" s="1"/>
  <c r="G131" i="3"/>
  <c r="E131" i="3"/>
  <c r="F131" i="3" s="1"/>
  <c r="G130" i="3"/>
  <c r="E130" i="3"/>
  <c r="F130" i="3" s="1"/>
  <c r="G129" i="3"/>
  <c r="E129" i="3"/>
  <c r="F129" i="3" s="1"/>
  <c r="G128" i="3"/>
  <c r="E128" i="3"/>
  <c r="F128" i="3" s="1"/>
  <c r="G127" i="3"/>
  <c r="E127" i="3"/>
  <c r="F127" i="3" s="1"/>
  <c r="G126" i="3"/>
  <c r="E126" i="3"/>
  <c r="F126" i="3" s="1"/>
  <c r="G125" i="3"/>
  <c r="E125" i="3"/>
  <c r="F125" i="3" s="1"/>
  <c r="G124" i="3"/>
  <c r="E124" i="3"/>
  <c r="F124" i="3" s="1"/>
  <c r="G123" i="3"/>
  <c r="E123" i="3"/>
  <c r="F123" i="3" s="1"/>
  <c r="G122" i="3"/>
  <c r="E122" i="3"/>
  <c r="F122" i="3" s="1"/>
  <c r="G121" i="3"/>
  <c r="E121" i="3"/>
  <c r="F121" i="3" s="1"/>
  <c r="G120" i="3"/>
  <c r="E120" i="3"/>
  <c r="F120" i="3" s="1"/>
  <c r="G119" i="3"/>
  <c r="F119" i="3"/>
  <c r="E119" i="3"/>
  <c r="G118" i="3"/>
  <c r="E118" i="3"/>
  <c r="F118" i="3" s="1"/>
  <c r="G117" i="3"/>
  <c r="E117" i="3"/>
  <c r="F117" i="3" s="1"/>
  <c r="G116" i="3"/>
  <c r="E116" i="3"/>
  <c r="G115" i="3"/>
  <c r="E115" i="3"/>
  <c r="F115" i="3" s="1"/>
  <c r="G114" i="3"/>
  <c r="E114" i="3"/>
  <c r="F114" i="3" s="1"/>
  <c r="G113" i="3"/>
  <c r="E113" i="3"/>
  <c r="F113" i="3" s="1"/>
  <c r="G112" i="3"/>
  <c r="E112" i="3"/>
  <c r="F112" i="3" s="1"/>
  <c r="G111" i="3"/>
  <c r="E111" i="3"/>
  <c r="F111" i="3" s="1"/>
  <c r="G110" i="3"/>
  <c r="E110" i="3"/>
  <c r="F110" i="3" s="1"/>
  <c r="G109" i="3"/>
  <c r="E109" i="3"/>
  <c r="F109" i="3" s="1"/>
  <c r="G108" i="3"/>
  <c r="E108" i="3"/>
  <c r="G107" i="3"/>
  <c r="E107" i="3"/>
  <c r="F107" i="3" s="1"/>
  <c r="G106" i="3"/>
  <c r="E106" i="3"/>
  <c r="F106" i="3" s="1"/>
  <c r="G105" i="3"/>
  <c r="E105" i="3"/>
  <c r="F105" i="3" s="1"/>
  <c r="G104" i="3"/>
  <c r="E104" i="3"/>
  <c r="F104" i="3" s="1"/>
  <c r="G103" i="3"/>
  <c r="E103" i="3"/>
  <c r="G102" i="3"/>
  <c r="E102" i="3"/>
  <c r="F102" i="3" s="1"/>
  <c r="G101" i="3"/>
  <c r="E101" i="3"/>
  <c r="F101" i="3" s="1"/>
  <c r="G100" i="3"/>
  <c r="E100" i="3"/>
  <c r="F100" i="3" s="1"/>
  <c r="G99" i="3"/>
  <c r="E99" i="3"/>
  <c r="G98" i="3"/>
  <c r="E98" i="3"/>
  <c r="F98" i="3" s="1"/>
  <c r="G97" i="3"/>
  <c r="E97" i="3"/>
  <c r="F97" i="3" s="1"/>
  <c r="G96" i="3"/>
  <c r="E96" i="3"/>
  <c r="F96" i="3" s="1"/>
  <c r="G95" i="3"/>
  <c r="E95" i="3"/>
  <c r="F95" i="3" s="1"/>
  <c r="G94" i="3"/>
  <c r="E94" i="3"/>
  <c r="F94" i="3" s="1"/>
  <c r="G93" i="3"/>
  <c r="E93" i="3"/>
  <c r="G92" i="3"/>
  <c r="E92" i="3"/>
  <c r="F92" i="3" s="1"/>
  <c r="G91" i="3"/>
  <c r="E91" i="3"/>
  <c r="G90" i="3"/>
  <c r="E90" i="3"/>
  <c r="F90" i="3" s="1"/>
  <c r="G89" i="3"/>
  <c r="E89" i="3"/>
  <c r="G88" i="3"/>
  <c r="E88" i="3"/>
  <c r="G87" i="3"/>
  <c r="E87" i="3"/>
  <c r="G86" i="3"/>
  <c r="E86" i="3"/>
  <c r="F86" i="3" s="1"/>
  <c r="G85" i="3"/>
  <c r="E85" i="3"/>
  <c r="G84" i="3"/>
  <c r="E84" i="3"/>
  <c r="F84" i="3" s="1"/>
  <c r="G83" i="3"/>
  <c r="E83" i="3"/>
  <c r="G82" i="3"/>
  <c r="E82" i="3"/>
  <c r="F82" i="3" s="1"/>
  <c r="G81" i="3"/>
  <c r="E81" i="3"/>
  <c r="G80" i="3"/>
  <c r="E80" i="3"/>
  <c r="G79" i="3"/>
  <c r="E79" i="3"/>
  <c r="G78" i="3"/>
  <c r="E78" i="3"/>
  <c r="F78" i="3" s="1"/>
  <c r="G77" i="3"/>
  <c r="E77" i="3"/>
  <c r="G76" i="3"/>
  <c r="E76" i="3"/>
  <c r="F76" i="3" s="1"/>
  <c r="G75" i="3"/>
  <c r="E75" i="3"/>
  <c r="G74" i="3"/>
  <c r="E74" i="3"/>
  <c r="F74" i="3" s="1"/>
  <c r="G73" i="3"/>
  <c r="E73" i="3"/>
  <c r="G72" i="3"/>
  <c r="E72" i="3"/>
  <c r="H72" i="3" s="1"/>
  <c r="G71" i="3"/>
  <c r="E71" i="3"/>
  <c r="G70" i="3"/>
  <c r="E70" i="3"/>
  <c r="F70" i="3" s="1"/>
  <c r="G69" i="3"/>
  <c r="E69" i="3"/>
  <c r="G68" i="3"/>
  <c r="E68" i="3"/>
  <c r="F68" i="3" s="1"/>
  <c r="G67" i="3"/>
  <c r="E67" i="3"/>
  <c r="G66" i="3"/>
  <c r="E66" i="3"/>
  <c r="F66" i="3" s="1"/>
  <c r="G65" i="3"/>
  <c r="E65" i="3"/>
  <c r="G64" i="3"/>
  <c r="E64" i="3"/>
  <c r="F64" i="3" s="1"/>
  <c r="G63" i="3"/>
  <c r="E63" i="3"/>
  <c r="G62" i="3"/>
  <c r="E62" i="3"/>
  <c r="F62" i="3" s="1"/>
  <c r="G61" i="3"/>
  <c r="E61" i="3"/>
  <c r="G60" i="3"/>
  <c r="E60" i="3"/>
  <c r="F60" i="3" s="1"/>
  <c r="G59" i="3"/>
  <c r="E59" i="3"/>
  <c r="G58" i="3"/>
  <c r="E58" i="3"/>
  <c r="H58" i="3" s="1"/>
  <c r="G57" i="3"/>
  <c r="E57" i="3"/>
  <c r="G56" i="3"/>
  <c r="E56" i="3"/>
  <c r="G55" i="3"/>
  <c r="E55" i="3"/>
  <c r="G54" i="3"/>
  <c r="E54" i="3"/>
  <c r="F54" i="3" s="1"/>
  <c r="G53" i="3"/>
  <c r="E53" i="3"/>
  <c r="F53" i="3" s="1"/>
  <c r="G52" i="3"/>
  <c r="E52" i="3"/>
  <c r="F52" i="3" s="1"/>
  <c r="G51" i="3"/>
  <c r="E51" i="3"/>
  <c r="G50" i="3"/>
  <c r="E50" i="3"/>
  <c r="F50" i="3" s="1"/>
  <c r="G49" i="3"/>
  <c r="E49" i="3"/>
  <c r="G48" i="3"/>
  <c r="E48" i="3"/>
  <c r="F48" i="3" s="1"/>
  <c r="G47" i="3"/>
  <c r="E47" i="3"/>
  <c r="G46" i="3"/>
  <c r="E46" i="3"/>
  <c r="F46" i="3" s="1"/>
  <c r="G45" i="3"/>
  <c r="E45" i="3"/>
  <c r="G44" i="3"/>
  <c r="E44" i="3"/>
  <c r="F44" i="3" s="1"/>
  <c r="G43" i="3"/>
  <c r="E43" i="3"/>
  <c r="G42" i="3"/>
  <c r="E42" i="3"/>
  <c r="F42" i="3" s="1"/>
  <c r="G41" i="3"/>
  <c r="E41" i="3"/>
  <c r="G40" i="3"/>
  <c r="E40" i="3"/>
  <c r="G39" i="3"/>
  <c r="E39" i="3"/>
  <c r="G38" i="3"/>
  <c r="E38" i="3"/>
  <c r="F38" i="3" s="1"/>
  <c r="G37" i="3"/>
  <c r="E37" i="3"/>
  <c r="G36" i="3"/>
  <c r="E36" i="3"/>
  <c r="F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E20" i="3"/>
  <c r="G19" i="3"/>
  <c r="E19" i="3"/>
  <c r="F19" i="3" s="1"/>
  <c r="G18" i="3"/>
  <c r="E18" i="3"/>
  <c r="F18" i="3" s="1"/>
  <c r="G17" i="3"/>
  <c r="E17" i="3"/>
  <c r="G16" i="3"/>
  <c r="E16" i="3"/>
  <c r="F16" i="3" s="1"/>
  <c r="G15" i="3"/>
  <c r="E15" i="3"/>
  <c r="F15" i="3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G9" i="3"/>
  <c r="E9" i="3"/>
  <c r="F9" i="3" s="1"/>
  <c r="G8" i="3"/>
  <c r="E8" i="3"/>
  <c r="F8" i="3" s="1"/>
  <c r="E7" i="3"/>
  <c r="F7" i="3" s="1"/>
  <c r="G158" i="2"/>
  <c r="E158" i="2"/>
  <c r="F158" i="2" s="1"/>
  <c r="G157" i="2"/>
  <c r="E157" i="2"/>
  <c r="F157" i="2" s="1"/>
  <c r="G156" i="2"/>
  <c r="E156" i="2"/>
  <c r="F156" i="2" s="1"/>
  <c r="G155" i="2"/>
  <c r="E155" i="2"/>
  <c r="F155" i="2" s="1"/>
  <c r="G154" i="2"/>
  <c r="E154" i="2"/>
  <c r="F154" i="2" s="1"/>
  <c r="G153" i="2"/>
  <c r="E153" i="2"/>
  <c r="F153" i="2" s="1"/>
  <c r="G152" i="2"/>
  <c r="E152" i="2"/>
  <c r="G151" i="2"/>
  <c r="E151" i="2"/>
  <c r="F151" i="2" s="1"/>
  <c r="G150" i="2"/>
  <c r="E150" i="2"/>
  <c r="G149" i="2"/>
  <c r="E149" i="2"/>
  <c r="F149" i="2" s="1"/>
  <c r="G148" i="2"/>
  <c r="E148" i="2"/>
  <c r="F148" i="2" s="1"/>
  <c r="G147" i="2"/>
  <c r="E147" i="2"/>
  <c r="F147" i="2" s="1"/>
  <c r="G146" i="2"/>
  <c r="E146" i="2"/>
  <c r="F146" i="2" s="1"/>
  <c r="G145" i="2"/>
  <c r="E145" i="2"/>
  <c r="F145" i="2" s="1"/>
  <c r="G144" i="2"/>
  <c r="E144" i="2"/>
  <c r="F144" i="2" s="1"/>
  <c r="G143" i="2"/>
  <c r="E143" i="2"/>
  <c r="F143" i="2" s="1"/>
  <c r="G142" i="2"/>
  <c r="E142" i="2"/>
  <c r="F142" i="2" s="1"/>
  <c r="G141" i="2"/>
  <c r="E141" i="2"/>
  <c r="F141" i="2" s="1"/>
  <c r="G140" i="2"/>
  <c r="E140" i="2"/>
  <c r="F140" i="2" s="1"/>
  <c r="G139" i="2"/>
  <c r="E139" i="2"/>
  <c r="F139" i="2" s="1"/>
  <c r="G138" i="2"/>
  <c r="E138" i="2"/>
  <c r="F138" i="2" s="1"/>
  <c r="G137" i="2"/>
  <c r="E137" i="2"/>
  <c r="F137" i="2" s="1"/>
  <c r="G136" i="2"/>
  <c r="E136" i="2"/>
  <c r="G135" i="2"/>
  <c r="E135" i="2"/>
  <c r="F135" i="2" s="1"/>
  <c r="G134" i="2"/>
  <c r="E134" i="2"/>
  <c r="G133" i="2"/>
  <c r="E133" i="2"/>
  <c r="F133" i="2" s="1"/>
  <c r="G132" i="2"/>
  <c r="E132" i="2"/>
  <c r="F132" i="2" s="1"/>
  <c r="G131" i="2"/>
  <c r="E131" i="2"/>
  <c r="F131" i="2" s="1"/>
  <c r="G130" i="2"/>
  <c r="E130" i="2"/>
  <c r="F130" i="2" s="1"/>
  <c r="G129" i="2"/>
  <c r="E129" i="2"/>
  <c r="F129" i="2" s="1"/>
  <c r="G128" i="2"/>
  <c r="E128" i="2"/>
  <c r="F128" i="2" s="1"/>
  <c r="G127" i="2"/>
  <c r="E127" i="2"/>
  <c r="F127" i="2" s="1"/>
  <c r="G126" i="2"/>
  <c r="E126" i="2"/>
  <c r="F126" i="2" s="1"/>
  <c r="G125" i="2"/>
  <c r="E125" i="2"/>
  <c r="F125" i="2" s="1"/>
  <c r="G124" i="2"/>
  <c r="E124" i="2"/>
  <c r="F124" i="2" s="1"/>
  <c r="G123" i="2"/>
  <c r="E123" i="2"/>
  <c r="F123" i="2" s="1"/>
  <c r="G122" i="2"/>
  <c r="E122" i="2"/>
  <c r="F122" i="2" s="1"/>
  <c r="G121" i="2"/>
  <c r="E121" i="2"/>
  <c r="F121" i="2" s="1"/>
  <c r="G120" i="2"/>
  <c r="E120" i="2"/>
  <c r="G119" i="2"/>
  <c r="E119" i="2"/>
  <c r="F119" i="2" s="1"/>
  <c r="G118" i="2"/>
  <c r="E118" i="2"/>
  <c r="G117" i="2"/>
  <c r="E117" i="2"/>
  <c r="F117" i="2" s="1"/>
  <c r="G116" i="2"/>
  <c r="E116" i="2"/>
  <c r="F116" i="2" s="1"/>
  <c r="G115" i="2"/>
  <c r="E115" i="2"/>
  <c r="F115" i="2" s="1"/>
  <c r="G114" i="2"/>
  <c r="E114" i="2"/>
  <c r="F114" i="2" s="1"/>
  <c r="G113" i="2"/>
  <c r="E113" i="2"/>
  <c r="F113" i="2" s="1"/>
  <c r="G112" i="2"/>
  <c r="E112" i="2"/>
  <c r="F112" i="2" s="1"/>
  <c r="G111" i="2"/>
  <c r="E111" i="2"/>
  <c r="F111" i="2" s="1"/>
  <c r="G110" i="2"/>
  <c r="E110" i="2"/>
  <c r="F110" i="2" s="1"/>
  <c r="G109" i="2"/>
  <c r="E109" i="2"/>
  <c r="F109" i="2" s="1"/>
  <c r="G108" i="2"/>
  <c r="E108" i="2"/>
  <c r="F108" i="2" s="1"/>
  <c r="G107" i="2"/>
  <c r="E107" i="2"/>
  <c r="F107" i="2" s="1"/>
  <c r="G106" i="2"/>
  <c r="E106" i="2"/>
  <c r="F106" i="2" s="1"/>
  <c r="G105" i="2"/>
  <c r="E105" i="2"/>
  <c r="F105" i="2" s="1"/>
  <c r="G104" i="2"/>
  <c r="E104" i="2"/>
  <c r="G103" i="2"/>
  <c r="E103" i="2"/>
  <c r="F103" i="2" s="1"/>
  <c r="G102" i="2"/>
  <c r="E102" i="2"/>
  <c r="G101" i="2"/>
  <c r="E101" i="2"/>
  <c r="F101" i="2" s="1"/>
  <c r="G100" i="2"/>
  <c r="E100" i="2"/>
  <c r="F100" i="2" s="1"/>
  <c r="G99" i="2"/>
  <c r="E99" i="2"/>
  <c r="F99" i="2" s="1"/>
  <c r="G98" i="2"/>
  <c r="E98" i="2"/>
  <c r="F98" i="2" s="1"/>
  <c r="G97" i="2"/>
  <c r="E97" i="2"/>
  <c r="F97" i="2" s="1"/>
  <c r="G96" i="2"/>
  <c r="E96" i="2"/>
  <c r="F96" i="2" s="1"/>
  <c r="G95" i="2"/>
  <c r="E95" i="2"/>
  <c r="F95" i="2" s="1"/>
  <c r="G94" i="2"/>
  <c r="E94" i="2"/>
  <c r="F94" i="2" s="1"/>
  <c r="G93" i="2"/>
  <c r="E93" i="2"/>
  <c r="F93" i="2" s="1"/>
  <c r="G92" i="2"/>
  <c r="E92" i="2"/>
  <c r="F92" i="2" s="1"/>
  <c r="G91" i="2"/>
  <c r="E91" i="2"/>
  <c r="F91" i="2" s="1"/>
  <c r="G90" i="2"/>
  <c r="E90" i="2"/>
  <c r="F90" i="2" s="1"/>
  <c r="G89" i="2"/>
  <c r="E89" i="2"/>
  <c r="F89" i="2" s="1"/>
  <c r="G88" i="2"/>
  <c r="E88" i="2"/>
  <c r="G87" i="2"/>
  <c r="E87" i="2"/>
  <c r="F87" i="2" s="1"/>
  <c r="G86" i="2"/>
  <c r="E86" i="2"/>
  <c r="G85" i="2"/>
  <c r="E85" i="2"/>
  <c r="F85" i="2" s="1"/>
  <c r="G84" i="2"/>
  <c r="E84" i="2"/>
  <c r="F84" i="2" s="1"/>
  <c r="G83" i="2"/>
  <c r="E83" i="2"/>
  <c r="F83" i="2" s="1"/>
  <c r="G82" i="2"/>
  <c r="E82" i="2"/>
  <c r="G81" i="2"/>
  <c r="E81" i="2"/>
  <c r="F81" i="2" s="1"/>
  <c r="G80" i="2"/>
  <c r="E80" i="2"/>
  <c r="F80" i="2" s="1"/>
  <c r="G79" i="2"/>
  <c r="E79" i="2"/>
  <c r="F79" i="2" s="1"/>
  <c r="G78" i="2"/>
  <c r="E78" i="2"/>
  <c r="F78" i="2" s="1"/>
  <c r="G77" i="2"/>
  <c r="E77" i="2"/>
  <c r="F77" i="2" s="1"/>
  <c r="G76" i="2"/>
  <c r="E76" i="2"/>
  <c r="F76" i="2" s="1"/>
  <c r="G75" i="2"/>
  <c r="E75" i="2"/>
  <c r="F75" i="2" s="1"/>
  <c r="G74" i="2"/>
  <c r="E74" i="2"/>
  <c r="F74" i="2" s="1"/>
  <c r="G73" i="2"/>
  <c r="E73" i="2"/>
  <c r="F73" i="2" s="1"/>
  <c r="G72" i="2"/>
  <c r="E72" i="2"/>
  <c r="F72" i="2" s="1"/>
  <c r="G71" i="2"/>
  <c r="E71" i="2"/>
  <c r="F71" i="2" s="1"/>
  <c r="G70" i="2"/>
  <c r="E70" i="2"/>
  <c r="G69" i="2"/>
  <c r="E69" i="2"/>
  <c r="F69" i="2" s="1"/>
  <c r="G68" i="2"/>
  <c r="E68" i="2"/>
  <c r="F68" i="2" s="1"/>
  <c r="G67" i="2"/>
  <c r="E67" i="2"/>
  <c r="F67" i="2" s="1"/>
  <c r="G66" i="2"/>
  <c r="E66" i="2"/>
  <c r="F66" i="2" s="1"/>
  <c r="G65" i="2"/>
  <c r="F65" i="2"/>
  <c r="E65" i="2"/>
  <c r="G64" i="2"/>
  <c r="E64" i="2"/>
  <c r="F64" i="2" s="1"/>
  <c r="G63" i="2"/>
  <c r="E63" i="2"/>
  <c r="F63" i="2" s="1"/>
  <c r="G62" i="2"/>
  <c r="E62" i="2"/>
  <c r="F62" i="2" s="1"/>
  <c r="G61" i="2"/>
  <c r="E61" i="2"/>
  <c r="F61" i="2" s="1"/>
  <c r="G60" i="2"/>
  <c r="E60" i="2"/>
  <c r="F60" i="2" s="1"/>
  <c r="G59" i="2"/>
  <c r="E59" i="2"/>
  <c r="F59" i="2" s="1"/>
  <c r="G58" i="2"/>
  <c r="E58" i="2"/>
  <c r="F58" i="2" s="1"/>
  <c r="G57" i="2"/>
  <c r="E57" i="2"/>
  <c r="F57" i="2" s="1"/>
  <c r="G56" i="2"/>
  <c r="E56" i="2"/>
  <c r="F56" i="2" s="1"/>
  <c r="G55" i="2"/>
  <c r="E55" i="2"/>
  <c r="F55" i="2" s="1"/>
  <c r="G54" i="2"/>
  <c r="E54" i="2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36" i="2"/>
  <c r="E36" i="2"/>
  <c r="F36" i="2" s="1"/>
  <c r="G35" i="2"/>
  <c r="E35" i="2"/>
  <c r="F35" i="2" s="1"/>
  <c r="G34" i="2"/>
  <c r="E34" i="2"/>
  <c r="F34" i="2" s="1"/>
  <c r="G33" i="2"/>
  <c r="E33" i="2"/>
  <c r="F33" i="2" s="1"/>
  <c r="G32" i="2"/>
  <c r="E32" i="2"/>
  <c r="F32" i="2" s="1"/>
  <c r="G31" i="2"/>
  <c r="E31" i="2"/>
  <c r="F31" i="2" s="1"/>
  <c r="G30" i="2"/>
  <c r="E30" i="2"/>
  <c r="F30" i="2" s="1"/>
  <c r="G29" i="2"/>
  <c r="E29" i="2"/>
  <c r="F29" i="2" s="1"/>
  <c r="G28" i="2"/>
  <c r="E28" i="2"/>
  <c r="F28" i="2" s="1"/>
  <c r="G27" i="2"/>
  <c r="E27" i="2"/>
  <c r="F27" i="2" s="1"/>
  <c r="G26" i="2"/>
  <c r="E26" i="2"/>
  <c r="F26" i="2" s="1"/>
  <c r="G25" i="2"/>
  <c r="E25" i="2"/>
  <c r="F25" i="2" s="1"/>
  <c r="G24" i="2"/>
  <c r="E24" i="2"/>
  <c r="F24" i="2" s="1"/>
  <c r="G23" i="2"/>
  <c r="E23" i="2"/>
  <c r="F23" i="2" s="1"/>
  <c r="G22" i="2"/>
  <c r="E22" i="2"/>
  <c r="F22" i="2" s="1"/>
  <c r="G21" i="2"/>
  <c r="E21" i="2"/>
  <c r="F21" i="2" s="1"/>
  <c r="G20" i="2"/>
  <c r="E20" i="2"/>
  <c r="F20" i="2" s="1"/>
  <c r="G19" i="2"/>
  <c r="E19" i="2"/>
  <c r="F19" i="2" s="1"/>
  <c r="G18" i="2"/>
  <c r="E18" i="2"/>
  <c r="F18" i="2" s="1"/>
  <c r="G17" i="2"/>
  <c r="E17" i="2"/>
  <c r="F17" i="2" s="1"/>
  <c r="G16" i="2"/>
  <c r="E16" i="2"/>
  <c r="F16" i="2" s="1"/>
  <c r="G15" i="2"/>
  <c r="E15" i="2"/>
  <c r="F15" i="2" s="1"/>
  <c r="G14" i="2"/>
  <c r="E14" i="2"/>
  <c r="F14" i="2" s="1"/>
  <c r="G13" i="2"/>
  <c r="E13" i="2"/>
  <c r="F13" i="2" s="1"/>
  <c r="G12" i="2"/>
  <c r="E12" i="2"/>
  <c r="F12" i="2" s="1"/>
  <c r="G11" i="2"/>
  <c r="E11" i="2"/>
  <c r="F11" i="2" s="1"/>
  <c r="G10" i="2"/>
  <c r="E10" i="2"/>
  <c r="F10" i="2" s="1"/>
  <c r="G9" i="2"/>
  <c r="E9" i="2"/>
  <c r="F9" i="2" s="1"/>
  <c r="G8" i="2"/>
  <c r="E8" i="2"/>
  <c r="F8" i="2" s="1"/>
  <c r="E7" i="2"/>
  <c r="H7" i="2" s="1"/>
  <c r="H117" i="3" l="1"/>
  <c r="H74" i="5"/>
  <c r="H114" i="5"/>
  <c r="H138" i="5"/>
  <c r="F49" i="6"/>
  <c r="H100" i="2"/>
  <c r="H132" i="2"/>
  <c r="H148" i="2"/>
  <c r="H96" i="3"/>
  <c r="H100" i="3"/>
  <c r="H17" i="11"/>
  <c r="H109" i="11"/>
  <c r="F17" i="14"/>
  <c r="H71" i="14"/>
  <c r="H79" i="14"/>
  <c r="H83" i="14"/>
  <c r="H141" i="8"/>
  <c r="H149" i="8"/>
  <c r="H14" i="9"/>
  <c r="H106" i="9"/>
  <c r="H121" i="9"/>
  <c r="H140" i="9"/>
  <c r="H34" i="10"/>
  <c r="H49" i="10"/>
  <c r="H56" i="10"/>
  <c r="H75" i="10"/>
  <c r="H98" i="10"/>
  <c r="H156" i="10"/>
  <c r="H21" i="11"/>
  <c r="H121" i="11"/>
  <c r="H44" i="12"/>
  <c r="H78" i="12"/>
  <c r="H94" i="12"/>
  <c r="H102" i="12"/>
  <c r="H106" i="12"/>
  <c r="H136" i="12"/>
  <c r="H140" i="12"/>
  <c r="H144" i="12"/>
  <c r="H158" i="12"/>
  <c r="H41" i="14"/>
  <c r="H153" i="8"/>
  <c r="H26" i="9"/>
  <c r="H49" i="9"/>
  <c r="H57" i="9"/>
  <c r="H156" i="9"/>
  <c r="H60" i="10"/>
  <c r="H64" i="10"/>
  <c r="H102" i="10"/>
  <c r="H114" i="10"/>
  <c r="H118" i="10"/>
  <c r="H11" i="11"/>
  <c r="H79" i="11"/>
  <c r="H137" i="11"/>
  <c r="H10" i="12"/>
  <c r="H114" i="12"/>
  <c r="H148" i="12"/>
  <c r="H94" i="5"/>
  <c r="H130" i="5"/>
  <c r="H44" i="7"/>
  <c r="H68" i="8"/>
  <c r="H95" i="8"/>
  <c r="H90" i="2"/>
  <c r="H94" i="2"/>
  <c r="H98" i="2"/>
  <c r="H106" i="2"/>
  <c r="H138" i="2"/>
  <c r="H142" i="2"/>
  <c r="H146" i="2"/>
  <c r="H154" i="2"/>
  <c r="H98" i="3"/>
  <c r="F65" i="6"/>
  <c r="H45" i="7"/>
  <c r="H57" i="7"/>
  <c r="H61" i="7"/>
  <c r="H69" i="7"/>
  <c r="H73" i="7"/>
  <c r="H99" i="8"/>
  <c r="H115" i="8"/>
  <c r="H145" i="11"/>
  <c r="H149" i="11"/>
  <c r="H118" i="12"/>
  <c r="H126" i="12"/>
  <c r="H130" i="12"/>
  <c r="H11" i="14"/>
  <c r="H82" i="5"/>
  <c r="H122" i="5"/>
  <c r="H91" i="8"/>
  <c r="H106" i="8"/>
  <c r="H17" i="7"/>
  <c r="F8" i="6"/>
  <c r="H81" i="6"/>
  <c r="F104" i="6"/>
  <c r="F111" i="6"/>
  <c r="H57" i="8"/>
  <c r="H35" i="9"/>
  <c r="H134" i="9"/>
  <c r="H14" i="10"/>
  <c r="H88" i="10"/>
  <c r="H107" i="10"/>
  <c r="H134" i="10"/>
  <c r="H150" i="10"/>
  <c r="H14" i="12"/>
  <c r="H23" i="8"/>
  <c r="H77" i="8"/>
  <c r="H93" i="8"/>
  <c r="H100" i="8"/>
  <c r="H139" i="8"/>
  <c r="H108" i="9"/>
  <c r="H150" i="9"/>
  <c r="H58" i="10"/>
  <c r="H69" i="10"/>
  <c r="H92" i="10"/>
  <c r="H90" i="5"/>
  <c r="H126" i="5"/>
  <c r="H158" i="5"/>
  <c r="H131" i="7"/>
  <c r="H155" i="7"/>
  <c r="H99" i="6"/>
  <c r="F102" i="6"/>
  <c r="H136" i="6"/>
  <c r="F139" i="6"/>
  <c r="F154" i="6"/>
  <c r="F32" i="6"/>
  <c r="H35" i="6"/>
  <c r="F38" i="6"/>
  <c r="F40" i="6"/>
  <c r="F46" i="6"/>
  <c r="F66" i="6"/>
  <c r="F72" i="6"/>
  <c r="H86" i="6"/>
  <c r="H92" i="6"/>
  <c r="H94" i="6"/>
  <c r="F97" i="6"/>
  <c r="H134" i="6"/>
  <c r="F63" i="6"/>
  <c r="F114" i="6"/>
  <c r="F44" i="6"/>
  <c r="F50" i="6"/>
  <c r="F70" i="6"/>
  <c r="F113" i="6"/>
  <c r="H15" i="14"/>
  <c r="H39" i="14"/>
  <c r="H45" i="14"/>
  <c r="H51" i="14"/>
  <c r="H69" i="14"/>
  <c r="H75" i="14"/>
  <c r="H126" i="14"/>
  <c r="H128" i="14"/>
  <c r="H134" i="14"/>
  <c r="H138" i="14"/>
  <c r="H13" i="14"/>
  <c r="H146" i="14"/>
  <c r="H150" i="14"/>
  <c r="H21" i="14"/>
  <c r="H27" i="14"/>
  <c r="H31" i="14"/>
  <c r="H44" i="14"/>
  <c r="H55" i="14"/>
  <c r="H91" i="14"/>
  <c r="H98" i="14"/>
  <c r="H100" i="14"/>
  <c r="H127" i="14"/>
  <c r="H141" i="14"/>
  <c r="H19" i="14"/>
  <c r="H147" i="14"/>
  <c r="H149" i="14"/>
  <c r="H27" i="13"/>
  <c r="H29" i="13"/>
  <c r="H37" i="13"/>
  <c r="H45" i="13"/>
  <c r="H92" i="13"/>
  <c r="H135" i="13"/>
  <c r="H141" i="13"/>
  <c r="H67" i="13"/>
  <c r="H36" i="13"/>
  <c r="H79" i="13"/>
  <c r="H83" i="13"/>
  <c r="H85" i="13"/>
  <c r="H93" i="13"/>
  <c r="H95" i="13"/>
  <c r="H99" i="13"/>
  <c r="H101" i="13"/>
  <c r="H107" i="13"/>
  <c r="H109" i="13"/>
  <c r="H111" i="13"/>
  <c r="H115" i="13"/>
  <c r="H117" i="13"/>
  <c r="H121" i="13"/>
  <c r="H152" i="13"/>
  <c r="H54" i="11"/>
  <c r="H19" i="11"/>
  <c r="H33" i="11"/>
  <c r="H39" i="11"/>
  <c r="F109" i="11"/>
  <c r="H120" i="11"/>
  <c r="H125" i="11"/>
  <c r="H127" i="11"/>
  <c r="H134" i="11"/>
  <c r="H140" i="11"/>
  <c r="H156" i="11"/>
  <c r="H31" i="11"/>
  <c r="H56" i="11"/>
  <c r="H81" i="11"/>
  <c r="H150" i="11"/>
  <c r="H152" i="11"/>
  <c r="H27" i="11"/>
  <c r="H29" i="11"/>
  <c r="H51" i="11"/>
  <c r="H104" i="11"/>
  <c r="H153" i="11"/>
  <c r="H157" i="11"/>
  <c r="F54" i="10"/>
  <c r="H128" i="10"/>
  <c r="H130" i="10"/>
  <c r="H21" i="10"/>
  <c r="H44" i="10"/>
  <c r="H11" i="10"/>
  <c r="H16" i="10"/>
  <c r="H18" i="10"/>
  <c r="H26" i="10"/>
  <c r="H33" i="10"/>
  <c r="H36" i="10"/>
  <c r="H86" i="10"/>
  <c r="F118" i="10"/>
  <c r="H132" i="10"/>
  <c r="H154" i="10"/>
  <c r="H24" i="10"/>
  <c r="H46" i="10"/>
  <c r="H20" i="10"/>
  <c r="H38" i="10"/>
  <c r="H50" i="10"/>
  <c r="H78" i="10"/>
  <c r="H110" i="10"/>
  <c r="H140" i="10"/>
  <c r="H142" i="10"/>
  <c r="H144" i="10"/>
  <c r="H146" i="10"/>
  <c r="H149" i="10"/>
  <c r="H52" i="9"/>
  <c r="H83" i="9"/>
  <c r="H110" i="9"/>
  <c r="H125" i="9"/>
  <c r="H138" i="9"/>
  <c r="H147" i="9"/>
  <c r="H151" i="9"/>
  <c r="H116" i="9"/>
  <c r="H94" i="9"/>
  <c r="H104" i="9"/>
  <c r="H9" i="8"/>
  <c r="H11" i="8"/>
  <c r="H13" i="8"/>
  <c r="H19" i="8"/>
  <c r="H24" i="8"/>
  <c r="H30" i="8"/>
  <c r="H39" i="8"/>
  <c r="H45" i="8"/>
  <c r="H47" i="8"/>
  <c r="H51" i="8"/>
  <c r="H67" i="8"/>
  <c r="H79" i="8"/>
  <c r="H83" i="8"/>
  <c r="H98" i="8"/>
  <c r="H105" i="8"/>
  <c r="H122" i="8"/>
  <c r="H131" i="8"/>
  <c r="H143" i="8"/>
  <c r="H94" i="8"/>
  <c r="H120" i="8"/>
  <c r="H127" i="8"/>
  <c r="H129" i="8"/>
  <c r="H17" i="8"/>
  <c r="H38" i="8"/>
  <c r="H49" i="8"/>
  <c r="H61" i="8"/>
  <c r="H71" i="8"/>
  <c r="H85" i="8"/>
  <c r="H135" i="8"/>
  <c r="H147" i="8"/>
  <c r="H152" i="8"/>
  <c r="H9" i="7"/>
  <c r="H97" i="7"/>
  <c r="H15" i="7"/>
  <c r="H25" i="7"/>
  <c r="H60" i="7"/>
  <c r="H66" i="7"/>
  <c r="H72" i="7"/>
  <c r="H99" i="7"/>
  <c r="H81" i="7"/>
  <c r="H93" i="7"/>
  <c r="F16" i="6"/>
  <c r="H19" i="6"/>
  <c r="F22" i="6"/>
  <c r="F24" i="6"/>
  <c r="H27" i="6"/>
  <c r="F60" i="6"/>
  <c r="F62" i="6"/>
  <c r="F76" i="6"/>
  <c r="F78" i="6"/>
  <c r="F108" i="6"/>
  <c r="F110" i="6"/>
  <c r="F143" i="6"/>
  <c r="F145" i="6"/>
  <c r="H152" i="6"/>
  <c r="H83" i="6"/>
  <c r="F88" i="6"/>
  <c r="F124" i="6"/>
  <c r="F130" i="6"/>
  <c r="F141" i="6"/>
  <c r="F151" i="6"/>
  <c r="F157" i="6"/>
  <c r="F149" i="6"/>
  <c r="F155" i="6"/>
  <c r="H14" i="3"/>
  <c r="H22" i="3"/>
  <c r="H26" i="3"/>
  <c r="H28" i="3"/>
  <c r="H121" i="3"/>
  <c r="H153" i="3"/>
  <c r="H155" i="3"/>
  <c r="H30" i="3"/>
  <c r="H90" i="3"/>
  <c r="H104" i="3"/>
  <c r="H99" i="3"/>
  <c r="H7" i="3"/>
  <c r="H46" i="3"/>
  <c r="H52" i="3"/>
  <c r="H54" i="3"/>
  <c r="H78" i="3"/>
  <c r="H82" i="3"/>
  <c r="H105" i="3"/>
  <c r="H113" i="3"/>
  <c r="H123" i="3"/>
  <c r="H125" i="3"/>
  <c r="H129" i="3"/>
  <c r="H9" i="3"/>
  <c r="H44" i="3"/>
  <c r="H48" i="3"/>
  <c r="H86" i="3"/>
  <c r="H115" i="3"/>
  <c r="H120" i="3"/>
  <c r="H147" i="3"/>
  <c r="H74" i="2"/>
  <c r="H8" i="5"/>
  <c r="H10" i="5"/>
  <c r="H18" i="5"/>
  <c r="H20" i="5"/>
  <c r="H28" i="5"/>
  <c r="H50" i="5"/>
  <c r="H8" i="2"/>
  <c r="H10" i="2"/>
  <c r="H12" i="2"/>
  <c r="H14" i="2"/>
  <c r="H16" i="2"/>
  <c r="H20" i="2"/>
  <c r="H34" i="2"/>
  <c r="H36" i="2"/>
  <c r="H52" i="2"/>
  <c r="H60" i="2"/>
  <c r="H62" i="2"/>
  <c r="H23" i="2"/>
  <c r="H27" i="2"/>
  <c r="H31" i="2"/>
  <c r="H51" i="2"/>
  <c r="H46" i="2"/>
  <c r="H59" i="2"/>
  <c r="H61" i="2"/>
  <c r="H64" i="2"/>
  <c r="H99" i="2"/>
  <c r="H133" i="2"/>
  <c r="H139" i="2"/>
  <c r="H141" i="2"/>
  <c r="H155" i="2"/>
  <c r="H21" i="2"/>
  <c r="H25" i="2"/>
  <c r="H29" i="2"/>
  <c r="H53" i="2"/>
  <c r="H82" i="2"/>
  <c r="H127" i="5"/>
  <c r="H129" i="5"/>
  <c r="H133" i="5"/>
  <c r="H135" i="5"/>
  <c r="H27" i="8"/>
  <c r="F15" i="8"/>
  <c r="H20" i="8"/>
  <c r="H25" i="8"/>
  <c r="F51" i="8"/>
  <c r="H107" i="8"/>
  <c r="F111" i="8"/>
  <c r="H29" i="8"/>
  <c r="H33" i="8"/>
  <c r="H35" i="8"/>
  <c r="H64" i="8"/>
  <c r="H72" i="8"/>
  <c r="H126" i="8"/>
  <c r="H133" i="8"/>
  <c r="H136" i="8"/>
  <c r="H145" i="8"/>
  <c r="H148" i="8"/>
  <c r="H154" i="8"/>
  <c r="F19" i="8"/>
  <c r="H52" i="8"/>
  <c r="H109" i="8"/>
  <c r="H14" i="8"/>
  <c r="H18" i="8"/>
  <c r="H37" i="8"/>
  <c r="H50" i="8"/>
  <c r="H81" i="8"/>
  <c r="H86" i="8"/>
  <c r="H89" i="8"/>
  <c r="H97" i="8"/>
  <c r="H116" i="8"/>
  <c r="H119" i="8"/>
  <c r="H23" i="9"/>
  <c r="H30" i="9"/>
  <c r="H78" i="9"/>
  <c r="H105" i="9"/>
  <c r="H113" i="9"/>
  <c r="H12" i="9"/>
  <c r="H41" i="9"/>
  <c r="H48" i="9"/>
  <c r="H67" i="9"/>
  <c r="F104" i="9"/>
  <c r="H109" i="9"/>
  <c r="H131" i="9"/>
  <c r="H8" i="9"/>
  <c r="H32" i="9"/>
  <c r="H54" i="9"/>
  <c r="H80" i="9"/>
  <c r="F94" i="9"/>
  <c r="H144" i="9"/>
  <c r="F7" i="9"/>
  <c r="H53" i="9"/>
  <c r="H64" i="9"/>
  <c r="H77" i="9"/>
  <c r="H99" i="9"/>
  <c r="H117" i="9"/>
  <c r="H128" i="9"/>
  <c r="H141" i="9"/>
  <c r="H155" i="9"/>
  <c r="H12" i="10"/>
  <c r="H40" i="10"/>
  <c r="H62" i="10"/>
  <c r="H76" i="10"/>
  <c r="H94" i="10"/>
  <c r="H108" i="10"/>
  <c r="H126" i="10"/>
  <c r="H139" i="10"/>
  <c r="H8" i="10"/>
  <c r="H10" i="10"/>
  <c r="H13" i="10"/>
  <c r="H59" i="10"/>
  <c r="H72" i="10"/>
  <c r="H74" i="10"/>
  <c r="H77" i="10"/>
  <c r="H91" i="10"/>
  <c r="H104" i="10"/>
  <c r="H106" i="10"/>
  <c r="H123" i="10"/>
  <c r="H136" i="10"/>
  <c r="H138" i="10"/>
  <c r="H141" i="10"/>
  <c r="H25" i="11"/>
  <c r="F29" i="11"/>
  <c r="H34" i="11"/>
  <c r="H47" i="11"/>
  <c r="H53" i="11"/>
  <c r="H82" i="11"/>
  <c r="H97" i="11"/>
  <c r="H100" i="11"/>
  <c r="F123" i="11"/>
  <c r="H13" i="11"/>
  <c r="H22" i="11"/>
  <c r="H37" i="11"/>
  <c r="H50" i="11"/>
  <c r="H65" i="11"/>
  <c r="H93" i="11"/>
  <c r="H102" i="11"/>
  <c r="H107" i="11"/>
  <c r="H118" i="11"/>
  <c r="H155" i="11"/>
  <c r="H9" i="11"/>
  <c r="F13" i="11"/>
  <c r="H23" i="11"/>
  <c r="H36" i="11"/>
  <c r="H45" i="11"/>
  <c r="H49" i="11"/>
  <c r="H99" i="11"/>
  <c r="H103" i="11"/>
  <c r="H119" i="11"/>
  <c r="H141" i="11"/>
  <c r="H147" i="11"/>
  <c r="H151" i="11"/>
  <c r="H19" i="13"/>
  <c r="H21" i="13"/>
  <c r="H39" i="13"/>
  <c r="H47" i="13"/>
  <c r="H53" i="13"/>
  <c r="H59" i="13"/>
  <c r="H61" i="13"/>
  <c r="H63" i="13"/>
  <c r="H70" i="13"/>
  <c r="H103" i="13"/>
  <c r="H131" i="13"/>
  <c r="H144" i="13"/>
  <c r="H9" i="13"/>
  <c r="H33" i="13"/>
  <c r="H42" i="13"/>
  <c r="H48" i="13"/>
  <c r="H50" i="13"/>
  <c r="H64" i="13"/>
  <c r="H66" i="13"/>
  <c r="H71" i="13"/>
  <c r="H73" i="13"/>
  <c r="H104" i="13"/>
  <c r="H132" i="13"/>
  <c r="H147" i="13"/>
  <c r="H11" i="13"/>
  <c r="H13" i="13"/>
  <c r="H28" i="13"/>
  <c r="H35" i="13"/>
  <c r="H75" i="13"/>
  <c r="H77" i="13"/>
  <c r="H84" i="13"/>
  <c r="H91" i="13"/>
  <c r="H110" i="13"/>
  <c r="H138" i="13"/>
  <c r="H142" i="13"/>
  <c r="H151" i="13"/>
  <c r="F11" i="14"/>
  <c r="H43" i="14"/>
  <c r="H59" i="14"/>
  <c r="H67" i="14"/>
  <c r="H113" i="14"/>
  <c r="H131" i="14"/>
  <c r="H133" i="14"/>
  <c r="H136" i="14"/>
  <c r="H153" i="14"/>
  <c r="H29" i="14"/>
  <c r="H34" i="14"/>
  <c r="H37" i="14"/>
  <c r="H53" i="14"/>
  <c r="H104" i="14"/>
  <c r="H108" i="14"/>
  <c r="H33" i="14"/>
  <c r="H47" i="14"/>
  <c r="H57" i="14"/>
  <c r="H61" i="14"/>
  <c r="H66" i="14"/>
  <c r="H85" i="14"/>
  <c r="H97" i="14"/>
  <c r="H130" i="14"/>
  <c r="H140" i="14"/>
  <c r="H152" i="14"/>
  <c r="H23" i="14"/>
  <c r="H65" i="14"/>
  <c r="H77" i="14"/>
  <c r="H87" i="14"/>
  <c r="H7" i="14"/>
  <c r="F9" i="14"/>
  <c r="E3" i="14" s="1"/>
  <c r="H12" i="14"/>
  <c r="F15" i="14"/>
  <c r="H18" i="14"/>
  <c r="F21" i="14"/>
  <c r="F27" i="14"/>
  <c r="H28" i="14"/>
  <c r="F31" i="14"/>
  <c r="H38" i="14"/>
  <c r="F41" i="14"/>
  <c r="F51" i="14"/>
  <c r="H54" i="14"/>
  <c r="F57" i="14"/>
  <c r="H60" i="14"/>
  <c r="F63" i="14"/>
  <c r="F69" i="14"/>
  <c r="F75" i="14"/>
  <c r="H99" i="14"/>
  <c r="H105" i="14"/>
  <c r="H117" i="14"/>
  <c r="H123" i="14"/>
  <c r="H143" i="14"/>
  <c r="H155" i="14"/>
  <c r="H22" i="14"/>
  <c r="H36" i="14"/>
  <c r="H42" i="14"/>
  <c r="H52" i="14"/>
  <c r="H58" i="14"/>
  <c r="H70" i="14"/>
  <c r="H76" i="14"/>
  <c r="H86" i="14"/>
  <c r="H92" i="14"/>
  <c r="H95" i="14"/>
  <c r="H112" i="14"/>
  <c r="H114" i="14"/>
  <c r="H118" i="14"/>
  <c r="H119" i="14"/>
  <c r="H125" i="14"/>
  <c r="H129" i="14"/>
  <c r="H132" i="14"/>
  <c r="H135" i="14"/>
  <c r="H139" i="14"/>
  <c r="H145" i="14"/>
  <c r="H148" i="14"/>
  <c r="H151" i="14"/>
  <c r="H157" i="14"/>
  <c r="H74" i="14"/>
  <c r="H102" i="14"/>
  <c r="H106" i="14"/>
  <c r="H110" i="14"/>
  <c r="H116" i="14"/>
  <c r="F118" i="14"/>
  <c r="H121" i="14"/>
  <c r="H154" i="14"/>
  <c r="H8" i="13"/>
  <c r="H14" i="13"/>
  <c r="H16" i="13"/>
  <c r="H22" i="13"/>
  <c r="H24" i="13"/>
  <c r="H44" i="13"/>
  <c r="H52" i="13"/>
  <c r="H57" i="13"/>
  <c r="H60" i="13"/>
  <c r="H72" i="13"/>
  <c r="H78" i="13"/>
  <c r="H97" i="13"/>
  <c r="H100" i="13"/>
  <c r="H106" i="13"/>
  <c r="H112" i="13"/>
  <c r="H114" i="13"/>
  <c r="H118" i="13"/>
  <c r="H120" i="13"/>
  <c r="H140" i="13"/>
  <c r="F7" i="13"/>
  <c r="H10" i="13"/>
  <c r="H18" i="13"/>
  <c r="H26" i="13"/>
  <c r="H30" i="13"/>
  <c r="H32" i="13"/>
  <c r="H34" i="13"/>
  <c r="H38" i="13"/>
  <c r="H41" i="13"/>
  <c r="H65" i="13"/>
  <c r="H68" i="13"/>
  <c r="H74" i="13"/>
  <c r="H80" i="13"/>
  <c r="H82" i="13"/>
  <c r="H86" i="13"/>
  <c r="H88" i="13"/>
  <c r="H90" i="13"/>
  <c r="H94" i="13"/>
  <c r="H108" i="13"/>
  <c r="H122" i="13"/>
  <c r="H126" i="13"/>
  <c r="H128" i="13"/>
  <c r="H130" i="13"/>
  <c r="H134" i="13"/>
  <c r="H137" i="13"/>
  <c r="H143" i="13"/>
  <c r="H146" i="13"/>
  <c r="H149" i="13"/>
  <c r="H154" i="13"/>
  <c r="H12" i="13"/>
  <c r="H20" i="13"/>
  <c r="H40" i="13"/>
  <c r="H43" i="13"/>
  <c r="H46" i="13"/>
  <c r="H51" i="13"/>
  <c r="H54" i="13"/>
  <c r="H56" i="13"/>
  <c r="H58" i="13"/>
  <c r="H62" i="13"/>
  <c r="H76" i="13"/>
  <c r="H96" i="13"/>
  <c r="H98" i="13"/>
  <c r="H102" i="13"/>
  <c r="H105" i="13"/>
  <c r="H116" i="13"/>
  <c r="H136" i="13"/>
  <c r="H139" i="13"/>
  <c r="H148" i="13"/>
  <c r="H153" i="13"/>
  <c r="H54" i="12"/>
  <c r="H60" i="12"/>
  <c r="H62" i="12"/>
  <c r="H66" i="12"/>
  <c r="H74" i="12"/>
  <c r="H80" i="12"/>
  <c r="H22" i="12"/>
  <c r="H28" i="12"/>
  <c r="H30" i="12"/>
  <c r="H36" i="12"/>
  <c r="H38" i="12"/>
  <c r="H42" i="12"/>
  <c r="H48" i="12"/>
  <c r="H50" i="12"/>
  <c r="F110" i="12"/>
  <c r="H86" i="12"/>
  <c r="H154" i="12"/>
  <c r="F17" i="11"/>
  <c r="H18" i="11"/>
  <c r="F23" i="11"/>
  <c r="F27" i="11"/>
  <c r="H30" i="11"/>
  <c r="H35" i="11"/>
  <c r="H42" i="11"/>
  <c r="H58" i="11"/>
  <c r="H61" i="11"/>
  <c r="H70" i="11"/>
  <c r="H73" i="11"/>
  <c r="H76" i="11"/>
  <c r="H83" i="11"/>
  <c r="H86" i="11"/>
  <c r="H92" i="11"/>
  <c r="H95" i="11"/>
  <c r="F97" i="11"/>
  <c r="H105" i="11"/>
  <c r="H116" i="11"/>
  <c r="F119" i="11"/>
  <c r="H124" i="11"/>
  <c r="F129" i="11"/>
  <c r="H131" i="11"/>
  <c r="F141" i="11"/>
  <c r="F151" i="11"/>
  <c r="H154" i="11"/>
  <c r="F157" i="11"/>
  <c r="H28" i="11"/>
  <c r="H38" i="11"/>
  <c r="H44" i="11"/>
  <c r="H60" i="11"/>
  <c r="H63" i="11"/>
  <c r="H67" i="11"/>
  <c r="H71" i="11"/>
  <c r="H87" i="11"/>
  <c r="H91" i="11"/>
  <c r="H108" i="11"/>
  <c r="H115" i="11"/>
  <c r="H130" i="11"/>
  <c r="H15" i="10"/>
  <c r="H27" i="10"/>
  <c r="H43" i="10"/>
  <c r="H63" i="10"/>
  <c r="H73" i="10"/>
  <c r="H79" i="10"/>
  <c r="H95" i="10"/>
  <c r="H105" i="10"/>
  <c r="H111" i="10"/>
  <c r="H121" i="10"/>
  <c r="H127" i="10"/>
  <c r="H137" i="10"/>
  <c r="H143" i="10"/>
  <c r="H25" i="10"/>
  <c r="H31" i="10"/>
  <c r="H37" i="10"/>
  <c r="H47" i="10"/>
  <c r="H17" i="10"/>
  <c r="H29" i="10"/>
  <c r="H55" i="10"/>
  <c r="H81" i="10"/>
  <c r="H97" i="10"/>
  <c r="H103" i="10"/>
  <c r="H113" i="10"/>
  <c r="H119" i="10"/>
  <c r="H155" i="10"/>
  <c r="H17" i="9"/>
  <c r="H22" i="9"/>
  <c r="H31" i="9"/>
  <c r="H62" i="9"/>
  <c r="H126" i="9"/>
  <c r="H118" i="9"/>
  <c r="H142" i="9"/>
  <c r="H10" i="9"/>
  <c r="H20" i="9"/>
  <c r="H27" i="9"/>
  <c r="H46" i="9"/>
  <c r="H50" i="9"/>
  <c r="F50" i="9"/>
  <c r="H58" i="9"/>
  <c r="H122" i="9"/>
  <c r="H16" i="9"/>
  <c r="H51" i="9"/>
  <c r="H71" i="9"/>
  <c r="H75" i="9"/>
  <c r="H87" i="9"/>
  <c r="H91" i="9"/>
  <c r="H95" i="9"/>
  <c r="H101" i="9"/>
  <c r="H112" i="9"/>
  <c r="H115" i="9"/>
  <c r="H135" i="9"/>
  <c r="H139" i="9"/>
  <c r="H123" i="9"/>
  <c r="H127" i="9"/>
  <c r="H133" i="9"/>
  <c r="H137" i="9"/>
  <c r="H143" i="9"/>
  <c r="H149" i="9"/>
  <c r="H153" i="9"/>
  <c r="H37" i="9"/>
  <c r="H43" i="9"/>
  <c r="H47" i="9"/>
  <c r="H55" i="9"/>
  <c r="H59" i="9"/>
  <c r="H63" i="9"/>
  <c r="H69" i="9"/>
  <c r="H73" i="9"/>
  <c r="H79" i="9"/>
  <c r="H85" i="9"/>
  <c r="H89" i="9"/>
  <c r="H93" i="9"/>
  <c r="H97" i="9"/>
  <c r="H103" i="9"/>
  <c r="H107" i="9"/>
  <c r="H119" i="9"/>
  <c r="H9" i="9"/>
  <c r="H15" i="9"/>
  <c r="H21" i="9"/>
  <c r="H25" i="9"/>
  <c r="H29" i="9"/>
  <c r="H33" i="9"/>
  <c r="H39" i="9"/>
  <c r="H42" i="9"/>
  <c r="H45" i="9"/>
  <c r="H65" i="9"/>
  <c r="H81" i="9"/>
  <c r="H84" i="9"/>
  <c r="H96" i="9"/>
  <c r="H111" i="9"/>
  <c r="H129" i="9"/>
  <c r="H136" i="9"/>
  <c r="H145" i="9"/>
  <c r="H148" i="9"/>
  <c r="H152" i="9"/>
  <c r="H157" i="9"/>
  <c r="H151" i="8"/>
  <c r="H8" i="8"/>
  <c r="H21" i="8"/>
  <c r="H36" i="8"/>
  <c r="H41" i="8"/>
  <c r="H48" i="8"/>
  <c r="H53" i="8"/>
  <c r="H56" i="8"/>
  <c r="H65" i="8"/>
  <c r="H69" i="8"/>
  <c r="H73" i="8"/>
  <c r="H84" i="8"/>
  <c r="H88" i="8"/>
  <c r="H101" i="8"/>
  <c r="H104" i="8"/>
  <c r="H110" i="8"/>
  <c r="H118" i="8"/>
  <c r="H123" i="8"/>
  <c r="H155" i="8"/>
  <c r="H7" i="8"/>
  <c r="H43" i="8"/>
  <c r="H55" i="8"/>
  <c r="H87" i="8"/>
  <c r="H103" i="8"/>
  <c r="H113" i="8"/>
  <c r="H117" i="8"/>
  <c r="H157" i="8"/>
  <c r="H14" i="7"/>
  <c r="H46" i="7"/>
  <c r="H78" i="7"/>
  <c r="H103" i="7"/>
  <c r="H23" i="7"/>
  <c r="H50" i="7"/>
  <c r="H82" i="7"/>
  <c r="H111" i="7"/>
  <c r="H36" i="7"/>
  <c r="H41" i="7"/>
  <c r="H58" i="7"/>
  <c r="H65" i="7"/>
  <c r="H70" i="7"/>
  <c r="H135" i="7"/>
  <c r="H12" i="7"/>
  <c r="H54" i="7"/>
  <c r="H80" i="7"/>
  <c r="H119" i="7"/>
  <c r="H152" i="7"/>
  <c r="H29" i="7"/>
  <c r="H38" i="7"/>
  <c r="H43" i="7"/>
  <c r="H11" i="7"/>
  <c r="H18" i="7"/>
  <c r="H20" i="7"/>
  <c r="H31" i="7"/>
  <c r="H77" i="7"/>
  <c r="H83" i="7"/>
  <c r="H85" i="7"/>
  <c r="H87" i="7"/>
  <c r="H104" i="7"/>
  <c r="H151" i="7"/>
  <c r="H15" i="3"/>
  <c r="H23" i="3"/>
  <c r="H27" i="3"/>
  <c r="H36" i="3"/>
  <c r="H38" i="3"/>
  <c r="H60" i="3"/>
  <c r="H62" i="3"/>
  <c r="H64" i="3"/>
  <c r="H68" i="3"/>
  <c r="H70" i="3"/>
  <c r="H80" i="3"/>
  <c r="H97" i="3"/>
  <c r="H103" i="3"/>
  <c r="H106" i="3"/>
  <c r="H110" i="3"/>
  <c r="H114" i="3"/>
  <c r="H119" i="3"/>
  <c r="H145" i="3"/>
  <c r="H20" i="3"/>
  <c r="H39" i="3"/>
  <c r="H41" i="3"/>
  <c r="H55" i="3"/>
  <c r="H57" i="3"/>
  <c r="H59" i="3"/>
  <c r="H61" i="3"/>
  <c r="H63" i="3"/>
  <c r="H67" i="3"/>
  <c r="H74" i="3"/>
  <c r="H101" i="3"/>
  <c r="H126" i="3"/>
  <c r="H137" i="3"/>
  <c r="H154" i="3"/>
  <c r="H43" i="3"/>
  <c r="H45" i="3"/>
  <c r="H47" i="3"/>
  <c r="H51" i="3"/>
  <c r="H26" i="7"/>
  <c r="H28" i="7"/>
  <c r="F131" i="7"/>
  <c r="H7" i="7"/>
  <c r="H10" i="7"/>
  <c r="H13" i="7"/>
  <c r="H30" i="7"/>
  <c r="H34" i="7"/>
  <c r="H37" i="7"/>
  <c r="H64" i="7"/>
  <c r="H79" i="7"/>
  <c r="F93" i="7"/>
  <c r="H98" i="7"/>
  <c r="H105" i="7"/>
  <c r="H109" i="7"/>
  <c r="H115" i="7"/>
  <c r="H117" i="7"/>
  <c r="H139" i="7"/>
  <c r="H146" i="7"/>
  <c r="F155" i="7"/>
  <c r="H22" i="7"/>
  <c r="F25" i="7"/>
  <c r="H47" i="7"/>
  <c r="H89" i="7"/>
  <c r="H113" i="7"/>
  <c r="H120" i="7"/>
  <c r="H136" i="7"/>
  <c r="H21" i="7"/>
  <c r="H55" i="7"/>
  <c r="H67" i="7"/>
  <c r="H88" i="7"/>
  <c r="F109" i="7"/>
  <c r="H114" i="7"/>
  <c r="H121" i="7"/>
  <c r="H125" i="7"/>
  <c r="H130" i="7"/>
  <c r="F139" i="7"/>
  <c r="H147" i="7"/>
  <c r="F9" i="6"/>
  <c r="F15" i="6"/>
  <c r="F18" i="6"/>
  <c r="F25" i="6"/>
  <c r="F31" i="6"/>
  <c r="F34" i="6"/>
  <c r="F41" i="6"/>
  <c r="H43" i="6"/>
  <c r="H51" i="6"/>
  <c r="F54" i="6"/>
  <c r="F56" i="6"/>
  <c r="H59" i="6"/>
  <c r="H75" i="6"/>
  <c r="F80" i="6"/>
  <c r="H91" i="6"/>
  <c r="F96" i="6"/>
  <c r="H115" i="6"/>
  <c r="F118" i="6"/>
  <c r="F120" i="6"/>
  <c r="H123" i="6"/>
  <c r="F133" i="6"/>
  <c r="F135" i="6"/>
  <c r="F138" i="6"/>
  <c r="F147" i="6"/>
  <c r="F153" i="6"/>
  <c r="H156" i="6"/>
  <c r="F12" i="6"/>
  <c r="F14" i="6"/>
  <c r="F17" i="6"/>
  <c r="F28" i="6"/>
  <c r="F30" i="6"/>
  <c r="F33" i="6"/>
  <c r="H45" i="6"/>
  <c r="F48" i="6"/>
  <c r="H61" i="6"/>
  <c r="F64" i="6"/>
  <c r="F73" i="6"/>
  <c r="F79" i="6"/>
  <c r="F82" i="6"/>
  <c r="F89" i="6"/>
  <c r="F95" i="6"/>
  <c r="F98" i="6"/>
  <c r="F105" i="6"/>
  <c r="H107" i="6"/>
  <c r="F112" i="6"/>
  <c r="F131" i="6"/>
  <c r="F137" i="6"/>
  <c r="H140" i="6"/>
  <c r="F146" i="6"/>
  <c r="H150" i="6"/>
  <c r="H24" i="3"/>
  <c r="F45" i="3"/>
  <c r="H128" i="3"/>
  <c r="H136" i="3"/>
  <c r="H8" i="3"/>
  <c r="H13" i="3"/>
  <c r="H29" i="3"/>
  <c r="H32" i="3"/>
  <c r="H37" i="3"/>
  <c r="F57" i="3"/>
  <c r="H69" i="3"/>
  <c r="H118" i="3"/>
  <c r="H122" i="3"/>
  <c r="H124" i="3"/>
  <c r="H131" i="3"/>
  <c r="H133" i="3"/>
  <c r="H143" i="3"/>
  <c r="H150" i="3"/>
  <c r="H152" i="3"/>
  <c r="F41" i="3"/>
  <c r="F51" i="3"/>
  <c r="F61" i="3"/>
  <c r="F80" i="3"/>
  <c r="F99" i="3"/>
  <c r="F103" i="3"/>
  <c r="H107" i="3"/>
  <c r="H139" i="3"/>
  <c r="H156" i="3"/>
  <c r="H16" i="3"/>
  <c r="H18" i="3"/>
  <c r="H25" i="3"/>
  <c r="H31" i="3"/>
  <c r="H35" i="3"/>
  <c r="F37" i="3"/>
  <c r="H42" i="3"/>
  <c r="H53" i="3"/>
  <c r="F69" i="3"/>
  <c r="H88" i="3"/>
  <c r="H130" i="3"/>
  <c r="H135" i="3"/>
  <c r="H7" i="12"/>
  <c r="H40" i="12"/>
  <c r="H104" i="12"/>
  <c r="H18" i="12"/>
  <c r="H82" i="12"/>
  <c r="H20" i="12"/>
  <c r="H84" i="12"/>
  <c r="H146" i="12"/>
  <c r="H156" i="12"/>
  <c r="H52" i="12"/>
  <c r="H116" i="12"/>
  <c r="H138" i="12"/>
  <c r="H50" i="2"/>
  <c r="H130" i="2"/>
  <c r="H39" i="2"/>
  <c r="H41" i="2"/>
  <c r="H43" i="2"/>
  <c r="H45" i="2"/>
  <c r="H66" i="2"/>
  <c r="H85" i="2"/>
  <c r="H104" i="2"/>
  <c r="H109" i="2"/>
  <c r="H123" i="2"/>
  <c r="H125" i="2"/>
  <c r="H38" i="2"/>
  <c r="H48" i="2"/>
  <c r="H67" i="2"/>
  <c r="H69" i="2"/>
  <c r="H76" i="2"/>
  <c r="H78" i="2"/>
  <c r="H84" i="2"/>
  <c r="H88" i="2"/>
  <c r="H116" i="2"/>
  <c r="H122" i="2"/>
  <c r="H126" i="2"/>
  <c r="H136" i="2"/>
  <c r="H18" i="2"/>
  <c r="H33" i="2"/>
  <c r="H40" i="2"/>
  <c r="H44" i="2"/>
  <c r="H91" i="2"/>
  <c r="H9" i="2"/>
  <c r="H13" i="2"/>
  <c r="H22" i="2"/>
  <c r="H68" i="2"/>
  <c r="H75" i="2"/>
  <c r="H124" i="2"/>
  <c r="H120" i="2"/>
  <c r="F120" i="2"/>
  <c r="F7" i="2"/>
  <c r="H35" i="2"/>
  <c r="H42" i="2"/>
  <c r="F46" i="2"/>
  <c r="F82" i="2"/>
  <c r="H93" i="2"/>
  <c r="H108" i="2"/>
  <c r="H152" i="2"/>
  <c r="F152" i="2"/>
  <c r="H157" i="2"/>
  <c r="H11" i="2"/>
  <c r="H15" i="2"/>
  <c r="H77" i="2"/>
  <c r="H110" i="2"/>
  <c r="H140" i="2"/>
  <c r="H32" i="2"/>
  <c r="H92" i="2"/>
  <c r="H114" i="2"/>
  <c r="H156" i="2"/>
  <c r="H115" i="2"/>
  <c r="H147" i="2"/>
  <c r="H17" i="2"/>
  <c r="H19" i="2"/>
  <c r="H24" i="2"/>
  <c r="H26" i="2"/>
  <c r="H28" i="2"/>
  <c r="H30" i="2"/>
  <c r="H37" i="2"/>
  <c r="H58" i="2"/>
  <c r="H83" i="2"/>
  <c r="H101" i="2"/>
  <c r="H107" i="2"/>
  <c r="H117" i="2"/>
  <c r="H131" i="2"/>
  <c r="H149" i="2"/>
  <c r="H158" i="2"/>
  <c r="H41" i="5"/>
  <c r="H49" i="5"/>
  <c r="H52" i="5"/>
  <c r="H61" i="5"/>
  <c r="H96" i="5"/>
  <c r="H143" i="5"/>
  <c r="H26" i="5"/>
  <c r="H58" i="5"/>
  <c r="H98" i="5"/>
  <c r="H132" i="5"/>
  <c r="H12" i="5"/>
  <c r="H30" i="5"/>
  <c r="H34" i="5"/>
  <c r="H36" i="5"/>
  <c r="H44" i="5"/>
  <c r="H53" i="5"/>
  <c r="H55" i="5"/>
  <c r="H57" i="5"/>
  <c r="H60" i="5"/>
  <c r="H62" i="5"/>
  <c r="H66" i="5"/>
  <c r="H72" i="5"/>
  <c r="H140" i="5"/>
  <c r="H146" i="5"/>
  <c r="H148" i="5"/>
  <c r="H154" i="5"/>
  <c r="H156" i="5"/>
  <c r="H68" i="5"/>
  <c r="H104" i="5"/>
  <c r="H108" i="5"/>
  <c r="F7" i="5"/>
  <c r="H15" i="5"/>
  <c r="H32" i="5"/>
  <c r="H63" i="5"/>
  <c r="H65" i="5"/>
  <c r="H69" i="5"/>
  <c r="H71" i="5"/>
  <c r="H79" i="5"/>
  <c r="H81" i="5"/>
  <c r="H85" i="5"/>
  <c r="H87" i="5"/>
  <c r="H89" i="5"/>
  <c r="H93" i="5"/>
  <c r="H137" i="5"/>
  <c r="H145" i="5"/>
  <c r="H149" i="5"/>
  <c r="H151" i="5"/>
  <c r="H153" i="5"/>
  <c r="H157" i="5"/>
  <c r="H9" i="5"/>
  <c r="H17" i="5"/>
  <c r="H21" i="5"/>
  <c r="H23" i="5"/>
  <c r="H25" i="5"/>
  <c r="H29" i="5"/>
  <c r="H40" i="5"/>
  <c r="H73" i="5"/>
  <c r="H95" i="5"/>
  <c r="H97" i="5"/>
  <c r="H101" i="5"/>
  <c r="H103" i="5"/>
  <c r="H106" i="5"/>
  <c r="H111" i="5"/>
  <c r="H128" i="5"/>
  <c r="H31" i="5"/>
  <c r="H33" i="5"/>
  <c r="H37" i="5"/>
  <c r="H39" i="5"/>
  <c r="H42" i="5"/>
  <c r="H47" i="5"/>
  <c r="H105" i="5"/>
  <c r="H113" i="5"/>
  <c r="H117" i="5"/>
  <c r="H119" i="5"/>
  <c r="H121" i="5"/>
  <c r="H125" i="5"/>
  <c r="H136" i="5"/>
  <c r="H118" i="2"/>
  <c r="F118" i="2"/>
  <c r="H40" i="3"/>
  <c r="F40" i="3"/>
  <c r="F38" i="9"/>
  <c r="H38" i="9"/>
  <c r="H72" i="2"/>
  <c r="F104" i="2"/>
  <c r="F85" i="3"/>
  <c r="H85" i="3"/>
  <c r="F88" i="3"/>
  <c r="F145" i="3"/>
  <c r="F81" i="7"/>
  <c r="H101" i="7"/>
  <c r="F88" i="2"/>
  <c r="F17" i="3"/>
  <c r="H17" i="3"/>
  <c r="F67" i="3"/>
  <c r="F93" i="3"/>
  <c r="H93" i="3"/>
  <c r="F108" i="3"/>
  <c r="H108" i="3"/>
  <c r="H71" i="6"/>
  <c r="F71" i="6"/>
  <c r="H103" i="6"/>
  <c r="F103" i="6"/>
  <c r="H70" i="2"/>
  <c r="F70" i="2"/>
  <c r="H150" i="2"/>
  <c r="F150" i="2"/>
  <c r="H10" i="3"/>
  <c r="F10" i="3"/>
  <c r="F136" i="2"/>
  <c r="F58" i="3"/>
  <c r="H134" i="2"/>
  <c r="F134" i="2"/>
  <c r="H56" i="3"/>
  <c r="F56" i="3"/>
  <c r="H55" i="6"/>
  <c r="F55" i="6"/>
  <c r="F20" i="3"/>
  <c r="H56" i="2"/>
  <c r="H86" i="2"/>
  <c r="F86" i="2"/>
  <c r="F77" i="3"/>
  <c r="H77" i="3"/>
  <c r="H157" i="3"/>
  <c r="F157" i="3"/>
  <c r="H114" i="9"/>
  <c r="F114" i="9"/>
  <c r="H49" i="3"/>
  <c r="F49" i="3"/>
  <c r="H102" i="2"/>
  <c r="F102" i="2"/>
  <c r="F72" i="3"/>
  <c r="H54" i="2"/>
  <c r="F54" i="2"/>
  <c r="H65" i="3"/>
  <c r="F65" i="3"/>
  <c r="F116" i="3"/>
  <c r="H116" i="3"/>
  <c r="F54" i="5"/>
  <c r="H54" i="5"/>
  <c r="H120" i="5"/>
  <c r="F143" i="7"/>
  <c r="H143" i="7"/>
  <c r="F46" i="8"/>
  <c r="H46" i="8"/>
  <c r="F92" i="9"/>
  <c r="H92" i="9"/>
  <c r="H57" i="2"/>
  <c r="H73" i="2"/>
  <c r="H89" i="2"/>
  <c r="H105" i="2"/>
  <c r="H121" i="2"/>
  <c r="H137" i="2"/>
  <c r="H153" i="2"/>
  <c r="H21" i="3"/>
  <c r="F71" i="3"/>
  <c r="H71" i="3"/>
  <c r="F79" i="3"/>
  <c r="H79" i="3"/>
  <c r="F87" i="3"/>
  <c r="H87" i="3"/>
  <c r="H109" i="3"/>
  <c r="H132" i="3"/>
  <c r="H149" i="3"/>
  <c r="F22" i="5"/>
  <c r="H22" i="5"/>
  <c r="F150" i="5"/>
  <c r="H150" i="5"/>
  <c r="H122" i="6"/>
  <c r="F122" i="6"/>
  <c r="H148" i="6"/>
  <c r="F148" i="6"/>
  <c r="H27" i="7"/>
  <c r="F52" i="7"/>
  <c r="H52" i="7"/>
  <c r="H127" i="7"/>
  <c r="F114" i="8"/>
  <c r="H114" i="8"/>
  <c r="H23" i="12"/>
  <c r="F23" i="12"/>
  <c r="H55" i="2"/>
  <c r="H71" i="2"/>
  <c r="H80" i="2"/>
  <c r="H87" i="2"/>
  <c r="H96" i="2"/>
  <c r="H103" i="2"/>
  <c r="H112" i="2"/>
  <c r="H119" i="2"/>
  <c r="H128" i="2"/>
  <c r="H135" i="2"/>
  <c r="H144" i="2"/>
  <c r="H151" i="2"/>
  <c r="H11" i="3"/>
  <c r="H19" i="3"/>
  <c r="H34" i="3"/>
  <c r="F39" i="3"/>
  <c r="H50" i="3"/>
  <c r="F55" i="3"/>
  <c r="H66" i="3"/>
  <c r="H76" i="3"/>
  <c r="H84" i="3"/>
  <c r="H92" i="3"/>
  <c r="H141" i="3"/>
  <c r="H88" i="5"/>
  <c r="H7" i="6"/>
  <c r="F7" i="6"/>
  <c r="H39" i="6"/>
  <c r="F39" i="6"/>
  <c r="F19" i="7"/>
  <c r="H19" i="7"/>
  <c r="F49" i="7"/>
  <c r="H49" i="7"/>
  <c r="H157" i="7"/>
  <c r="F157" i="7"/>
  <c r="F96" i="8"/>
  <c r="H96" i="8"/>
  <c r="F138" i="8"/>
  <c r="H138" i="8"/>
  <c r="H40" i="9"/>
  <c r="F40" i="9"/>
  <c r="H124" i="9"/>
  <c r="F146" i="9"/>
  <c r="H146" i="9"/>
  <c r="H49" i="2"/>
  <c r="H65" i="2"/>
  <c r="H81" i="2"/>
  <c r="H97" i="2"/>
  <c r="H113" i="2"/>
  <c r="H129" i="2"/>
  <c r="H145" i="2"/>
  <c r="H12" i="3"/>
  <c r="F75" i="3"/>
  <c r="H75" i="3"/>
  <c r="F83" i="3"/>
  <c r="H83" i="3"/>
  <c r="F91" i="3"/>
  <c r="H91" i="3"/>
  <c r="H102" i="3"/>
  <c r="F148" i="3"/>
  <c r="H148" i="3"/>
  <c r="H151" i="3"/>
  <c r="H64" i="5"/>
  <c r="F86" i="5"/>
  <c r="H86" i="5"/>
  <c r="F13" i="6"/>
  <c r="H13" i="6"/>
  <c r="F29" i="6"/>
  <c r="H29" i="6"/>
  <c r="F67" i="6"/>
  <c r="H67" i="6"/>
  <c r="H119" i="6"/>
  <c r="F119" i="6"/>
  <c r="F75" i="7"/>
  <c r="H75" i="7"/>
  <c r="F128" i="8"/>
  <c r="H128" i="8"/>
  <c r="F44" i="9"/>
  <c r="H44" i="9"/>
  <c r="H87" i="12"/>
  <c r="F87" i="12"/>
  <c r="H47" i="2"/>
  <c r="H63" i="2"/>
  <c r="H79" i="2"/>
  <c r="H95" i="2"/>
  <c r="H111" i="2"/>
  <c r="H127" i="2"/>
  <c r="H143" i="2"/>
  <c r="F47" i="3"/>
  <c r="F63" i="3"/>
  <c r="H94" i="3"/>
  <c r="H140" i="3"/>
  <c r="H24" i="5"/>
  <c r="H152" i="5"/>
  <c r="F21" i="6"/>
  <c r="H21" i="6"/>
  <c r="F37" i="6"/>
  <c r="H37" i="6"/>
  <c r="F77" i="6"/>
  <c r="H77" i="6"/>
  <c r="F93" i="6"/>
  <c r="H93" i="6"/>
  <c r="F132" i="6"/>
  <c r="H55" i="11"/>
  <c r="F55" i="11"/>
  <c r="H69" i="12"/>
  <c r="F69" i="12"/>
  <c r="F72" i="12"/>
  <c r="H72" i="12"/>
  <c r="F73" i="3"/>
  <c r="H73" i="3"/>
  <c r="F81" i="3"/>
  <c r="H81" i="3"/>
  <c r="F89" i="3"/>
  <c r="H89" i="3"/>
  <c r="F118" i="5"/>
  <c r="H118" i="5"/>
  <c r="H10" i="6"/>
  <c r="F10" i="6"/>
  <c r="H26" i="6"/>
  <c r="F26" i="6"/>
  <c r="H52" i="6"/>
  <c r="F52" i="6"/>
  <c r="H57" i="6"/>
  <c r="F57" i="6"/>
  <c r="F69" i="6"/>
  <c r="H69" i="6"/>
  <c r="F85" i="6"/>
  <c r="H85" i="6"/>
  <c r="F101" i="6"/>
  <c r="H101" i="6"/>
  <c r="F76" i="7"/>
  <c r="H76" i="7"/>
  <c r="H141" i="7"/>
  <c r="F141" i="7"/>
  <c r="F108" i="8"/>
  <c r="H108" i="8"/>
  <c r="F43" i="3"/>
  <c r="F59" i="3"/>
  <c r="H112" i="3"/>
  <c r="H56" i="5"/>
  <c r="H58" i="6"/>
  <c r="F58" i="6"/>
  <c r="H74" i="6"/>
  <c r="F74" i="6"/>
  <c r="H90" i="6"/>
  <c r="F90" i="6"/>
  <c r="H109" i="6"/>
  <c r="H116" i="6"/>
  <c r="F116" i="6"/>
  <c r="H121" i="6"/>
  <c r="F121" i="6"/>
  <c r="F74" i="8"/>
  <c r="H74" i="8"/>
  <c r="F156" i="8"/>
  <c r="H156" i="8"/>
  <c r="F28" i="9"/>
  <c r="H28" i="9"/>
  <c r="H65" i="10"/>
  <c r="F145" i="13"/>
  <c r="H145" i="13"/>
  <c r="H127" i="3"/>
  <c r="H38" i="5"/>
  <c r="H70" i="5"/>
  <c r="H102" i="5"/>
  <c r="H134" i="5"/>
  <c r="H36" i="6"/>
  <c r="F36" i="6"/>
  <c r="H100" i="6"/>
  <c r="F100" i="6"/>
  <c r="F128" i="6"/>
  <c r="H128" i="6"/>
  <c r="F142" i="6"/>
  <c r="H142" i="6"/>
  <c r="F48" i="7"/>
  <c r="H48" i="7"/>
  <c r="H62" i="7"/>
  <c r="H71" i="7"/>
  <c r="F149" i="7"/>
  <c r="H149" i="7"/>
  <c r="H16" i="8"/>
  <c r="H26" i="8"/>
  <c r="H42" i="8"/>
  <c r="F124" i="8"/>
  <c r="H124" i="8"/>
  <c r="H102" i="9"/>
  <c r="H89" i="10"/>
  <c r="H66" i="11"/>
  <c r="H111" i="3"/>
  <c r="H13" i="5"/>
  <c r="H16" i="5"/>
  <c r="H45" i="5"/>
  <c r="H48" i="5"/>
  <c r="H77" i="5"/>
  <c r="H80" i="5"/>
  <c r="H109" i="5"/>
  <c r="H112" i="5"/>
  <c r="H141" i="5"/>
  <c r="H144" i="5"/>
  <c r="H23" i="6"/>
  <c r="F23" i="6"/>
  <c r="H42" i="6"/>
  <c r="F42" i="6"/>
  <c r="F53" i="6"/>
  <c r="H53" i="6"/>
  <c r="H87" i="6"/>
  <c r="F87" i="6"/>
  <c r="H106" i="6"/>
  <c r="F106" i="6"/>
  <c r="F117" i="6"/>
  <c r="H117" i="6"/>
  <c r="F40" i="7"/>
  <c r="H40" i="7"/>
  <c r="F133" i="7"/>
  <c r="H133" i="7"/>
  <c r="F10" i="8"/>
  <c r="H10" i="8"/>
  <c r="F146" i="8"/>
  <c r="H146" i="8"/>
  <c r="H60" i="9"/>
  <c r="F82" i="9"/>
  <c r="H82" i="9"/>
  <c r="H98" i="9"/>
  <c r="F98" i="9"/>
  <c r="H117" i="10"/>
  <c r="H68" i="6"/>
  <c r="F68" i="6"/>
  <c r="F126" i="6"/>
  <c r="H126" i="6"/>
  <c r="F144" i="6"/>
  <c r="H144" i="6"/>
  <c r="F92" i="8"/>
  <c r="H92" i="8"/>
  <c r="F102" i="8"/>
  <c r="H102" i="8"/>
  <c r="F18" i="9"/>
  <c r="H18" i="9"/>
  <c r="H34" i="9"/>
  <c r="F34" i="9"/>
  <c r="H7" i="10"/>
  <c r="F7" i="10"/>
  <c r="E3" i="10" s="1"/>
  <c r="H95" i="3"/>
  <c r="H14" i="5"/>
  <c r="H46" i="5"/>
  <c r="H78" i="5"/>
  <c r="H110" i="5"/>
  <c r="H142" i="5"/>
  <c r="H20" i="6"/>
  <c r="F20" i="6"/>
  <c r="H84" i="6"/>
  <c r="F84" i="6"/>
  <c r="H53" i="7"/>
  <c r="H59" i="7"/>
  <c r="F68" i="7"/>
  <c r="H68" i="7"/>
  <c r="F82" i="8"/>
  <c r="H82" i="8"/>
  <c r="F134" i="8"/>
  <c r="H134" i="8"/>
  <c r="H72" i="9"/>
  <c r="H88" i="9"/>
  <c r="F69" i="11"/>
  <c r="H69" i="11"/>
  <c r="H75" i="11"/>
  <c r="F75" i="11"/>
  <c r="F31" i="13"/>
  <c r="H31" i="13"/>
  <c r="F127" i="13"/>
  <c r="H127" i="13"/>
  <c r="H137" i="7"/>
  <c r="F137" i="7"/>
  <c r="H153" i="7"/>
  <c r="F153" i="7"/>
  <c r="F12" i="8"/>
  <c r="H12" i="8"/>
  <c r="F22" i="8"/>
  <c r="H22" i="8"/>
  <c r="F58" i="8"/>
  <c r="H58" i="8"/>
  <c r="H9" i="10"/>
  <c r="H57" i="10"/>
  <c r="H111" i="11"/>
  <c r="F8" i="12"/>
  <c r="H8" i="12"/>
  <c r="H61" i="12"/>
  <c r="F61" i="12"/>
  <c r="F64" i="12"/>
  <c r="H64" i="12"/>
  <c r="H11" i="5"/>
  <c r="H19" i="5"/>
  <c r="H27" i="5"/>
  <c r="H35" i="5"/>
  <c r="H43" i="5"/>
  <c r="H51" i="5"/>
  <c r="H59" i="5"/>
  <c r="H67" i="5"/>
  <c r="H75" i="5"/>
  <c r="H83" i="5"/>
  <c r="H91" i="5"/>
  <c r="H99" i="5"/>
  <c r="H107" i="5"/>
  <c r="H115" i="5"/>
  <c r="H123" i="5"/>
  <c r="H131" i="5"/>
  <c r="H139" i="5"/>
  <c r="H147" i="5"/>
  <c r="H155" i="5"/>
  <c r="H8" i="7"/>
  <c r="H16" i="7"/>
  <c r="H24" i="7"/>
  <c r="H32" i="7"/>
  <c r="H63" i="7"/>
  <c r="H90" i="7"/>
  <c r="H96" i="7"/>
  <c r="H106" i="7"/>
  <c r="H112" i="7"/>
  <c r="H122" i="7"/>
  <c r="H128" i="7"/>
  <c r="H138" i="7"/>
  <c r="H144" i="7"/>
  <c r="H154" i="7"/>
  <c r="F28" i="8"/>
  <c r="H28" i="8"/>
  <c r="H66" i="9"/>
  <c r="F66" i="9"/>
  <c r="H130" i="9"/>
  <c r="F130" i="9"/>
  <c r="H41" i="10"/>
  <c r="H53" i="10"/>
  <c r="H85" i="10"/>
  <c r="H133" i="10"/>
  <c r="H135" i="11"/>
  <c r="F135" i="11"/>
  <c r="H133" i="12"/>
  <c r="F133" i="12"/>
  <c r="H50" i="14"/>
  <c r="H129" i="7"/>
  <c r="F129" i="7"/>
  <c r="H145" i="7"/>
  <c r="F145" i="7"/>
  <c r="F34" i="8"/>
  <c r="H34" i="8"/>
  <c r="H39" i="10"/>
  <c r="H51" i="7"/>
  <c r="H56" i="7"/>
  <c r="H74" i="7"/>
  <c r="H91" i="7"/>
  <c r="H107" i="7"/>
  <c r="H123" i="7"/>
  <c r="F60" i="8"/>
  <c r="H60" i="8"/>
  <c r="H70" i="8"/>
  <c r="H80" i="8"/>
  <c r="H112" i="8"/>
  <c r="H130" i="8"/>
  <c r="F140" i="8"/>
  <c r="H140" i="8"/>
  <c r="H142" i="8"/>
  <c r="F150" i="8"/>
  <c r="H150" i="8"/>
  <c r="H56" i="9"/>
  <c r="H120" i="9"/>
  <c r="H93" i="10"/>
  <c r="H129" i="10"/>
  <c r="H139" i="11"/>
  <c r="H63" i="12"/>
  <c r="F63" i="12"/>
  <c r="H125" i="12"/>
  <c r="F125" i="12"/>
  <c r="F128" i="12"/>
  <c r="H128" i="12"/>
  <c r="H153" i="10"/>
  <c r="H14" i="11"/>
  <c r="H86" i="7"/>
  <c r="H94" i="7"/>
  <c r="H102" i="7"/>
  <c r="H110" i="7"/>
  <c r="H118" i="7"/>
  <c r="H126" i="7"/>
  <c r="H134" i="7"/>
  <c r="H142" i="7"/>
  <c r="H150" i="7"/>
  <c r="F44" i="8"/>
  <c r="H44" i="8"/>
  <c r="H36" i="9"/>
  <c r="H68" i="9"/>
  <c r="H100" i="9"/>
  <c r="H132" i="9"/>
  <c r="H23" i="10"/>
  <c r="H61" i="10"/>
  <c r="H87" i="10"/>
  <c r="H125" i="10"/>
  <c r="H151" i="10"/>
  <c r="H7" i="11"/>
  <c r="H12" i="11"/>
  <c r="F85" i="11"/>
  <c r="H85" i="11"/>
  <c r="F55" i="13"/>
  <c r="H55" i="13"/>
  <c r="H84" i="7"/>
  <c r="H92" i="7"/>
  <c r="H100" i="7"/>
  <c r="H108" i="7"/>
  <c r="H116" i="7"/>
  <c r="H124" i="7"/>
  <c r="H132" i="7"/>
  <c r="H140" i="7"/>
  <c r="H148" i="7"/>
  <c r="H156" i="7"/>
  <c r="H32" i="8"/>
  <c r="H54" i="8"/>
  <c r="H66" i="8"/>
  <c r="F76" i="8"/>
  <c r="H76" i="8"/>
  <c r="H78" i="8"/>
  <c r="H90" i="8"/>
  <c r="H45" i="10"/>
  <c r="H71" i="10"/>
  <c r="H109" i="10"/>
  <c r="H135" i="10"/>
  <c r="H68" i="11"/>
  <c r="H127" i="12"/>
  <c r="F127" i="12"/>
  <c r="H25" i="13"/>
  <c r="H72" i="11"/>
  <c r="H37" i="12"/>
  <c r="F37" i="12"/>
  <c r="H55" i="12"/>
  <c r="F55" i="12"/>
  <c r="H101" i="12"/>
  <c r="F101" i="12"/>
  <c r="H119" i="12"/>
  <c r="F119" i="12"/>
  <c r="H149" i="12"/>
  <c r="F149" i="12"/>
  <c r="F119" i="13"/>
  <c r="H119" i="13"/>
  <c r="H72" i="14"/>
  <c r="H84" i="14"/>
  <c r="H19" i="10"/>
  <c r="H35" i="10"/>
  <c r="H51" i="10"/>
  <c r="H67" i="10"/>
  <c r="H83" i="10"/>
  <c r="H99" i="10"/>
  <c r="H115" i="10"/>
  <c r="H131" i="10"/>
  <c r="H147" i="10"/>
  <c r="F103" i="11"/>
  <c r="H31" i="12"/>
  <c r="F31" i="12"/>
  <c r="H34" i="12"/>
  <c r="H95" i="12"/>
  <c r="F95" i="12"/>
  <c r="H98" i="12"/>
  <c r="F23" i="13"/>
  <c r="H23" i="13"/>
  <c r="H89" i="13"/>
  <c r="H145" i="10"/>
  <c r="H59" i="11"/>
  <c r="F143" i="11"/>
  <c r="H143" i="11"/>
  <c r="H40" i="11"/>
  <c r="F87" i="11"/>
  <c r="F101" i="11"/>
  <c r="H101" i="11"/>
  <c r="H29" i="12"/>
  <c r="F29" i="12"/>
  <c r="F32" i="12"/>
  <c r="H32" i="12"/>
  <c r="H93" i="12"/>
  <c r="F93" i="12"/>
  <c r="F96" i="12"/>
  <c r="H96" i="12"/>
  <c r="F87" i="13"/>
  <c r="H87" i="13"/>
  <c r="H129" i="13"/>
  <c r="F155" i="13"/>
  <c r="H10" i="11"/>
  <c r="H26" i="11"/>
  <c r="H41" i="11"/>
  <c r="H88" i="11"/>
  <c r="H98" i="11"/>
  <c r="H132" i="11"/>
  <c r="H26" i="12"/>
  <c r="H58" i="12"/>
  <c r="H90" i="12"/>
  <c r="H122" i="12"/>
  <c r="H151" i="12"/>
  <c r="F151" i="12"/>
  <c r="H17" i="13"/>
  <c r="H49" i="13"/>
  <c r="H81" i="13"/>
  <c r="H113" i="13"/>
  <c r="H8" i="14"/>
  <c r="H56" i="14"/>
  <c r="H82" i="14"/>
  <c r="H8" i="11"/>
  <c r="H24" i="11"/>
  <c r="H57" i="11"/>
  <c r="H114" i="11"/>
  <c r="H148" i="11"/>
  <c r="H15" i="12"/>
  <c r="F15" i="12"/>
  <c r="H21" i="12"/>
  <c r="F21" i="12"/>
  <c r="H47" i="12"/>
  <c r="F47" i="12"/>
  <c r="H53" i="12"/>
  <c r="F53" i="12"/>
  <c r="H79" i="12"/>
  <c r="F79" i="12"/>
  <c r="H85" i="12"/>
  <c r="F85" i="12"/>
  <c r="H111" i="12"/>
  <c r="F111" i="12"/>
  <c r="H117" i="12"/>
  <c r="F117" i="12"/>
  <c r="H143" i="12"/>
  <c r="F143" i="12"/>
  <c r="H157" i="12"/>
  <c r="F157" i="12"/>
  <c r="H20" i="14"/>
  <c r="H68" i="14"/>
  <c r="H20" i="11"/>
  <c r="H52" i="11"/>
  <c r="H89" i="11"/>
  <c r="H133" i="11"/>
  <c r="H136" i="11"/>
  <c r="H146" i="11"/>
  <c r="H13" i="12"/>
  <c r="F13" i="12"/>
  <c r="H24" i="12"/>
  <c r="H39" i="12"/>
  <c r="F39" i="12"/>
  <c r="H45" i="12"/>
  <c r="F45" i="12"/>
  <c r="H56" i="12"/>
  <c r="H71" i="12"/>
  <c r="F71" i="12"/>
  <c r="H77" i="12"/>
  <c r="F77" i="12"/>
  <c r="H88" i="12"/>
  <c r="H103" i="12"/>
  <c r="F103" i="12"/>
  <c r="H109" i="12"/>
  <c r="F109" i="12"/>
  <c r="H120" i="12"/>
  <c r="H135" i="12"/>
  <c r="F135" i="12"/>
  <c r="H141" i="12"/>
  <c r="F141" i="12"/>
  <c r="H15" i="13"/>
  <c r="H40" i="14"/>
  <c r="H48" i="11"/>
  <c r="H64" i="11"/>
  <c r="H80" i="11"/>
  <c r="H96" i="11"/>
  <c r="H112" i="11"/>
  <c r="H128" i="11"/>
  <c r="H144" i="11"/>
  <c r="H16" i="14"/>
  <c r="H32" i="14"/>
  <c r="H48" i="14"/>
  <c r="H64" i="14"/>
  <c r="H80" i="14"/>
  <c r="H109" i="14"/>
  <c r="H115" i="14"/>
  <c r="H46" i="11"/>
  <c r="H62" i="11"/>
  <c r="H78" i="11"/>
  <c r="H94" i="11"/>
  <c r="H110" i="11"/>
  <c r="H126" i="11"/>
  <c r="H142" i="11"/>
  <c r="H11" i="12"/>
  <c r="F11" i="12"/>
  <c r="H19" i="12"/>
  <c r="F19" i="12"/>
  <c r="H27" i="12"/>
  <c r="F27" i="12"/>
  <c r="H35" i="12"/>
  <c r="F35" i="12"/>
  <c r="H43" i="12"/>
  <c r="F43" i="12"/>
  <c r="H51" i="12"/>
  <c r="F51" i="12"/>
  <c r="H59" i="12"/>
  <c r="F59" i="12"/>
  <c r="H67" i="12"/>
  <c r="F67" i="12"/>
  <c r="H75" i="12"/>
  <c r="F75" i="12"/>
  <c r="H83" i="12"/>
  <c r="F83" i="12"/>
  <c r="H91" i="12"/>
  <c r="F91" i="12"/>
  <c r="H99" i="12"/>
  <c r="F99" i="12"/>
  <c r="H107" i="12"/>
  <c r="F107" i="12"/>
  <c r="H115" i="12"/>
  <c r="F115" i="12"/>
  <c r="H123" i="12"/>
  <c r="F123" i="12"/>
  <c r="H131" i="12"/>
  <c r="F131" i="12"/>
  <c r="H139" i="12"/>
  <c r="F139" i="12"/>
  <c r="H147" i="12"/>
  <c r="F147" i="12"/>
  <c r="H155" i="12"/>
  <c r="F155" i="12"/>
  <c r="H14" i="14"/>
  <c r="H30" i="14"/>
  <c r="H46" i="14"/>
  <c r="H62" i="14"/>
  <c r="H78" i="14"/>
  <c r="H94" i="14"/>
  <c r="H74" i="11"/>
  <c r="H90" i="11"/>
  <c r="H106" i="11"/>
  <c r="H122" i="11"/>
  <c r="H138" i="11"/>
  <c r="H9" i="12"/>
  <c r="F9" i="12"/>
  <c r="H17" i="12"/>
  <c r="F17" i="12"/>
  <c r="H25" i="12"/>
  <c r="F25" i="12"/>
  <c r="H33" i="12"/>
  <c r="F33" i="12"/>
  <c r="H41" i="12"/>
  <c r="F41" i="12"/>
  <c r="H49" i="12"/>
  <c r="F49" i="12"/>
  <c r="H57" i="12"/>
  <c r="F57" i="12"/>
  <c r="H65" i="12"/>
  <c r="F65" i="12"/>
  <c r="H73" i="12"/>
  <c r="F73" i="12"/>
  <c r="H81" i="12"/>
  <c r="F81" i="12"/>
  <c r="H89" i="12"/>
  <c r="F89" i="12"/>
  <c r="H97" i="12"/>
  <c r="F97" i="12"/>
  <c r="H105" i="12"/>
  <c r="F105" i="12"/>
  <c r="H113" i="12"/>
  <c r="F113" i="12"/>
  <c r="H121" i="12"/>
  <c r="F121" i="12"/>
  <c r="H129" i="12"/>
  <c r="F129" i="12"/>
  <c r="H137" i="12"/>
  <c r="F137" i="12"/>
  <c r="H145" i="12"/>
  <c r="F145" i="12"/>
  <c r="H153" i="12"/>
  <c r="F153" i="12"/>
  <c r="H10" i="14"/>
  <c r="H26" i="14"/>
  <c r="H90" i="14"/>
  <c r="H101" i="14"/>
  <c r="H107" i="14"/>
  <c r="H103" i="14"/>
  <c r="H111" i="14"/>
  <c r="E3" i="13" l="1"/>
  <c r="H1" i="14"/>
  <c r="H1" i="13"/>
  <c r="E3" i="11"/>
  <c r="H1" i="9"/>
  <c r="E3" i="9"/>
  <c r="H1" i="8"/>
  <c r="E3" i="8"/>
  <c r="H1" i="7"/>
  <c r="E3" i="7"/>
  <c r="E3" i="3"/>
  <c r="H1" i="3"/>
  <c r="H1" i="2"/>
  <c r="E3" i="2"/>
  <c r="E3" i="5"/>
  <c r="H1" i="5"/>
  <c r="H1" i="10"/>
  <c r="H1" i="11"/>
  <c r="H1" i="6"/>
  <c r="H1" i="12"/>
  <c r="E3" i="12"/>
  <c r="E3" i="6"/>
</calcChain>
</file>

<file path=xl/sharedStrings.xml><?xml version="1.0" encoding="utf-8"?>
<sst xmlns="http://schemas.openxmlformats.org/spreadsheetml/2006/main" count="2246" uniqueCount="39">
  <si>
    <t>Estimated $ Missed Annually</t>
  </si>
  <si>
    <t>ECHS</t>
  </si>
  <si>
    <t>Monday</t>
  </si>
  <si>
    <t>Tuesday</t>
  </si>
  <si>
    <t>Wednesday</t>
  </si>
  <si>
    <t>Thursday</t>
  </si>
  <si>
    <t>Friday</t>
  </si>
  <si>
    <t>SHELDON ECA</t>
  </si>
  <si>
    <t>District Goal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</si>
  <si>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</si>
  <si>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</si>
  <si>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</si>
  <si>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</si>
  <si>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</si>
  <si>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 xml:space="preserve">Enrollment </t>
  </si>
  <si>
    <t># Students Absent</t>
  </si>
  <si>
    <t xml:space="preserve">Estimated $ Missed </t>
  </si>
  <si>
    <t>DISTRICTS # ABS GOAL</t>
  </si>
  <si>
    <t>CRAVENS ECA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</si>
  <si>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</si>
  <si>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</t>
  </si>
  <si>
    <t>SHELDON ELEMENTARY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</si>
  <si>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</si>
  <si>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                                                                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</si>
  <si>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</si>
  <si>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                                         </t>
  </si>
  <si>
    <t>CARROLL ELEMENTARY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</si>
  <si>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</si>
  <si>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KING MIDDLE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</si>
  <si>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</si>
  <si>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</t>
  </si>
  <si>
    <t>NULL MIDDLE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</si>
  <si>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</si>
  <si>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</si>
  <si>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KING HIGH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</si>
  <si>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</si>
  <si>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</si>
  <si>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</si>
  <si>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# OF STUDENTS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</si>
</sst>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1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21"/>
      <color rgb="FF073763"/>
      <name val="Arial"/>
      <family val="2"/>
      <scheme val="minor"/>
    </font>
    <font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9"/>
      <color rgb="FFFFFFFF"/>
      <name val="Arial"/>
      <family val="2"/>
      <scheme val="minor"/>
    </font>
    <font>
      <sz val="36"/>
      <color rgb="FFFFFFFF"/>
      <name val="Arial"/>
      <family val="2"/>
      <scheme val="minor"/>
    </font>
    <font>
      <sz val="21"/>
      <color rgb="FFFFFFFF"/>
      <name val="Arial"/>
      <family val="2"/>
      <scheme val="minor"/>
    </font>
    <font>
      <sz val="9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FFFF00"/>
      <name val="Arial"/>
      <family val="2"/>
    </font>
    <font>
      <sz val="9"/>
      <name val="Arial"/>
      <family val="2"/>
      <scheme val="minor"/>
    </font>
    <font>
      <b/>
      <sz val="12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0B5394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A9999"/>
        <bgColor rgb="FFEA9999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73763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4" borderId="0" xfId="0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3" fontId="7" fillId="5" borderId="0" xfId="0" applyNumberFormat="1" applyFont="1" applyFill="1"/>
    <xf numFmtId="4" fontId="8" fillId="2" borderId="1" xfId="0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wrapText="1"/>
    </xf>
    <xf numFmtId="0" fontId="12" fillId="6" borderId="6" xfId="0" applyFont="1" applyFill="1" applyBorder="1" applyAlignment="1">
      <alignment horizontal="center" wrapText="1"/>
    </xf>
    <xf numFmtId="10" fontId="12" fillId="6" borderId="6" xfId="0" applyNumberFormat="1" applyFont="1" applyFill="1" applyBorder="1" applyAlignment="1">
      <alignment horizontal="center" wrapText="1"/>
    </xf>
    <xf numFmtId="3" fontId="12" fillId="2" borderId="6" xfId="0" applyNumberFormat="1" applyFont="1" applyFill="1" applyBorder="1" applyAlignment="1">
      <alignment horizontal="center" wrapText="1"/>
    </xf>
    <xf numFmtId="3" fontId="12" fillId="2" borderId="7" xfId="0" applyNumberFormat="1" applyFont="1" applyFill="1" applyBorder="1" applyAlignment="1">
      <alignment horizontal="center" wrapText="1"/>
    </xf>
    <xf numFmtId="3" fontId="12" fillId="2" borderId="4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7" borderId="4" xfId="0" applyNumberFormat="1" applyFont="1" applyFill="1" applyBorder="1"/>
    <xf numFmtId="164" fontId="13" fillId="7" borderId="0" xfId="0" applyNumberFormat="1" applyFont="1" applyFill="1"/>
    <xf numFmtId="3" fontId="13" fillId="2" borderId="4" xfId="0" applyNumberFormat="1" applyFont="1" applyFill="1" applyBorder="1"/>
    <xf numFmtId="3" fontId="13" fillId="2" borderId="3" xfId="0" applyNumberFormat="1" applyFont="1" applyFill="1" applyBorder="1"/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0" fontId="13" fillId="8" borderId="0" xfId="0" applyNumberFormat="1" applyFont="1" applyFill="1" applyAlignment="1">
      <alignment horizontal="center"/>
    </xf>
    <xf numFmtId="0" fontId="13" fillId="8" borderId="0" xfId="0" applyFont="1" applyFill="1"/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0" fontId="13" fillId="9" borderId="0" xfId="0" applyNumberFormat="1" applyFont="1" applyFill="1" applyAlignment="1">
      <alignment horizontal="center"/>
    </xf>
    <xf numFmtId="0" fontId="13" fillId="9" borderId="0" xfId="0" applyFont="1" applyFill="1"/>
    <xf numFmtId="10" fontId="14" fillId="0" borderId="0" xfId="0" applyNumberFormat="1" applyFont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0" fontId="13" fillId="10" borderId="0" xfId="0" applyNumberFormat="1" applyFont="1" applyFill="1" applyAlignment="1">
      <alignment horizontal="center"/>
    </xf>
    <xf numFmtId="0" fontId="13" fillId="10" borderId="0" xfId="0" applyFont="1" applyFill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12" fillId="2" borderId="11" xfId="0" applyNumberFormat="1" applyFont="1" applyFill="1" applyBorder="1" applyAlignment="1">
      <alignment horizontal="center" wrapText="1"/>
    </xf>
    <xf numFmtId="3" fontId="3" fillId="5" borderId="9" xfId="0" applyNumberFormat="1" applyFont="1" applyFill="1" applyBorder="1" applyAlignment="1">
      <alignment horizontal="right"/>
    </xf>
    <xf numFmtId="0" fontId="7" fillId="5" borderId="0" xfId="0" applyFont="1" applyFill="1"/>
    <xf numFmtId="0" fontId="13" fillId="0" borderId="0" xfId="0" applyFont="1" applyAlignment="1">
      <alignment horizontal="right" wrapText="1"/>
    </xf>
    <xf numFmtId="0" fontId="3" fillId="4" borderId="0" xfId="0" applyFont="1" applyFill="1"/>
    <xf numFmtId="4" fontId="3" fillId="2" borderId="0" xfId="0" applyNumberFormat="1" applyFont="1" applyFill="1"/>
    <xf numFmtId="4" fontId="3" fillId="2" borderId="9" xfId="0" applyNumberFormat="1" applyFont="1" applyFill="1" applyBorder="1"/>
    <xf numFmtId="14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0" fontId="13" fillId="11" borderId="0" xfId="0" applyNumberFormat="1" applyFont="1" applyFill="1" applyAlignment="1">
      <alignment horizontal="center"/>
    </xf>
    <xf numFmtId="0" fontId="13" fillId="11" borderId="0" xfId="0" applyFont="1" applyFill="1"/>
    <xf numFmtId="10" fontId="13" fillId="3" borderId="0" xfId="0" applyNumberFormat="1" applyFont="1" applyFill="1" applyAlignment="1">
      <alignment horizontal="center"/>
    </xf>
    <xf numFmtId="10" fontId="13" fillId="12" borderId="0" xfId="0" applyNumberFormat="1" applyFont="1" applyFill="1" applyAlignment="1">
      <alignment horizontal="center"/>
    </xf>
    <xf numFmtId="9" fontId="13" fillId="0" borderId="0" xfId="0" applyNumberFormat="1" applyFont="1" applyAlignment="1">
      <alignment horizontal="center"/>
    </xf>
    <xf numFmtId="10" fontId="13" fillId="0" borderId="0" xfId="0" applyNumberFormat="1" applyFont="1"/>
    <xf numFmtId="0" fontId="19" fillId="13" borderId="5" xfId="0" applyFont="1" applyFill="1" applyBorder="1" applyAlignment="1">
      <alignment horizontal="center" wrapText="1"/>
    </xf>
    <xf numFmtId="0" fontId="19" fillId="13" borderId="6" xfId="0" applyFont="1" applyFill="1" applyBorder="1" applyAlignment="1">
      <alignment horizontal="center" wrapText="1"/>
    </xf>
    <xf numFmtId="10" fontId="19" fillId="13" borderId="6" xfId="0" applyNumberFormat="1" applyFont="1" applyFill="1" applyBorder="1" applyAlignment="1">
      <alignment horizontal="center" wrapText="1"/>
    </xf>
    <xf numFmtId="3" fontId="19" fillId="14" borderId="6" xfId="0" applyNumberFormat="1" applyFont="1" applyFill="1" applyBorder="1" applyAlignment="1">
      <alignment horizontal="center" wrapText="1"/>
    </xf>
    <xf numFmtId="3" fontId="12" fillId="15" borderId="7" xfId="0" applyNumberFormat="1" applyFont="1" applyFill="1" applyBorder="1" applyAlignment="1">
      <alignment horizontal="center" wrapText="1"/>
    </xf>
    <xf numFmtId="3" fontId="12" fillId="15" borderId="4" xfId="0" applyNumberFormat="1" applyFont="1" applyFill="1" applyBorder="1" applyAlignment="1">
      <alignment horizontal="center" wrapText="1"/>
    </xf>
    <xf numFmtId="4" fontId="20" fillId="15" borderId="2" xfId="0" applyNumberFormat="1" applyFont="1" applyFill="1" applyBorder="1" applyAlignment="1">
      <alignment horizontal="center" wrapText="1"/>
    </xf>
    <xf numFmtId="4" fontId="17" fillId="16" borderId="2" xfId="0" applyNumberFormat="1" applyFont="1" applyFill="1" applyBorder="1" applyAlignment="1">
      <alignment horizontal="center" wrapText="1"/>
    </xf>
    <xf numFmtId="4" fontId="5" fillId="16" borderId="3" xfId="0" applyNumberFormat="1" applyFont="1" applyFill="1" applyBorder="1" applyAlignment="1">
      <alignment horizontal="center" wrapText="1"/>
    </xf>
    <xf numFmtId="3" fontId="13" fillId="17" borderId="4" xfId="0" applyNumberFormat="1" applyFont="1" applyFill="1" applyBorder="1"/>
    <xf numFmtId="3" fontId="13" fillId="17" borderId="3" xfId="0" applyNumberFormat="1" applyFont="1" applyFill="1" applyBorder="1"/>
    <xf numFmtId="0" fontId="0" fillId="0" borderId="0" xfId="0"/>
    <xf numFmtId="0" fontId="4" fillId="4" borderId="0" xfId="0" applyFont="1" applyFill="1" applyAlignment="1">
      <alignment horizontal="center"/>
    </xf>
    <xf numFmtId="0" fontId="0" fillId="0" borderId="0" xfId="0"/>
    <xf numFmtId="4" fontId="5" fillId="2" borderId="0" xfId="0" applyNumberFormat="1" applyFont="1" applyFill="1" applyAlignment="1">
      <alignment horizontal="center"/>
    </xf>
    <xf numFmtId="0" fontId="1" fillId="0" borderId="3" xfId="0" applyFont="1" applyBorder="1"/>
    <xf numFmtId="4" fontId="5" fillId="2" borderId="2" xfId="0" applyNumberFormat="1" applyFont="1" applyFill="1" applyBorder="1" applyAlignment="1">
      <alignment horizontal="center" wrapText="1"/>
    </xf>
    <xf numFmtId="165" fontId="9" fillId="2" borderId="0" xfId="0" applyNumberFormat="1" applyFont="1" applyFill="1" applyAlignment="1">
      <alignment horizontal="center"/>
    </xf>
    <xf numFmtId="9" fontId="10" fillId="2" borderId="4" xfId="0" applyNumberFormat="1" applyFont="1" applyFill="1" applyBorder="1" applyAlignment="1">
      <alignment horizontal="center"/>
    </xf>
    <xf numFmtId="0" fontId="1" fillId="0" borderId="4" xfId="0" applyFont="1" applyBorder="1"/>
    <xf numFmtId="4" fontId="5" fillId="2" borderId="0" xfId="0" applyNumberFormat="1" applyFont="1" applyFill="1" applyAlignment="1">
      <alignment horizontal="center" wrapText="1"/>
    </xf>
    <xf numFmtId="164" fontId="11" fillId="2" borderId="0" xfId="0" applyNumberFormat="1" applyFont="1" applyFill="1" applyAlignment="1">
      <alignment horizontal="center" wrapText="1"/>
    </xf>
    <xf numFmtId="4" fontId="8" fillId="2" borderId="1" xfId="0" applyNumberFormat="1" applyFont="1" applyFill="1" applyBorder="1" applyAlignment="1">
      <alignment horizontal="center"/>
    </xf>
    <xf numFmtId="0" fontId="1" fillId="0" borderId="2" xfId="0" applyFont="1" applyBorder="1"/>
    <xf numFmtId="165" fontId="9" fillId="2" borderId="4" xfId="0" applyNumberFormat="1" applyFont="1" applyFill="1" applyBorder="1" applyAlignment="1">
      <alignment horizontal="center"/>
    </xf>
    <xf numFmtId="4" fontId="15" fillId="2" borderId="4" xfId="0" applyNumberFormat="1" applyFont="1" applyFill="1" applyBorder="1" applyAlignment="1">
      <alignment horizontal="center" wrapText="1"/>
    </xf>
    <xf numFmtId="164" fontId="11" fillId="2" borderId="8" xfId="0" applyNumberFormat="1" applyFont="1" applyFill="1" applyBorder="1" applyAlignment="1">
      <alignment horizontal="center" wrapText="1"/>
    </xf>
    <xf numFmtId="0" fontId="1" fillId="0" borderId="10" xfId="0" applyFont="1" applyBorder="1"/>
    <xf numFmtId="10" fontId="2" fillId="0" borderId="0" xfId="0" applyNumberFormat="1" applyFont="1" applyAlignment="1">
      <alignment horizontal="center"/>
    </xf>
    <xf numFmtId="10" fontId="2" fillId="8" borderId="0" xfId="0" applyNumberFormat="1" applyFont="1" applyFill="1" applyAlignment="1">
      <alignment horizontal="center"/>
    </xf>
    <xf numFmtId="0" fontId="2" fillId="0" borderId="0" xfId="0" applyFont="1"/>
    <xf numFmtId="0" fontId="2" fillId="8" borderId="0" xfId="0" applyFont="1" applyFill="1"/>
    <xf numFmtId="14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0" fontId="2" fillId="18" borderId="0" xfId="0" applyNumberFormat="1" applyFont="1" applyFill="1" applyAlignment="1">
      <alignment horizontal="center"/>
    </xf>
    <xf numFmtId="10" fontId="2" fillId="11" borderId="0" xfId="0" applyNumberFormat="1" applyFont="1" applyFill="1" applyAlignment="1">
      <alignment horizontal="center"/>
    </xf>
    <xf numFmtId="0" fontId="2" fillId="18" borderId="0" xfId="0" applyFont="1" applyFill="1"/>
  </cellXfs>
  <cellStyles count="1">
    <cellStyle name="Normal" xfId="0" builtinId="0"/>
  </cellStyles>
  <dxfs count="87"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  <pageSetUpPr fitToPage="1"/>
  </sheetPr>
  <dimension ref="A1:H181"/>
  <sheetViews>
    <sheetView topLeftCell="B1" zoomScale="62" workbookViewId="0">
      <pane ySplit="6" topLeftCell="A145" activePane="bottomLeft" state="frozen"/>
      <selection pane="bottomLeft" activeCell="L175" sqref="L175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22" customWidth="1"/>
  </cols>
  <sheetData>
    <row r="1" spans="1:8" ht="27" thickBot="1" x14ac:dyDescent="0.3">
      <c r="A1" s="1"/>
      <c r="B1" s="1"/>
      <c r="C1" s="1"/>
      <c r="D1" s="1"/>
      <c r="E1" s="2"/>
      <c r="F1" s="2"/>
      <c r="G1" s="3"/>
      <c r="H1" s="4">
        <f>SUM(H7:H158)</f>
        <v>-2470.1383999999966</v>
      </c>
    </row>
    <row r="2" spans="1:8" ht="17" thickTop="1" x14ac:dyDescent="0.2">
      <c r="A2" s="63" t="s">
        <v>7</v>
      </c>
      <c r="B2" s="64"/>
      <c r="C2" s="64"/>
      <c r="D2" s="64"/>
      <c r="E2" s="65" t="s">
        <v>0</v>
      </c>
      <c r="F2" s="66"/>
      <c r="G2" s="5" t="s">
        <v>8</v>
      </c>
      <c r="H2" s="67" t="s">
        <v>9</v>
      </c>
    </row>
    <row r="3" spans="1:8" ht="24" x14ac:dyDescent="0.25">
      <c r="A3" s="64"/>
      <c r="B3" s="64"/>
      <c r="C3" s="64"/>
      <c r="D3" s="64"/>
      <c r="E3" s="68">
        <f>SUM(F7:F128)</f>
        <v>234562.56449999992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464</v>
      </c>
      <c r="E7" s="17">
        <f t="shared" ref="E7:E38" si="0">D7-(C7*D7)</f>
        <v>0</v>
      </c>
      <c r="F7" s="18">
        <f t="shared" ref="F7:F159" si="1">E7*$E$5</f>
        <v>0</v>
      </c>
      <c r="G7" s="19">
        <v>0</v>
      </c>
      <c r="H7" s="20">
        <f t="shared" ref="H7:H159" si="2">G7-E7</f>
        <v>0</v>
      </c>
    </row>
    <row r="8" spans="1:8" ht="13" x14ac:dyDescent="0.15">
      <c r="A8" s="12">
        <v>45517</v>
      </c>
      <c r="B8" s="13" t="s">
        <v>3</v>
      </c>
      <c r="C8" s="14">
        <v>0.98860000000000003</v>
      </c>
      <c r="D8" s="16">
        <v>487</v>
      </c>
      <c r="E8" s="17">
        <f t="shared" si="0"/>
        <v>5.5517999999999574</v>
      </c>
      <c r="F8" s="18">
        <f t="shared" si="1"/>
        <v>305.34899999999766</v>
      </c>
      <c r="G8" s="19">
        <f t="shared" ref="G8:G159" si="3">D8-(D8*G$3)</f>
        <v>24.350000000000023</v>
      </c>
      <c r="H8" s="20">
        <f t="shared" si="2"/>
        <v>18.798200000000065</v>
      </c>
    </row>
    <row r="9" spans="1:8" ht="13" x14ac:dyDescent="0.15">
      <c r="A9" s="12">
        <v>45518</v>
      </c>
      <c r="B9" s="13" t="s">
        <v>4</v>
      </c>
      <c r="C9" s="14">
        <v>0.98089999999999999</v>
      </c>
      <c r="D9" s="16">
        <v>495</v>
      </c>
      <c r="E9" s="17">
        <f t="shared" si="0"/>
        <v>9.4544999999999959</v>
      </c>
      <c r="F9" s="18">
        <f t="shared" si="1"/>
        <v>519.99749999999972</v>
      </c>
      <c r="G9" s="19">
        <f t="shared" si="3"/>
        <v>24.75</v>
      </c>
      <c r="H9" s="20">
        <f t="shared" si="2"/>
        <v>15.295500000000004</v>
      </c>
    </row>
    <row r="10" spans="1:8" ht="13" x14ac:dyDescent="0.15">
      <c r="A10" s="12">
        <v>45519</v>
      </c>
      <c r="B10" s="13" t="s">
        <v>5</v>
      </c>
      <c r="C10" s="14">
        <v>0.94599999999999995</v>
      </c>
      <c r="D10" s="16">
        <v>503</v>
      </c>
      <c r="E10" s="17">
        <f t="shared" si="0"/>
        <v>27.162000000000035</v>
      </c>
      <c r="F10" s="18">
        <f t="shared" si="1"/>
        <v>1493.9100000000019</v>
      </c>
      <c r="G10" s="19">
        <f t="shared" si="3"/>
        <v>25.150000000000034</v>
      </c>
      <c r="H10" s="20">
        <f t="shared" si="2"/>
        <v>-2.0120000000000005</v>
      </c>
    </row>
    <row r="11" spans="1:8" ht="13" x14ac:dyDescent="0.15">
      <c r="A11" s="12">
        <v>45520</v>
      </c>
      <c r="B11" s="13" t="s">
        <v>6</v>
      </c>
      <c r="C11" s="14">
        <v>0.92420000000000002</v>
      </c>
      <c r="D11" s="16">
        <v>515</v>
      </c>
      <c r="E11" s="17">
        <f t="shared" si="0"/>
        <v>39.036999999999978</v>
      </c>
      <c r="F11" s="18">
        <f t="shared" si="1"/>
        <v>2147.0349999999989</v>
      </c>
      <c r="G11" s="19">
        <f t="shared" si="3"/>
        <v>25.75</v>
      </c>
      <c r="H11" s="20">
        <f t="shared" si="2"/>
        <v>-13.286999999999978</v>
      </c>
    </row>
    <row r="12" spans="1:8" ht="13" x14ac:dyDescent="0.15">
      <c r="A12" s="12">
        <v>45523</v>
      </c>
      <c r="B12" s="13" t="s">
        <v>2</v>
      </c>
      <c r="C12" s="14">
        <v>0.90629999999999999</v>
      </c>
      <c r="D12" s="16">
        <v>529</v>
      </c>
      <c r="E12" s="17">
        <f t="shared" si="0"/>
        <v>49.567299999999989</v>
      </c>
      <c r="F12" s="18">
        <f t="shared" si="1"/>
        <v>2726.2014999999992</v>
      </c>
      <c r="G12" s="19">
        <f t="shared" si="3"/>
        <v>26.450000000000045</v>
      </c>
      <c r="H12" s="20">
        <f t="shared" si="2"/>
        <v>-23.117299999999943</v>
      </c>
    </row>
    <row r="13" spans="1:8" ht="13" x14ac:dyDescent="0.15">
      <c r="A13" s="12">
        <v>45524</v>
      </c>
      <c r="B13" s="13" t="s">
        <v>3</v>
      </c>
      <c r="C13" s="14">
        <v>0.93020000000000003</v>
      </c>
      <c r="D13" s="16">
        <v>535</v>
      </c>
      <c r="E13" s="17">
        <f t="shared" si="0"/>
        <v>37.342999999999961</v>
      </c>
      <c r="F13" s="18">
        <f t="shared" si="1"/>
        <v>2053.864999999998</v>
      </c>
      <c r="G13" s="19">
        <f t="shared" si="3"/>
        <v>26.75</v>
      </c>
      <c r="H13" s="20">
        <f t="shared" si="2"/>
        <v>-10.592999999999961</v>
      </c>
    </row>
    <row r="14" spans="1:8" ht="13" x14ac:dyDescent="0.15">
      <c r="A14" s="12">
        <v>45525</v>
      </c>
      <c r="B14" s="13" t="s">
        <v>4</v>
      </c>
      <c r="C14" s="14">
        <v>0.93520000000000003</v>
      </c>
      <c r="D14" s="16">
        <v>540</v>
      </c>
      <c r="E14" s="17">
        <f t="shared" si="0"/>
        <v>34.991999999999962</v>
      </c>
      <c r="F14" s="18">
        <f t="shared" si="1"/>
        <v>1924.5599999999979</v>
      </c>
      <c r="G14" s="19">
        <f t="shared" si="3"/>
        <v>27</v>
      </c>
      <c r="H14" s="20">
        <f t="shared" si="2"/>
        <v>-7.9919999999999618</v>
      </c>
    </row>
    <row r="15" spans="1:8" ht="13" x14ac:dyDescent="0.15">
      <c r="A15" s="12">
        <v>45526</v>
      </c>
      <c r="B15" s="13" t="s">
        <v>5</v>
      </c>
      <c r="C15" s="14">
        <v>0.93159999999999998</v>
      </c>
      <c r="D15" s="16">
        <v>544</v>
      </c>
      <c r="E15" s="17">
        <f t="shared" si="0"/>
        <v>37.209600000000023</v>
      </c>
      <c r="F15" s="18">
        <f t="shared" si="1"/>
        <v>2046.5280000000012</v>
      </c>
      <c r="G15" s="19">
        <f t="shared" si="3"/>
        <v>27.200000000000045</v>
      </c>
      <c r="H15" s="20">
        <f t="shared" si="2"/>
        <v>-10.009599999999978</v>
      </c>
    </row>
    <row r="16" spans="1:8" ht="13" x14ac:dyDescent="0.15">
      <c r="A16" s="12">
        <v>45527</v>
      </c>
      <c r="B16" s="13" t="s">
        <v>6</v>
      </c>
      <c r="C16" s="14">
        <v>0.9234</v>
      </c>
      <c r="D16" s="16">
        <v>546</v>
      </c>
      <c r="E16" s="17">
        <f t="shared" si="0"/>
        <v>41.823599999999999</v>
      </c>
      <c r="F16" s="18">
        <f t="shared" si="1"/>
        <v>2300.2979999999998</v>
      </c>
      <c r="G16" s="19">
        <f t="shared" si="3"/>
        <v>27.300000000000068</v>
      </c>
      <c r="H16" s="20">
        <f t="shared" si="2"/>
        <v>-14.523599999999931</v>
      </c>
    </row>
    <row r="17" spans="1:8" ht="13" x14ac:dyDescent="0.15">
      <c r="A17" s="12">
        <v>45530</v>
      </c>
      <c r="B17" s="13" t="s">
        <v>2</v>
      </c>
      <c r="C17" s="14">
        <v>0.90959999999999996</v>
      </c>
      <c r="D17" s="16">
        <v>549</v>
      </c>
      <c r="E17" s="17">
        <f t="shared" si="0"/>
        <v>49.629600000000039</v>
      </c>
      <c r="F17" s="18">
        <f t="shared" si="1"/>
        <v>2729.628000000002</v>
      </c>
      <c r="G17" s="19">
        <f t="shared" si="3"/>
        <v>27.450000000000045</v>
      </c>
      <c r="H17" s="20">
        <f t="shared" si="2"/>
        <v>-22.179599999999994</v>
      </c>
    </row>
    <row r="18" spans="1:8" ht="13" x14ac:dyDescent="0.15">
      <c r="A18" s="12">
        <v>45531</v>
      </c>
      <c r="B18" s="13" t="s">
        <v>3</v>
      </c>
      <c r="C18" s="14">
        <v>0.94650000000000001</v>
      </c>
      <c r="D18" s="16">
        <v>552</v>
      </c>
      <c r="E18" s="17">
        <f t="shared" si="0"/>
        <v>29.532000000000039</v>
      </c>
      <c r="F18" s="18">
        <f t="shared" si="1"/>
        <v>1624.260000000002</v>
      </c>
      <c r="G18" s="19">
        <f t="shared" si="3"/>
        <v>27.600000000000023</v>
      </c>
      <c r="H18" s="20">
        <f t="shared" si="2"/>
        <v>-1.9320000000000164</v>
      </c>
    </row>
    <row r="19" spans="1:8" ht="13" x14ac:dyDescent="0.15">
      <c r="A19" s="12">
        <v>45532</v>
      </c>
      <c r="B19" s="13" t="s">
        <v>4</v>
      </c>
      <c r="C19" s="14">
        <v>0.91479999999999995</v>
      </c>
      <c r="D19" s="16">
        <v>555</v>
      </c>
      <c r="E19" s="17">
        <f t="shared" si="0"/>
        <v>47.286000000000001</v>
      </c>
      <c r="F19" s="18">
        <f t="shared" si="1"/>
        <v>2600.73</v>
      </c>
      <c r="G19" s="19">
        <f t="shared" si="3"/>
        <v>27.75</v>
      </c>
      <c r="H19" s="20">
        <f t="shared" si="2"/>
        <v>-19.536000000000001</v>
      </c>
    </row>
    <row r="20" spans="1:8" ht="13" x14ac:dyDescent="0.15">
      <c r="A20" s="12">
        <v>45533</v>
      </c>
      <c r="B20" s="13" t="s">
        <v>5</v>
      </c>
      <c r="C20" s="14">
        <v>0.9073</v>
      </c>
      <c r="D20" s="16">
        <v>556</v>
      </c>
      <c r="E20" s="17">
        <f t="shared" si="0"/>
        <v>51.541200000000003</v>
      </c>
      <c r="F20" s="18">
        <f t="shared" si="1"/>
        <v>2834.7660000000001</v>
      </c>
      <c r="G20" s="19">
        <f t="shared" si="3"/>
        <v>27.800000000000068</v>
      </c>
      <c r="H20" s="20">
        <f t="shared" si="2"/>
        <v>-23.741199999999935</v>
      </c>
    </row>
    <row r="21" spans="1:8" ht="13" x14ac:dyDescent="0.15">
      <c r="A21" s="12">
        <v>45534</v>
      </c>
      <c r="B21" s="13" t="s">
        <v>6</v>
      </c>
      <c r="C21" s="14">
        <v>0.82450000000000001</v>
      </c>
      <c r="D21" s="16">
        <v>556</v>
      </c>
      <c r="E21" s="17">
        <f t="shared" si="0"/>
        <v>97.577999999999975</v>
      </c>
      <c r="F21" s="18">
        <f t="shared" si="1"/>
        <v>5366.7899999999991</v>
      </c>
      <c r="G21" s="19">
        <f t="shared" si="3"/>
        <v>27.800000000000068</v>
      </c>
      <c r="H21" s="20">
        <f t="shared" si="2"/>
        <v>-69.777999999999906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0.88970000000000005</v>
      </c>
      <c r="D23" s="16">
        <v>548</v>
      </c>
      <c r="E23" s="17">
        <f t="shared" si="0"/>
        <v>60.444399999999973</v>
      </c>
      <c r="F23" s="18">
        <f t="shared" si="1"/>
        <v>3324.4419999999986</v>
      </c>
      <c r="G23" s="19">
        <f t="shared" si="3"/>
        <v>27.399999999999977</v>
      </c>
      <c r="H23" s="20">
        <f t="shared" si="2"/>
        <v>-33.044399999999996</v>
      </c>
    </row>
    <row r="24" spans="1:8" ht="13" x14ac:dyDescent="0.15">
      <c r="A24" s="12">
        <v>45539</v>
      </c>
      <c r="B24" s="13" t="s">
        <v>4</v>
      </c>
      <c r="C24" s="14">
        <v>0.91830000000000001</v>
      </c>
      <c r="D24" s="16">
        <v>551</v>
      </c>
      <c r="E24" s="17">
        <f t="shared" si="0"/>
        <v>45.016700000000014</v>
      </c>
      <c r="F24" s="18">
        <f t="shared" si="1"/>
        <v>2475.9185000000007</v>
      </c>
      <c r="G24" s="19">
        <f t="shared" si="3"/>
        <v>27.550000000000068</v>
      </c>
      <c r="H24" s="20">
        <f t="shared" si="2"/>
        <v>-17.466699999999946</v>
      </c>
    </row>
    <row r="25" spans="1:8" ht="13" x14ac:dyDescent="0.15">
      <c r="A25" s="12">
        <v>45540</v>
      </c>
      <c r="B25" s="13" t="s">
        <v>5</v>
      </c>
      <c r="C25" s="14">
        <v>0.94030000000000002</v>
      </c>
      <c r="D25" s="16">
        <v>553</v>
      </c>
      <c r="E25" s="17">
        <f t="shared" si="0"/>
        <v>33.014099999999985</v>
      </c>
      <c r="F25" s="18">
        <f t="shared" si="1"/>
        <v>1815.7754999999993</v>
      </c>
      <c r="G25" s="19">
        <f t="shared" si="3"/>
        <v>27.649999999999977</v>
      </c>
      <c r="H25" s="20">
        <f t="shared" si="2"/>
        <v>-5.3641000000000076</v>
      </c>
    </row>
    <row r="26" spans="1:8" ht="13" x14ac:dyDescent="0.15">
      <c r="A26" s="12">
        <v>45541</v>
      </c>
      <c r="B26" s="13" t="s">
        <v>6</v>
      </c>
      <c r="C26" s="14">
        <v>0.90659999999999996</v>
      </c>
      <c r="D26" s="16">
        <v>553</v>
      </c>
      <c r="E26" s="17">
        <f t="shared" si="0"/>
        <v>51.650200000000041</v>
      </c>
      <c r="F26" s="18">
        <f t="shared" si="1"/>
        <v>2840.7610000000022</v>
      </c>
      <c r="G26" s="19">
        <f t="shared" si="3"/>
        <v>27.649999999999977</v>
      </c>
      <c r="H26" s="20">
        <f t="shared" si="2"/>
        <v>-24.000200000000063</v>
      </c>
    </row>
    <row r="27" spans="1:8" ht="13" x14ac:dyDescent="0.15">
      <c r="A27" s="12">
        <v>45544</v>
      </c>
      <c r="B27" s="13" t="s">
        <v>2</v>
      </c>
      <c r="C27" s="14">
        <v>0.91969999999999996</v>
      </c>
      <c r="D27" s="16">
        <v>553</v>
      </c>
      <c r="E27" s="17">
        <f t="shared" si="0"/>
        <v>44.405900000000031</v>
      </c>
      <c r="F27" s="18">
        <f t="shared" si="1"/>
        <v>2442.3245000000015</v>
      </c>
      <c r="G27" s="19">
        <f t="shared" si="3"/>
        <v>27.649999999999977</v>
      </c>
      <c r="H27" s="20">
        <f t="shared" si="2"/>
        <v>-16.755900000000054</v>
      </c>
    </row>
    <row r="28" spans="1:8" ht="13" x14ac:dyDescent="0.15">
      <c r="A28" s="12">
        <v>45545</v>
      </c>
      <c r="B28" s="13" t="s">
        <v>3</v>
      </c>
      <c r="C28" s="14">
        <v>0.92730000000000001</v>
      </c>
      <c r="D28" s="16">
        <v>554</v>
      </c>
      <c r="E28" s="17">
        <f t="shared" si="0"/>
        <v>40.275800000000004</v>
      </c>
      <c r="F28" s="18">
        <f t="shared" si="1"/>
        <v>2215.1690000000003</v>
      </c>
      <c r="G28" s="19">
        <f t="shared" si="3"/>
        <v>27.700000000000045</v>
      </c>
      <c r="H28" s="20">
        <f t="shared" si="2"/>
        <v>-12.575799999999958</v>
      </c>
    </row>
    <row r="29" spans="1:8" ht="13" x14ac:dyDescent="0.15">
      <c r="A29" s="12">
        <v>45546</v>
      </c>
      <c r="B29" s="13" t="s">
        <v>4</v>
      </c>
      <c r="C29" s="14">
        <v>0.92069999999999996</v>
      </c>
      <c r="D29" s="16">
        <v>553</v>
      </c>
      <c r="E29" s="17">
        <f t="shared" si="0"/>
        <v>43.852900000000034</v>
      </c>
      <c r="F29" s="18">
        <f t="shared" si="1"/>
        <v>2411.909500000002</v>
      </c>
      <c r="G29" s="19">
        <f t="shared" si="3"/>
        <v>27.649999999999977</v>
      </c>
      <c r="H29" s="20">
        <f t="shared" si="2"/>
        <v>-16.202900000000056</v>
      </c>
    </row>
    <row r="30" spans="1:8" ht="13" x14ac:dyDescent="0.15">
      <c r="A30" s="12">
        <v>45547</v>
      </c>
      <c r="B30" s="13" t="s">
        <v>5</v>
      </c>
      <c r="C30" s="14">
        <v>0.91410000000000002</v>
      </c>
      <c r="D30" s="16">
        <v>553</v>
      </c>
      <c r="E30" s="17">
        <f t="shared" si="0"/>
        <v>47.502700000000004</v>
      </c>
      <c r="F30" s="18">
        <f t="shared" si="1"/>
        <v>2612.6485000000002</v>
      </c>
      <c r="G30" s="19">
        <f t="shared" si="3"/>
        <v>27.649999999999977</v>
      </c>
      <c r="H30" s="20">
        <f t="shared" si="2"/>
        <v>-19.852700000000027</v>
      </c>
    </row>
    <row r="31" spans="1:8" ht="13" x14ac:dyDescent="0.15">
      <c r="A31" s="12">
        <v>45548</v>
      </c>
      <c r="B31" s="13" t="s">
        <v>6</v>
      </c>
      <c r="C31" s="14">
        <v>0.89690000000000003</v>
      </c>
      <c r="D31" s="16">
        <v>554</v>
      </c>
      <c r="E31" s="17">
        <f t="shared" si="0"/>
        <v>57.117399999999975</v>
      </c>
      <c r="F31" s="18">
        <f t="shared" si="1"/>
        <v>3141.4569999999985</v>
      </c>
      <c r="G31" s="19">
        <f t="shared" si="3"/>
        <v>27.700000000000045</v>
      </c>
      <c r="H31" s="20">
        <f t="shared" si="2"/>
        <v>-29.41739999999993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0.90010000000000001</v>
      </c>
      <c r="D33" s="16">
        <v>555</v>
      </c>
      <c r="E33" s="17">
        <f t="shared" si="0"/>
        <v>55.444500000000005</v>
      </c>
      <c r="F33" s="18">
        <f t="shared" si="1"/>
        <v>3049.4475000000002</v>
      </c>
      <c r="G33" s="19">
        <f t="shared" si="3"/>
        <v>27.75</v>
      </c>
      <c r="H33" s="20">
        <f t="shared" si="2"/>
        <v>-27.694500000000005</v>
      </c>
    </row>
    <row r="34" spans="1:8" ht="13" x14ac:dyDescent="0.15">
      <c r="A34" s="12">
        <v>45553</v>
      </c>
      <c r="B34" s="13" t="s">
        <v>4</v>
      </c>
      <c r="C34" s="14">
        <v>0.9</v>
      </c>
      <c r="D34" s="16">
        <v>555</v>
      </c>
      <c r="E34" s="17">
        <f t="shared" si="0"/>
        <v>55.5</v>
      </c>
      <c r="F34" s="18">
        <f t="shared" si="1"/>
        <v>3052.5</v>
      </c>
      <c r="G34" s="19">
        <f t="shared" si="3"/>
        <v>27.75</v>
      </c>
      <c r="H34" s="20">
        <f t="shared" si="2"/>
        <v>-27.75</v>
      </c>
    </row>
    <row r="35" spans="1:8" ht="13" x14ac:dyDescent="0.15">
      <c r="A35" s="12">
        <v>45554</v>
      </c>
      <c r="B35" s="13" t="s">
        <v>5</v>
      </c>
      <c r="C35" s="14">
        <v>0.89580000000000004</v>
      </c>
      <c r="D35" s="16">
        <v>555</v>
      </c>
      <c r="E35" s="17">
        <f t="shared" si="0"/>
        <v>57.83099999999996</v>
      </c>
      <c r="F35" s="18">
        <f t="shared" si="1"/>
        <v>3180.7049999999977</v>
      </c>
      <c r="G35" s="19">
        <f t="shared" si="3"/>
        <v>27.75</v>
      </c>
      <c r="H35" s="20">
        <f t="shared" si="2"/>
        <v>-30.08099999999996</v>
      </c>
    </row>
    <row r="36" spans="1:8" ht="13" x14ac:dyDescent="0.15">
      <c r="A36" s="12">
        <v>45555</v>
      </c>
      <c r="B36" s="13" t="s">
        <v>6</v>
      </c>
      <c r="C36" s="14">
        <v>0.89149999999999996</v>
      </c>
      <c r="D36" s="16">
        <v>556</v>
      </c>
      <c r="E36" s="17">
        <f t="shared" si="0"/>
        <v>60.326000000000022</v>
      </c>
      <c r="F36" s="18">
        <f t="shared" si="1"/>
        <v>3317.9300000000012</v>
      </c>
      <c r="G36" s="19">
        <f t="shared" si="3"/>
        <v>27.800000000000068</v>
      </c>
      <c r="H36" s="20">
        <f t="shared" si="2"/>
        <v>-32.525999999999954</v>
      </c>
    </row>
    <row r="37" spans="1:8" ht="13" x14ac:dyDescent="0.15">
      <c r="A37" s="12">
        <v>45558</v>
      </c>
      <c r="B37" s="13" t="s">
        <v>2</v>
      </c>
      <c r="C37" s="14">
        <v>0.89149999999999996</v>
      </c>
      <c r="D37" s="16">
        <v>556</v>
      </c>
      <c r="E37" s="17">
        <f t="shared" si="0"/>
        <v>60.326000000000022</v>
      </c>
      <c r="F37" s="18">
        <f t="shared" si="1"/>
        <v>3317.9300000000012</v>
      </c>
      <c r="G37" s="19">
        <f t="shared" si="3"/>
        <v>27.800000000000068</v>
      </c>
      <c r="H37" s="20">
        <f t="shared" si="2"/>
        <v>-32.525999999999954</v>
      </c>
    </row>
    <row r="38" spans="1:8" ht="13" x14ac:dyDescent="0.15">
      <c r="A38" s="12">
        <v>45559</v>
      </c>
      <c r="B38" s="13" t="s">
        <v>3</v>
      </c>
      <c r="C38" s="14">
        <v>0.93279999999999996</v>
      </c>
      <c r="D38" s="16">
        <v>556</v>
      </c>
      <c r="E38" s="17">
        <f t="shared" si="0"/>
        <v>37.363200000000006</v>
      </c>
      <c r="F38" s="18">
        <f t="shared" si="1"/>
        <v>2054.9760000000006</v>
      </c>
      <c r="G38" s="19">
        <f t="shared" si="3"/>
        <v>27.800000000000068</v>
      </c>
      <c r="H38" s="20">
        <f t="shared" si="2"/>
        <v>-9.563199999999938</v>
      </c>
    </row>
    <row r="39" spans="1:8" ht="13" x14ac:dyDescent="0.15">
      <c r="A39" s="12">
        <v>45560</v>
      </c>
      <c r="B39" s="13" t="s">
        <v>4</v>
      </c>
      <c r="C39" s="14">
        <v>0.93820000000000003</v>
      </c>
      <c r="D39" s="16">
        <v>556</v>
      </c>
      <c r="E39" s="17">
        <f t="shared" ref="E39:E70" si="4">D39-(C39*D39)</f>
        <v>34.360799999999927</v>
      </c>
      <c r="F39" s="18">
        <f t="shared" si="1"/>
        <v>1889.843999999996</v>
      </c>
      <c r="G39" s="19">
        <f t="shared" si="3"/>
        <v>27.800000000000068</v>
      </c>
      <c r="H39" s="20">
        <f t="shared" si="2"/>
        <v>-6.5607999999998583</v>
      </c>
    </row>
    <row r="40" spans="1:8" ht="13" x14ac:dyDescent="0.15">
      <c r="A40" s="12">
        <v>45561</v>
      </c>
      <c r="B40" s="13" t="s">
        <v>5</v>
      </c>
      <c r="C40" s="14">
        <v>0.91769999999999996</v>
      </c>
      <c r="D40" s="16">
        <v>558</v>
      </c>
      <c r="E40" s="17">
        <f t="shared" si="4"/>
        <v>45.923400000000015</v>
      </c>
      <c r="F40" s="18">
        <f t="shared" si="1"/>
        <v>2525.7870000000007</v>
      </c>
      <c r="G40" s="19">
        <f t="shared" si="3"/>
        <v>27.899999999999977</v>
      </c>
      <c r="H40" s="20">
        <f t="shared" si="2"/>
        <v>-18.023400000000038</v>
      </c>
    </row>
    <row r="41" spans="1:8" ht="13" x14ac:dyDescent="0.15">
      <c r="A41" s="12">
        <v>45562</v>
      </c>
      <c r="B41" s="13" t="s">
        <v>6</v>
      </c>
      <c r="C41" s="14">
        <v>0.86580000000000001</v>
      </c>
      <c r="D41" s="16">
        <v>557</v>
      </c>
      <c r="E41" s="17">
        <f t="shared" si="4"/>
        <v>74.74939999999998</v>
      </c>
      <c r="F41" s="18">
        <f t="shared" si="1"/>
        <v>4111.2169999999987</v>
      </c>
      <c r="G41" s="19">
        <f t="shared" si="3"/>
        <v>27.850000000000023</v>
      </c>
      <c r="H41" s="20">
        <f t="shared" si="2"/>
        <v>-46.899399999999957</v>
      </c>
    </row>
    <row r="42" spans="1:8" ht="13" x14ac:dyDescent="0.15">
      <c r="A42" s="12">
        <v>45565</v>
      </c>
      <c r="B42" s="13" t="s">
        <v>2</v>
      </c>
      <c r="C42" s="14">
        <v>0.91669999999999996</v>
      </c>
      <c r="D42" s="16">
        <v>558</v>
      </c>
      <c r="E42" s="17">
        <f t="shared" si="4"/>
        <v>46.481400000000008</v>
      </c>
      <c r="F42" s="18">
        <f t="shared" si="1"/>
        <v>2556.4770000000003</v>
      </c>
      <c r="G42" s="19">
        <f t="shared" si="3"/>
        <v>27.899999999999977</v>
      </c>
      <c r="H42" s="20">
        <f t="shared" si="2"/>
        <v>-18.581400000000031</v>
      </c>
    </row>
    <row r="43" spans="1:8" ht="13" x14ac:dyDescent="0.15">
      <c r="A43" s="12">
        <v>45566</v>
      </c>
      <c r="B43" s="13" t="s">
        <v>3</v>
      </c>
      <c r="C43" s="14">
        <v>0.93159999999999998</v>
      </c>
      <c r="D43" s="16">
        <v>559</v>
      </c>
      <c r="E43" s="17">
        <f t="shared" si="4"/>
        <v>38.235599999999977</v>
      </c>
      <c r="F43" s="18">
        <f t="shared" si="1"/>
        <v>2102.9579999999987</v>
      </c>
      <c r="G43" s="19">
        <f t="shared" si="3"/>
        <v>27.950000000000045</v>
      </c>
      <c r="H43" s="20">
        <f t="shared" si="2"/>
        <v>-10.285599999999931</v>
      </c>
    </row>
    <row r="44" spans="1:8" ht="13" x14ac:dyDescent="0.15">
      <c r="A44" s="12">
        <v>45567</v>
      </c>
      <c r="B44" s="13" t="s">
        <v>4</v>
      </c>
      <c r="C44" s="14">
        <v>0.93300000000000005</v>
      </c>
      <c r="D44" s="16">
        <v>559</v>
      </c>
      <c r="E44" s="17">
        <f t="shared" si="4"/>
        <v>37.452999999999975</v>
      </c>
      <c r="F44" s="18">
        <f t="shared" si="1"/>
        <v>2059.9149999999986</v>
      </c>
      <c r="G44" s="19">
        <f t="shared" si="3"/>
        <v>27.950000000000045</v>
      </c>
      <c r="H44" s="20">
        <f t="shared" si="2"/>
        <v>-9.5029999999999291</v>
      </c>
    </row>
    <row r="45" spans="1:8" ht="13" x14ac:dyDescent="0.15">
      <c r="A45" s="12">
        <v>45568</v>
      </c>
      <c r="B45" s="13" t="s">
        <v>5</v>
      </c>
      <c r="C45" s="14">
        <v>0.93740000000000001</v>
      </c>
      <c r="D45" s="16">
        <v>559</v>
      </c>
      <c r="E45" s="17">
        <f t="shared" si="4"/>
        <v>34.993399999999951</v>
      </c>
      <c r="F45" s="18">
        <f t="shared" si="1"/>
        <v>1924.6369999999974</v>
      </c>
      <c r="G45" s="19">
        <f t="shared" si="3"/>
        <v>27.950000000000045</v>
      </c>
      <c r="H45" s="20">
        <f t="shared" si="2"/>
        <v>-7.043399999999906</v>
      </c>
    </row>
    <row r="46" spans="1:8" ht="13" x14ac:dyDescent="0.15">
      <c r="A46" s="12">
        <v>45569</v>
      </c>
      <c r="B46" s="13" t="s">
        <v>6</v>
      </c>
      <c r="C46" s="14">
        <v>0.91249999999999998</v>
      </c>
      <c r="D46" s="16">
        <v>559</v>
      </c>
      <c r="E46" s="17">
        <f t="shared" si="4"/>
        <v>48.912500000000023</v>
      </c>
      <c r="F46" s="18">
        <f t="shared" si="1"/>
        <v>2690.1875000000014</v>
      </c>
      <c r="G46" s="19">
        <f t="shared" si="3"/>
        <v>27.950000000000045</v>
      </c>
      <c r="H46" s="20">
        <f t="shared" si="2"/>
        <v>-20.962499999999977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0.91930000000000001</v>
      </c>
      <c r="D52" s="16">
        <v>561</v>
      </c>
      <c r="E52" s="17">
        <f t="shared" si="4"/>
        <v>45.272699999999986</v>
      </c>
      <c r="F52" s="18">
        <f t="shared" si="1"/>
        <v>2489.9984999999992</v>
      </c>
      <c r="G52" s="19">
        <f t="shared" si="3"/>
        <v>28.050000000000068</v>
      </c>
      <c r="H52" s="20">
        <f t="shared" si="2"/>
        <v>-17.222699999999918</v>
      </c>
    </row>
    <row r="53" spans="1:8" ht="13" x14ac:dyDescent="0.15">
      <c r="A53" s="12">
        <v>45580</v>
      </c>
      <c r="B53" s="13" t="s">
        <v>3</v>
      </c>
      <c r="C53" s="14">
        <v>0.95799999999999996</v>
      </c>
      <c r="D53" s="16">
        <v>562</v>
      </c>
      <c r="E53" s="17">
        <f t="shared" si="4"/>
        <v>23.604000000000042</v>
      </c>
      <c r="F53" s="18">
        <f t="shared" si="1"/>
        <v>1298.2200000000023</v>
      </c>
      <c r="G53" s="19">
        <f t="shared" si="3"/>
        <v>28.100000000000023</v>
      </c>
      <c r="H53" s="20">
        <f t="shared" si="2"/>
        <v>4.4959999999999809</v>
      </c>
    </row>
    <row r="54" spans="1:8" ht="13" x14ac:dyDescent="0.15">
      <c r="A54" s="12">
        <v>45581</v>
      </c>
      <c r="B54" s="13" t="s">
        <v>4</v>
      </c>
      <c r="C54" s="29">
        <v>0.93740000000000001</v>
      </c>
      <c r="D54" s="16">
        <v>560</v>
      </c>
      <c r="E54" s="17">
        <f t="shared" si="4"/>
        <v>35.05600000000004</v>
      </c>
      <c r="F54" s="18">
        <f t="shared" si="1"/>
        <v>1928.0800000000022</v>
      </c>
      <c r="G54" s="19">
        <f t="shared" si="3"/>
        <v>28</v>
      </c>
      <c r="H54" s="20">
        <f t="shared" si="2"/>
        <v>-7.05600000000004</v>
      </c>
    </row>
    <row r="55" spans="1:8" ht="13" x14ac:dyDescent="0.15">
      <c r="A55" s="12">
        <v>45582</v>
      </c>
      <c r="B55" s="13" t="s">
        <v>5</v>
      </c>
      <c r="C55" s="14">
        <v>0.95569999999999999</v>
      </c>
      <c r="D55" s="16">
        <v>560</v>
      </c>
      <c r="E55" s="17">
        <f t="shared" si="4"/>
        <v>24.807999999999993</v>
      </c>
      <c r="F55" s="18">
        <f t="shared" si="1"/>
        <v>1364.4399999999996</v>
      </c>
      <c r="G55" s="19">
        <f t="shared" si="3"/>
        <v>28</v>
      </c>
      <c r="H55" s="20">
        <f t="shared" si="2"/>
        <v>3.1920000000000073</v>
      </c>
    </row>
    <row r="56" spans="1:8" ht="13" x14ac:dyDescent="0.15">
      <c r="A56" s="12">
        <v>45583</v>
      </c>
      <c r="B56" s="13" t="s">
        <v>6</v>
      </c>
      <c r="C56" s="14">
        <v>0.92110000000000003</v>
      </c>
      <c r="D56" s="16">
        <v>559</v>
      </c>
      <c r="E56" s="17">
        <f t="shared" si="4"/>
        <v>44.105099999999993</v>
      </c>
      <c r="F56" s="18">
        <f t="shared" si="1"/>
        <v>2425.7804999999998</v>
      </c>
      <c r="G56" s="19">
        <f t="shared" si="3"/>
        <v>27.950000000000045</v>
      </c>
      <c r="H56" s="20">
        <f t="shared" si="2"/>
        <v>-16.155099999999948</v>
      </c>
    </row>
    <row r="57" spans="1:8" ht="13" x14ac:dyDescent="0.15">
      <c r="A57" s="12">
        <v>45586</v>
      </c>
      <c r="B57" s="13" t="s">
        <v>2</v>
      </c>
      <c r="C57" s="14">
        <v>0.92800000000000005</v>
      </c>
      <c r="D57" s="16">
        <v>561</v>
      </c>
      <c r="E57" s="17">
        <f t="shared" si="4"/>
        <v>40.391999999999939</v>
      </c>
      <c r="F57" s="18">
        <f t="shared" si="1"/>
        <v>2221.5599999999968</v>
      </c>
      <c r="G57" s="19">
        <f t="shared" si="3"/>
        <v>28.050000000000068</v>
      </c>
      <c r="H57" s="20">
        <f t="shared" si="2"/>
        <v>-12.341999999999871</v>
      </c>
    </row>
    <row r="58" spans="1:8" ht="13" x14ac:dyDescent="0.15">
      <c r="A58" s="12">
        <v>45587</v>
      </c>
      <c r="B58" s="13" t="s">
        <v>3</v>
      </c>
      <c r="C58" s="14">
        <v>0.97309999999999997</v>
      </c>
      <c r="D58" s="16">
        <v>561</v>
      </c>
      <c r="E58" s="17">
        <f t="shared" si="4"/>
        <v>15.090900000000033</v>
      </c>
      <c r="F58" s="18">
        <f t="shared" si="1"/>
        <v>829.99950000000183</v>
      </c>
      <c r="G58" s="19">
        <f t="shared" si="3"/>
        <v>28.050000000000068</v>
      </c>
      <c r="H58" s="20">
        <f t="shared" si="2"/>
        <v>12.959100000000035</v>
      </c>
    </row>
    <row r="59" spans="1:8" ht="13" x14ac:dyDescent="0.15">
      <c r="A59" s="12">
        <v>45588</v>
      </c>
      <c r="B59" s="13" t="s">
        <v>4</v>
      </c>
      <c r="C59" s="14">
        <v>0.95489999999999997</v>
      </c>
      <c r="D59" s="16">
        <v>562</v>
      </c>
      <c r="E59" s="17">
        <f t="shared" si="4"/>
        <v>25.346200000000067</v>
      </c>
      <c r="F59" s="18">
        <f t="shared" si="1"/>
        <v>1394.0410000000038</v>
      </c>
      <c r="G59" s="19">
        <f t="shared" si="3"/>
        <v>28.100000000000023</v>
      </c>
      <c r="H59" s="20">
        <f t="shared" si="2"/>
        <v>2.7537999999999556</v>
      </c>
    </row>
    <row r="60" spans="1:8" ht="13" x14ac:dyDescent="0.15">
      <c r="A60" s="12">
        <v>45589</v>
      </c>
      <c r="B60" s="13" t="s">
        <v>5</v>
      </c>
      <c r="C60" s="14">
        <v>0.94840000000000002</v>
      </c>
      <c r="D60" s="16">
        <v>562</v>
      </c>
      <c r="E60" s="17">
        <f t="shared" si="4"/>
        <v>28.999199999999973</v>
      </c>
      <c r="F60" s="18">
        <f t="shared" si="1"/>
        <v>1594.9559999999985</v>
      </c>
      <c r="G60" s="19">
        <f t="shared" si="3"/>
        <v>28.100000000000023</v>
      </c>
      <c r="H60" s="20">
        <f t="shared" si="2"/>
        <v>-0.89919999999995071</v>
      </c>
    </row>
    <row r="61" spans="1:8" ht="13" x14ac:dyDescent="0.15">
      <c r="A61" s="12">
        <v>45590</v>
      </c>
      <c r="B61" s="13" t="s">
        <v>6</v>
      </c>
      <c r="C61" s="14">
        <v>0.92479999999999996</v>
      </c>
      <c r="D61" s="16">
        <v>562</v>
      </c>
      <c r="E61" s="17">
        <f t="shared" si="4"/>
        <v>42.262400000000071</v>
      </c>
      <c r="F61" s="18">
        <f t="shared" si="1"/>
        <v>2324.4320000000039</v>
      </c>
      <c r="G61" s="19">
        <f t="shared" si="3"/>
        <v>28.100000000000023</v>
      </c>
      <c r="H61" s="20">
        <f t="shared" si="2"/>
        <v>-14.162400000000048</v>
      </c>
    </row>
    <row r="62" spans="1:8" ht="13" x14ac:dyDescent="0.15">
      <c r="A62" s="12">
        <v>45593</v>
      </c>
      <c r="B62" s="13" t="s">
        <v>2</v>
      </c>
      <c r="C62" s="14">
        <v>0.8982</v>
      </c>
      <c r="D62" s="16">
        <v>563</v>
      </c>
      <c r="E62" s="17">
        <f t="shared" si="4"/>
        <v>57.313400000000001</v>
      </c>
      <c r="F62" s="18">
        <f t="shared" si="1"/>
        <v>3152.2370000000001</v>
      </c>
      <c r="G62" s="19">
        <f t="shared" si="3"/>
        <v>28.149999999999977</v>
      </c>
      <c r="H62" s="20">
        <f t="shared" si="2"/>
        <v>-29.163400000000024</v>
      </c>
    </row>
    <row r="63" spans="1:8" ht="13" x14ac:dyDescent="0.15">
      <c r="A63" s="12">
        <v>45594</v>
      </c>
      <c r="B63" s="13" t="s">
        <v>3</v>
      </c>
      <c r="C63" s="14">
        <v>0.94520000000000004</v>
      </c>
      <c r="D63" s="16">
        <v>562</v>
      </c>
      <c r="E63" s="17">
        <f t="shared" si="4"/>
        <v>30.797599999999989</v>
      </c>
      <c r="F63" s="18">
        <f t="shared" si="1"/>
        <v>1693.8679999999995</v>
      </c>
      <c r="G63" s="19">
        <f t="shared" si="3"/>
        <v>28.100000000000023</v>
      </c>
      <c r="H63" s="20">
        <f t="shared" si="2"/>
        <v>-2.6975999999999658</v>
      </c>
    </row>
    <row r="64" spans="1:8" ht="13" x14ac:dyDescent="0.15">
      <c r="A64" s="12">
        <v>45595</v>
      </c>
      <c r="B64" s="13" t="s">
        <v>4</v>
      </c>
      <c r="C64" s="14">
        <v>0.94220000000000004</v>
      </c>
      <c r="D64" s="16">
        <v>564</v>
      </c>
      <c r="E64" s="17">
        <f t="shared" si="4"/>
        <v>32.599199999999996</v>
      </c>
      <c r="F64" s="18">
        <f t="shared" si="1"/>
        <v>1792.9559999999997</v>
      </c>
      <c r="G64" s="19">
        <f t="shared" si="3"/>
        <v>28.200000000000045</v>
      </c>
      <c r="H64" s="20">
        <f t="shared" si="2"/>
        <v>-4.3991999999999507</v>
      </c>
    </row>
    <row r="65" spans="1:8" ht="13" x14ac:dyDescent="0.15">
      <c r="A65" s="12">
        <v>45596</v>
      </c>
      <c r="B65" s="13" t="s">
        <v>5</v>
      </c>
      <c r="C65" s="14">
        <v>0.92510000000000003</v>
      </c>
      <c r="D65" s="16">
        <v>565</v>
      </c>
      <c r="E65" s="17">
        <f t="shared" si="4"/>
        <v>42.318499999999972</v>
      </c>
      <c r="F65" s="18">
        <f t="shared" si="1"/>
        <v>2327.5174999999986</v>
      </c>
      <c r="G65" s="19">
        <f t="shared" si="3"/>
        <v>28.25</v>
      </c>
      <c r="H65" s="20">
        <f t="shared" si="2"/>
        <v>-14.068499999999972</v>
      </c>
    </row>
    <row r="66" spans="1:8" ht="13" x14ac:dyDescent="0.15">
      <c r="A66" s="12">
        <v>45597</v>
      </c>
      <c r="B66" s="13" t="s">
        <v>6</v>
      </c>
      <c r="C66" s="14">
        <v>0.8952</v>
      </c>
      <c r="D66" s="16">
        <v>565</v>
      </c>
      <c r="E66" s="17">
        <f t="shared" si="4"/>
        <v>59.211999999999989</v>
      </c>
      <c r="F66" s="18">
        <f t="shared" si="1"/>
        <v>3256.6599999999994</v>
      </c>
      <c r="G66" s="19">
        <f t="shared" si="3"/>
        <v>28.25</v>
      </c>
      <c r="H66" s="20">
        <f t="shared" si="2"/>
        <v>-30.961999999999989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0.94</v>
      </c>
      <c r="D69" s="16">
        <v>565</v>
      </c>
      <c r="E69" s="17">
        <f t="shared" si="4"/>
        <v>33.899999999999977</v>
      </c>
      <c r="F69" s="18">
        <f t="shared" si="1"/>
        <v>1864.4999999999986</v>
      </c>
      <c r="G69" s="19">
        <f t="shared" si="3"/>
        <v>28.25</v>
      </c>
      <c r="H69" s="20">
        <f t="shared" si="2"/>
        <v>-5.6499999999999773</v>
      </c>
    </row>
    <row r="70" spans="1:8" ht="13" x14ac:dyDescent="0.15">
      <c r="A70" s="12">
        <v>45603</v>
      </c>
      <c r="B70" s="13" t="s">
        <v>5</v>
      </c>
      <c r="C70" s="14">
        <v>0.93259999999999998</v>
      </c>
      <c r="D70" s="16">
        <v>566</v>
      </c>
      <c r="E70" s="17">
        <f t="shared" si="4"/>
        <v>38.148400000000038</v>
      </c>
      <c r="F70" s="18">
        <f t="shared" si="1"/>
        <v>2098.1620000000021</v>
      </c>
      <c r="G70" s="19">
        <f t="shared" si="3"/>
        <v>28.300000000000068</v>
      </c>
      <c r="H70" s="20">
        <f t="shared" si="2"/>
        <v>-9.8483999999999696</v>
      </c>
    </row>
    <row r="71" spans="1:8" ht="13" x14ac:dyDescent="0.15">
      <c r="A71" s="12">
        <v>45604</v>
      </c>
      <c r="B71" s="13" t="s">
        <v>6</v>
      </c>
      <c r="C71" s="14">
        <v>0.93230000000000002</v>
      </c>
      <c r="D71" s="16">
        <v>563</v>
      </c>
      <c r="E71" s="17">
        <f t="shared" ref="E71:E102" si="5">D71-(C71*D71)</f>
        <v>38.115099999999984</v>
      </c>
      <c r="F71" s="18">
        <f t="shared" si="1"/>
        <v>2096.3304999999991</v>
      </c>
      <c r="G71" s="19">
        <f t="shared" si="3"/>
        <v>28.149999999999977</v>
      </c>
      <c r="H71" s="20">
        <f t="shared" si="2"/>
        <v>-9.9651000000000067</v>
      </c>
    </row>
    <row r="72" spans="1:8" ht="13" x14ac:dyDescent="0.15">
      <c r="A72" s="12">
        <v>45607</v>
      </c>
      <c r="B72" s="13" t="s">
        <v>2</v>
      </c>
      <c r="C72" s="14">
        <v>0.91300000000000003</v>
      </c>
      <c r="D72" s="16">
        <v>563</v>
      </c>
      <c r="E72" s="17">
        <f t="shared" si="5"/>
        <v>48.980999999999995</v>
      </c>
      <c r="F72" s="18">
        <f t="shared" si="1"/>
        <v>2693.9549999999999</v>
      </c>
      <c r="G72" s="19">
        <f t="shared" si="3"/>
        <v>28.149999999999977</v>
      </c>
      <c r="H72" s="20">
        <f t="shared" si="2"/>
        <v>-20.831000000000017</v>
      </c>
    </row>
    <row r="73" spans="1:8" ht="13" x14ac:dyDescent="0.15">
      <c r="A73" s="12">
        <v>45608</v>
      </c>
      <c r="B73" s="13" t="s">
        <v>3</v>
      </c>
      <c r="C73" s="14">
        <v>0.92759999999999998</v>
      </c>
      <c r="D73" s="16">
        <v>563</v>
      </c>
      <c r="E73" s="17">
        <f t="shared" si="5"/>
        <v>40.761200000000031</v>
      </c>
      <c r="F73" s="18">
        <f t="shared" si="1"/>
        <v>2241.8660000000018</v>
      </c>
      <c r="G73" s="19">
        <f t="shared" si="3"/>
        <v>28.149999999999977</v>
      </c>
      <c r="H73" s="20">
        <f t="shared" si="2"/>
        <v>-12.611200000000053</v>
      </c>
    </row>
    <row r="74" spans="1:8" ht="13" x14ac:dyDescent="0.15">
      <c r="A74" s="12">
        <v>45609</v>
      </c>
      <c r="B74" s="13" t="s">
        <v>4</v>
      </c>
      <c r="C74" s="14">
        <v>0.92100000000000004</v>
      </c>
      <c r="D74" s="16">
        <v>561</v>
      </c>
      <c r="E74" s="17">
        <f t="shared" si="5"/>
        <v>44.31899999999996</v>
      </c>
      <c r="F74" s="18">
        <f t="shared" si="1"/>
        <v>2437.5449999999978</v>
      </c>
      <c r="G74" s="19">
        <f t="shared" si="3"/>
        <v>28.050000000000068</v>
      </c>
      <c r="H74" s="20">
        <f t="shared" si="2"/>
        <v>-16.268999999999892</v>
      </c>
    </row>
    <row r="75" spans="1:8" ht="13" x14ac:dyDescent="0.15">
      <c r="A75" s="12">
        <v>45610</v>
      </c>
      <c r="B75" s="13" t="s">
        <v>5</v>
      </c>
      <c r="C75" s="14">
        <v>0.89380000000000004</v>
      </c>
      <c r="D75" s="16">
        <v>562</v>
      </c>
      <c r="E75" s="17">
        <f t="shared" si="5"/>
        <v>59.684399999999982</v>
      </c>
      <c r="F75" s="18">
        <f t="shared" si="1"/>
        <v>3282.6419999999989</v>
      </c>
      <c r="G75" s="19">
        <f t="shared" si="3"/>
        <v>28.100000000000023</v>
      </c>
      <c r="H75" s="20">
        <f t="shared" si="2"/>
        <v>-31.58439999999996</v>
      </c>
    </row>
    <row r="76" spans="1:8" ht="13" x14ac:dyDescent="0.15">
      <c r="A76" s="12">
        <v>45611</v>
      </c>
      <c r="B76" s="13" t="s">
        <v>6</v>
      </c>
      <c r="C76" s="14">
        <v>0.89170000000000005</v>
      </c>
      <c r="D76" s="16">
        <v>562</v>
      </c>
      <c r="E76" s="17">
        <f t="shared" si="5"/>
        <v>60.864599999999996</v>
      </c>
      <c r="F76" s="18">
        <f t="shared" si="1"/>
        <v>3347.5529999999999</v>
      </c>
      <c r="G76" s="19">
        <f t="shared" si="3"/>
        <v>28.100000000000023</v>
      </c>
      <c r="H76" s="20">
        <f t="shared" si="2"/>
        <v>-32.764599999999973</v>
      </c>
    </row>
    <row r="77" spans="1:8" ht="13" x14ac:dyDescent="0.15">
      <c r="A77" s="12">
        <v>45614</v>
      </c>
      <c r="B77" s="13" t="s">
        <v>2</v>
      </c>
      <c r="C77" s="14">
        <v>0.90490000000000004</v>
      </c>
      <c r="D77" s="16">
        <v>563</v>
      </c>
      <c r="E77" s="17">
        <f t="shared" si="5"/>
        <v>53.541299999999978</v>
      </c>
      <c r="F77" s="18">
        <f t="shared" si="1"/>
        <v>2944.7714999999989</v>
      </c>
      <c r="G77" s="19">
        <f t="shared" si="3"/>
        <v>28.149999999999977</v>
      </c>
      <c r="H77" s="20">
        <f t="shared" si="2"/>
        <v>-25.391300000000001</v>
      </c>
    </row>
    <row r="78" spans="1:8" ht="13" x14ac:dyDescent="0.15">
      <c r="A78" s="12">
        <v>45615</v>
      </c>
      <c r="B78" s="13" t="s">
        <v>3</v>
      </c>
      <c r="C78" s="14">
        <v>0.92849999999999999</v>
      </c>
      <c r="D78" s="16">
        <v>562</v>
      </c>
      <c r="E78" s="17">
        <f t="shared" si="5"/>
        <v>40.182999999999993</v>
      </c>
      <c r="F78" s="18">
        <f t="shared" si="1"/>
        <v>2210.0649999999996</v>
      </c>
      <c r="G78" s="19">
        <f t="shared" si="3"/>
        <v>28.100000000000023</v>
      </c>
      <c r="H78" s="20">
        <f t="shared" si="2"/>
        <v>-12.08299999999997</v>
      </c>
    </row>
    <row r="79" spans="1:8" ht="13" x14ac:dyDescent="0.15">
      <c r="A79" s="12">
        <v>45616</v>
      </c>
      <c r="B79" s="13" t="s">
        <v>4</v>
      </c>
      <c r="C79" s="14">
        <v>0.94689999999999996</v>
      </c>
      <c r="D79" s="16">
        <v>562</v>
      </c>
      <c r="E79" s="17">
        <f t="shared" si="5"/>
        <v>29.842200000000048</v>
      </c>
      <c r="F79" s="18">
        <f t="shared" si="1"/>
        <v>1641.3210000000026</v>
      </c>
      <c r="G79" s="19">
        <f t="shared" si="3"/>
        <v>28.100000000000023</v>
      </c>
      <c r="H79" s="20">
        <f t="shared" si="2"/>
        <v>-1.7422000000000253</v>
      </c>
    </row>
    <row r="80" spans="1:8" ht="13" x14ac:dyDescent="0.15">
      <c r="A80" s="12">
        <v>45617</v>
      </c>
      <c r="B80" s="13" t="s">
        <v>5</v>
      </c>
      <c r="C80" s="14">
        <v>0.93389999999999995</v>
      </c>
      <c r="D80" s="16">
        <v>562</v>
      </c>
      <c r="E80" s="17">
        <f t="shared" si="5"/>
        <v>37.148199999999974</v>
      </c>
      <c r="F80" s="18">
        <f t="shared" si="1"/>
        <v>2043.1509999999985</v>
      </c>
      <c r="G80" s="19">
        <f t="shared" si="3"/>
        <v>28.100000000000023</v>
      </c>
      <c r="H80" s="20">
        <f t="shared" si="2"/>
        <v>-9.0481999999999516</v>
      </c>
    </row>
    <row r="81" spans="1:8" ht="13" x14ac:dyDescent="0.15">
      <c r="A81" s="12">
        <v>45618</v>
      </c>
      <c r="B81" s="13" t="s">
        <v>6</v>
      </c>
      <c r="C81" s="14">
        <v>0.8992</v>
      </c>
      <c r="D81" s="16">
        <v>562</v>
      </c>
      <c r="E81" s="17">
        <f t="shared" si="5"/>
        <v>56.649600000000021</v>
      </c>
      <c r="F81" s="18">
        <f t="shared" si="1"/>
        <v>3115.728000000001</v>
      </c>
      <c r="G81" s="19">
        <f t="shared" si="3"/>
        <v>28.100000000000023</v>
      </c>
      <c r="H81" s="20">
        <f t="shared" si="2"/>
        <v>-28.549599999999998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0.91120000000000001</v>
      </c>
      <c r="D87" s="16">
        <v>562</v>
      </c>
      <c r="E87" s="17">
        <f t="shared" si="5"/>
        <v>49.905600000000049</v>
      </c>
      <c r="F87" s="18">
        <f t="shared" si="1"/>
        <v>2744.8080000000027</v>
      </c>
      <c r="G87" s="19">
        <f t="shared" si="3"/>
        <v>28.100000000000023</v>
      </c>
      <c r="H87" s="20">
        <f t="shared" si="2"/>
        <v>-21.805600000000027</v>
      </c>
    </row>
    <row r="88" spans="1:8" ht="13" x14ac:dyDescent="0.15">
      <c r="A88" s="12">
        <v>45629</v>
      </c>
      <c r="B88" s="13" t="s">
        <v>3</v>
      </c>
      <c r="C88" s="14">
        <v>0.94789999999999996</v>
      </c>
      <c r="D88" s="16">
        <v>561</v>
      </c>
      <c r="E88" s="17">
        <f t="shared" si="5"/>
        <v>29.22810000000004</v>
      </c>
      <c r="F88" s="18">
        <f t="shared" si="1"/>
        <v>1607.5455000000022</v>
      </c>
      <c r="G88" s="19">
        <f t="shared" si="3"/>
        <v>28.050000000000068</v>
      </c>
      <c r="H88" s="20">
        <f t="shared" si="2"/>
        <v>-1.1780999999999722</v>
      </c>
    </row>
    <row r="89" spans="1:8" ht="13" x14ac:dyDescent="0.15">
      <c r="A89" s="12">
        <v>45630</v>
      </c>
      <c r="B89" s="13" t="s">
        <v>4</v>
      </c>
      <c r="C89" s="14">
        <v>0.94130000000000003</v>
      </c>
      <c r="D89" s="16">
        <v>561</v>
      </c>
      <c r="E89" s="17">
        <f t="shared" si="5"/>
        <v>32.930700000000002</v>
      </c>
      <c r="F89" s="18">
        <f t="shared" si="1"/>
        <v>1811.1885000000002</v>
      </c>
      <c r="G89" s="19">
        <f t="shared" si="3"/>
        <v>28.050000000000068</v>
      </c>
      <c r="H89" s="20">
        <f t="shared" si="2"/>
        <v>-4.8806999999999334</v>
      </c>
    </row>
    <row r="90" spans="1:8" ht="13" x14ac:dyDescent="0.15">
      <c r="A90" s="12">
        <v>45631</v>
      </c>
      <c r="B90" s="13" t="s">
        <v>5</v>
      </c>
      <c r="C90" s="14">
        <v>0.9304</v>
      </c>
      <c r="D90" s="16">
        <v>561</v>
      </c>
      <c r="E90" s="17">
        <f t="shared" si="5"/>
        <v>39.045600000000036</v>
      </c>
      <c r="F90" s="18">
        <f t="shared" si="1"/>
        <v>2147.5080000000021</v>
      </c>
      <c r="G90" s="19">
        <f t="shared" si="3"/>
        <v>28.050000000000068</v>
      </c>
      <c r="H90" s="20">
        <f t="shared" si="2"/>
        <v>-10.995599999999968</v>
      </c>
    </row>
    <row r="91" spans="1:8" ht="13" x14ac:dyDescent="0.15">
      <c r="A91" s="12">
        <v>45632</v>
      </c>
      <c r="B91" s="13" t="s">
        <v>6</v>
      </c>
      <c r="C91" s="14">
        <v>0.90649999999999997</v>
      </c>
      <c r="D91" s="16">
        <v>561</v>
      </c>
      <c r="E91" s="17">
        <f t="shared" si="5"/>
        <v>52.45350000000002</v>
      </c>
      <c r="F91" s="18">
        <f t="shared" si="1"/>
        <v>2884.942500000001</v>
      </c>
      <c r="G91" s="19">
        <f t="shared" si="3"/>
        <v>28.050000000000068</v>
      </c>
      <c r="H91" s="20">
        <f t="shared" si="2"/>
        <v>-24.403499999999951</v>
      </c>
    </row>
    <row r="92" spans="1:8" ht="13" x14ac:dyDescent="0.15">
      <c r="A92" s="12">
        <v>45635</v>
      </c>
      <c r="B92" s="13" t="s">
        <v>2</v>
      </c>
      <c r="C92" s="14">
        <v>0.92069999999999996</v>
      </c>
      <c r="D92" s="16">
        <v>561</v>
      </c>
      <c r="E92" s="17">
        <f t="shared" si="5"/>
        <v>44.487300000000005</v>
      </c>
      <c r="F92" s="18">
        <f t="shared" si="1"/>
        <v>2446.8015000000005</v>
      </c>
      <c r="G92" s="19">
        <f t="shared" si="3"/>
        <v>28.050000000000068</v>
      </c>
      <c r="H92" s="20">
        <f t="shared" si="2"/>
        <v>-16.437299999999937</v>
      </c>
    </row>
    <row r="93" spans="1:8" ht="13" x14ac:dyDescent="0.15">
      <c r="A93" s="12">
        <v>45636</v>
      </c>
      <c r="B93" s="13" t="s">
        <v>3</v>
      </c>
      <c r="C93" s="14">
        <v>0.92169999999999996</v>
      </c>
      <c r="D93" s="16">
        <v>561</v>
      </c>
      <c r="E93" s="17">
        <f t="shared" si="5"/>
        <v>43.926299999999969</v>
      </c>
      <c r="F93" s="18">
        <f t="shared" si="1"/>
        <v>2415.9464999999982</v>
      </c>
      <c r="G93" s="19">
        <f t="shared" si="3"/>
        <v>28.050000000000068</v>
      </c>
      <c r="H93" s="20">
        <f t="shared" si="2"/>
        <v>-15.876299999999901</v>
      </c>
    </row>
    <row r="94" spans="1:8" ht="13" x14ac:dyDescent="0.15">
      <c r="A94" s="12">
        <v>45637</v>
      </c>
      <c r="B94" s="13" t="s">
        <v>4</v>
      </c>
      <c r="C94" s="14">
        <v>0.92610000000000003</v>
      </c>
      <c r="D94" s="16">
        <v>561</v>
      </c>
      <c r="E94" s="17">
        <f t="shared" si="5"/>
        <v>41.457899999999995</v>
      </c>
      <c r="F94" s="18">
        <f t="shared" si="1"/>
        <v>2280.1844999999998</v>
      </c>
      <c r="G94" s="19">
        <f t="shared" si="3"/>
        <v>28.050000000000068</v>
      </c>
      <c r="H94" s="20">
        <f t="shared" si="2"/>
        <v>-13.407899999999927</v>
      </c>
    </row>
    <row r="95" spans="1:8" ht="13" x14ac:dyDescent="0.15">
      <c r="A95" s="12">
        <v>45638</v>
      </c>
      <c r="B95" s="13" t="s">
        <v>5</v>
      </c>
      <c r="C95" s="14">
        <v>0.93700000000000006</v>
      </c>
      <c r="D95" s="16">
        <v>561</v>
      </c>
      <c r="E95" s="17">
        <f t="shared" si="5"/>
        <v>35.342999999999961</v>
      </c>
      <c r="F95" s="18">
        <f t="shared" si="1"/>
        <v>1943.864999999998</v>
      </c>
      <c r="G95" s="19">
        <f t="shared" si="3"/>
        <v>28.050000000000068</v>
      </c>
      <c r="H95" s="20">
        <f t="shared" si="2"/>
        <v>-7.2929999999998927</v>
      </c>
    </row>
    <row r="96" spans="1:8" ht="13" x14ac:dyDescent="0.15">
      <c r="A96" s="12">
        <v>45639</v>
      </c>
      <c r="B96" s="13" t="s">
        <v>6</v>
      </c>
      <c r="C96" s="14">
        <v>0.89239999999999997</v>
      </c>
      <c r="D96" s="16">
        <v>561</v>
      </c>
      <c r="E96" s="17">
        <f t="shared" si="5"/>
        <v>60.363600000000019</v>
      </c>
      <c r="F96" s="18">
        <f t="shared" si="1"/>
        <v>3319.998000000001</v>
      </c>
      <c r="G96" s="19">
        <f t="shared" si="3"/>
        <v>28.050000000000068</v>
      </c>
      <c r="H96" s="20">
        <f t="shared" si="2"/>
        <v>-32.313599999999951</v>
      </c>
    </row>
    <row r="97" spans="1:8" ht="13" x14ac:dyDescent="0.15">
      <c r="A97" s="12">
        <v>45642</v>
      </c>
      <c r="B97" s="13" t="s">
        <v>2</v>
      </c>
      <c r="C97" s="14">
        <v>0.87960000000000005</v>
      </c>
      <c r="D97" s="16">
        <v>563</v>
      </c>
      <c r="E97" s="17">
        <f t="shared" si="5"/>
        <v>67.785199999999975</v>
      </c>
      <c r="F97" s="18">
        <f t="shared" si="1"/>
        <v>3728.1859999999988</v>
      </c>
      <c r="G97" s="19">
        <f t="shared" si="3"/>
        <v>28.149999999999977</v>
      </c>
      <c r="H97" s="20">
        <f t="shared" si="2"/>
        <v>-39.635199999999998</v>
      </c>
    </row>
    <row r="98" spans="1:8" ht="13" x14ac:dyDescent="0.15">
      <c r="A98" s="12">
        <v>45643</v>
      </c>
      <c r="B98" s="13" t="s">
        <v>3</v>
      </c>
      <c r="C98" s="14">
        <v>0.91</v>
      </c>
      <c r="D98" s="16">
        <v>563</v>
      </c>
      <c r="E98" s="17">
        <f t="shared" si="5"/>
        <v>50.669999999999959</v>
      </c>
      <c r="F98" s="18">
        <f t="shared" si="1"/>
        <v>2786.8499999999976</v>
      </c>
      <c r="G98" s="19">
        <f t="shared" si="3"/>
        <v>28.149999999999977</v>
      </c>
      <c r="H98" s="20">
        <f t="shared" si="2"/>
        <v>-22.519999999999982</v>
      </c>
    </row>
    <row r="99" spans="1:8" ht="13" x14ac:dyDescent="0.15">
      <c r="A99" s="12">
        <v>45644</v>
      </c>
      <c r="B99" s="13" t="s">
        <v>4</v>
      </c>
      <c r="C99" s="14">
        <v>0.93720000000000003</v>
      </c>
      <c r="D99" s="16">
        <v>564</v>
      </c>
      <c r="E99" s="17">
        <f t="shared" si="5"/>
        <v>35.419199999999933</v>
      </c>
      <c r="F99" s="18">
        <f t="shared" si="1"/>
        <v>1948.0559999999964</v>
      </c>
      <c r="G99" s="19">
        <f t="shared" si="3"/>
        <v>28.200000000000045</v>
      </c>
      <c r="H99" s="20">
        <f t="shared" si="2"/>
        <v>-7.219199999999887</v>
      </c>
    </row>
    <row r="100" spans="1:8" ht="13" x14ac:dyDescent="0.15">
      <c r="A100" s="12">
        <v>45645</v>
      </c>
      <c r="B100" s="13" t="s">
        <v>5</v>
      </c>
      <c r="C100" s="14">
        <v>0.95020000000000004</v>
      </c>
      <c r="D100" s="16">
        <v>564</v>
      </c>
      <c r="E100" s="17">
        <f t="shared" si="5"/>
        <v>28.087199999999939</v>
      </c>
      <c r="F100" s="18">
        <f t="shared" si="1"/>
        <v>1544.7959999999966</v>
      </c>
      <c r="G100" s="19">
        <f t="shared" si="3"/>
        <v>28.200000000000045</v>
      </c>
      <c r="H100" s="20">
        <f t="shared" si="2"/>
        <v>0.11280000000010659</v>
      </c>
    </row>
    <row r="101" spans="1:8" ht="13" x14ac:dyDescent="0.15">
      <c r="A101" s="12">
        <v>45646</v>
      </c>
      <c r="B101" s="13" t="s">
        <v>6</v>
      </c>
      <c r="C101" s="14">
        <v>0.67320000000000002</v>
      </c>
      <c r="D101" s="16">
        <v>564</v>
      </c>
      <c r="E101" s="17">
        <f t="shared" si="5"/>
        <v>184.3152</v>
      </c>
      <c r="F101" s="18">
        <f t="shared" si="1"/>
        <v>10137.335999999999</v>
      </c>
      <c r="G101" s="19">
        <f t="shared" si="3"/>
        <v>28.200000000000045</v>
      </c>
      <c r="H101" s="20">
        <f t="shared" si="2"/>
        <v>-156.11519999999996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0.89800000000000002</v>
      </c>
      <c r="D114" s="16">
        <v>561</v>
      </c>
      <c r="E114" s="17">
        <f t="shared" si="6"/>
        <v>57.22199999999998</v>
      </c>
      <c r="F114" s="18">
        <f t="shared" si="1"/>
        <v>3147.2099999999991</v>
      </c>
      <c r="G114" s="19">
        <f t="shared" si="3"/>
        <v>28.050000000000068</v>
      </c>
      <c r="H114" s="20">
        <f t="shared" si="2"/>
        <v>-29.171999999999912</v>
      </c>
    </row>
    <row r="115" spans="1:8" ht="13" x14ac:dyDescent="0.15">
      <c r="A115" s="12">
        <v>45666</v>
      </c>
      <c r="B115" s="13" t="s">
        <v>5</v>
      </c>
      <c r="C115" s="14">
        <v>0.91339999999999999</v>
      </c>
      <c r="D115" s="16">
        <v>559</v>
      </c>
      <c r="E115" s="17">
        <f t="shared" si="6"/>
        <v>48.409400000000005</v>
      </c>
      <c r="F115" s="18">
        <f t="shared" si="1"/>
        <v>2662.5170000000003</v>
      </c>
      <c r="G115" s="19">
        <f t="shared" si="3"/>
        <v>27.950000000000045</v>
      </c>
      <c r="H115" s="20">
        <f t="shared" si="2"/>
        <v>-20.45939999999996</v>
      </c>
    </row>
    <row r="116" spans="1:8" ht="13" x14ac:dyDescent="0.15">
      <c r="A116" s="12">
        <v>45667</v>
      </c>
      <c r="B116" s="13" t="s">
        <v>6</v>
      </c>
      <c r="C116" s="14">
        <v>0.88460000000000005</v>
      </c>
      <c r="D116" s="16">
        <v>559</v>
      </c>
      <c r="E116" s="17">
        <f t="shared" si="6"/>
        <v>64.508599999999944</v>
      </c>
      <c r="F116" s="18">
        <f t="shared" si="1"/>
        <v>3547.9729999999968</v>
      </c>
      <c r="G116" s="19">
        <f t="shared" si="3"/>
        <v>27.950000000000045</v>
      </c>
      <c r="H116" s="20">
        <f t="shared" si="2"/>
        <v>-36.558599999999899</v>
      </c>
    </row>
    <row r="117" spans="1:8" ht="13" x14ac:dyDescent="0.15">
      <c r="A117" s="12">
        <v>45670</v>
      </c>
      <c r="B117" s="13" t="s">
        <v>2</v>
      </c>
      <c r="C117" s="14">
        <v>0.92320000000000002</v>
      </c>
      <c r="D117" s="16">
        <v>559</v>
      </c>
      <c r="E117" s="17">
        <f t="shared" si="6"/>
        <v>42.93119999999999</v>
      </c>
      <c r="F117" s="18">
        <f t="shared" si="1"/>
        <v>2361.2159999999994</v>
      </c>
      <c r="G117" s="19">
        <f t="shared" si="3"/>
        <v>27.950000000000045</v>
      </c>
      <c r="H117" s="20">
        <f t="shared" si="2"/>
        <v>-14.981199999999944</v>
      </c>
    </row>
    <row r="118" spans="1:8" ht="13" x14ac:dyDescent="0.15">
      <c r="A118" s="12">
        <v>45671</v>
      </c>
      <c r="B118" s="13" t="s">
        <v>3</v>
      </c>
      <c r="C118" s="14">
        <v>0.93220000000000003</v>
      </c>
      <c r="D118" s="16">
        <v>561</v>
      </c>
      <c r="E118" s="17">
        <f t="shared" si="6"/>
        <v>38.035799999999995</v>
      </c>
      <c r="F118" s="18">
        <f t="shared" si="1"/>
        <v>2091.9689999999996</v>
      </c>
      <c r="G118" s="19">
        <f t="shared" si="3"/>
        <v>28.050000000000068</v>
      </c>
      <c r="H118" s="20">
        <f t="shared" si="2"/>
        <v>-9.9857999999999265</v>
      </c>
    </row>
    <row r="119" spans="1:8" ht="13" x14ac:dyDescent="0.15">
      <c r="A119" s="12">
        <v>45672</v>
      </c>
      <c r="B119" s="13" t="s">
        <v>4</v>
      </c>
      <c r="C119" s="14">
        <v>0.93110000000000004</v>
      </c>
      <c r="D119" s="16">
        <v>561</v>
      </c>
      <c r="E119" s="17">
        <f t="shared" si="6"/>
        <v>38.652899999999931</v>
      </c>
      <c r="F119" s="18">
        <f t="shared" si="1"/>
        <v>2125.9094999999961</v>
      </c>
      <c r="G119" s="19">
        <f t="shared" si="3"/>
        <v>28.050000000000068</v>
      </c>
      <c r="H119" s="20">
        <f t="shared" si="2"/>
        <v>-10.602899999999863</v>
      </c>
    </row>
    <row r="120" spans="1:8" ht="13" x14ac:dyDescent="0.15">
      <c r="A120" s="12">
        <v>45673</v>
      </c>
      <c r="B120" s="13" t="s">
        <v>5</v>
      </c>
      <c r="C120" s="14">
        <v>0.93540000000000001</v>
      </c>
      <c r="D120" s="16">
        <v>560</v>
      </c>
      <c r="E120" s="17">
        <f t="shared" si="6"/>
        <v>36.176000000000045</v>
      </c>
      <c r="F120" s="18">
        <f t="shared" si="1"/>
        <v>1989.6800000000026</v>
      </c>
      <c r="G120" s="19">
        <f t="shared" si="3"/>
        <v>28</v>
      </c>
      <c r="H120" s="20">
        <f t="shared" si="2"/>
        <v>-8.1760000000000446</v>
      </c>
    </row>
    <row r="121" spans="1:8" ht="13" x14ac:dyDescent="0.15">
      <c r="A121" s="12">
        <v>45674</v>
      </c>
      <c r="B121" s="13" t="s">
        <v>6</v>
      </c>
      <c r="C121" s="14">
        <v>0.91569999999999996</v>
      </c>
      <c r="D121" s="16">
        <v>560</v>
      </c>
      <c r="E121" s="17">
        <f t="shared" si="6"/>
        <v>47.20799999999997</v>
      </c>
      <c r="F121" s="18">
        <f t="shared" si="1"/>
        <v>2596.4399999999982</v>
      </c>
      <c r="G121" s="19">
        <f t="shared" si="3"/>
        <v>28</v>
      </c>
      <c r="H121" s="20">
        <f t="shared" si="2"/>
        <v>-19.20799999999997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0.76339999999999997</v>
      </c>
      <c r="D125" s="16">
        <v>560</v>
      </c>
      <c r="E125" s="17">
        <f t="shared" si="6"/>
        <v>132.49600000000004</v>
      </c>
      <c r="F125" s="18">
        <f t="shared" si="1"/>
        <v>7287.2800000000025</v>
      </c>
      <c r="G125" s="19">
        <f t="shared" si="3"/>
        <v>28</v>
      </c>
      <c r="H125" s="20">
        <f t="shared" si="2"/>
        <v>-104.49600000000004</v>
      </c>
    </row>
    <row r="126" spans="1:8" ht="13" x14ac:dyDescent="0.15">
      <c r="A126" s="12">
        <v>45681</v>
      </c>
      <c r="B126" s="13" t="s">
        <v>6</v>
      </c>
      <c r="C126" s="14">
        <v>0.86970000000000003</v>
      </c>
      <c r="D126" s="16">
        <v>560</v>
      </c>
      <c r="E126" s="17">
        <f t="shared" si="6"/>
        <v>72.967999999999961</v>
      </c>
      <c r="F126" s="18">
        <f t="shared" si="1"/>
        <v>4013.239999999998</v>
      </c>
      <c r="G126" s="19">
        <f t="shared" si="3"/>
        <v>28</v>
      </c>
      <c r="H126" s="20">
        <f t="shared" si="2"/>
        <v>-44.967999999999961</v>
      </c>
    </row>
    <row r="127" spans="1:8" ht="13" x14ac:dyDescent="0.15">
      <c r="A127" s="12">
        <v>45684</v>
      </c>
      <c r="B127" s="13" t="s">
        <v>2</v>
      </c>
      <c r="C127" s="14">
        <v>0.9234</v>
      </c>
      <c r="D127" s="16">
        <v>560</v>
      </c>
      <c r="E127" s="17">
        <f t="shared" si="6"/>
        <v>42.895999999999958</v>
      </c>
      <c r="F127" s="18">
        <f t="shared" si="1"/>
        <v>2359.2799999999979</v>
      </c>
      <c r="G127" s="19">
        <f t="shared" si="3"/>
        <v>28</v>
      </c>
      <c r="H127" s="20">
        <f t="shared" si="2"/>
        <v>-14.895999999999958</v>
      </c>
    </row>
    <row r="128" spans="1:8" ht="13" x14ac:dyDescent="0.15">
      <c r="A128" s="12">
        <v>45685</v>
      </c>
      <c r="B128" s="13" t="s">
        <v>3</v>
      </c>
      <c r="C128" s="14">
        <v>0.91149999999999998</v>
      </c>
      <c r="D128" s="16">
        <v>561</v>
      </c>
      <c r="E128" s="17">
        <f t="shared" si="6"/>
        <v>49.648500000000013</v>
      </c>
      <c r="F128" s="18">
        <f t="shared" si="1"/>
        <v>2730.6675000000005</v>
      </c>
      <c r="G128" s="19">
        <f t="shared" si="3"/>
        <v>28.050000000000068</v>
      </c>
      <c r="H128" s="20">
        <f t="shared" si="2"/>
        <v>-21.598499999999945</v>
      </c>
    </row>
    <row r="129" spans="1:8" ht="13" x14ac:dyDescent="0.15">
      <c r="A129" s="12">
        <v>45686</v>
      </c>
      <c r="B129" s="13" t="s">
        <v>4</v>
      </c>
      <c r="C129" s="14">
        <v>0.92249999999999999</v>
      </c>
      <c r="D129" s="16">
        <v>561</v>
      </c>
      <c r="E129" s="17">
        <f t="shared" si="6"/>
        <v>43.477499999999964</v>
      </c>
      <c r="F129" s="18">
        <f t="shared" si="1"/>
        <v>2391.262499999998</v>
      </c>
      <c r="G129" s="19">
        <f t="shared" si="3"/>
        <v>28.050000000000068</v>
      </c>
      <c r="H129" s="20">
        <f t="shared" si="2"/>
        <v>-15.427499999999895</v>
      </c>
    </row>
    <row r="130" spans="1:8" ht="13" x14ac:dyDescent="0.15">
      <c r="A130" s="12">
        <v>45687</v>
      </c>
      <c r="B130" s="13" t="s">
        <v>5</v>
      </c>
      <c r="C130" s="14">
        <v>0.92010000000000003</v>
      </c>
      <c r="D130" s="16">
        <v>561</v>
      </c>
      <c r="E130" s="17">
        <f t="shared" si="6"/>
        <v>44.823899999999981</v>
      </c>
      <c r="F130" s="18">
        <f t="shared" si="1"/>
        <v>2465.314499999999</v>
      </c>
      <c r="G130" s="19">
        <f t="shared" si="3"/>
        <v>28.050000000000068</v>
      </c>
      <c r="H130" s="20">
        <f t="shared" si="2"/>
        <v>-16.773899999999912</v>
      </c>
    </row>
    <row r="131" spans="1:8" ht="13" x14ac:dyDescent="0.15">
      <c r="A131" s="12">
        <v>45688</v>
      </c>
      <c r="B131" s="13" t="s">
        <v>6</v>
      </c>
      <c r="C131" s="14">
        <v>0.91669999999999996</v>
      </c>
      <c r="D131" s="16">
        <v>561</v>
      </c>
      <c r="E131" s="17">
        <f t="shared" si="6"/>
        <v>46.731300000000033</v>
      </c>
      <c r="F131" s="18">
        <f t="shared" si="1"/>
        <v>2570.2215000000019</v>
      </c>
      <c r="G131" s="19">
        <f t="shared" si="3"/>
        <v>28.050000000000068</v>
      </c>
      <c r="H131" s="20">
        <f t="shared" si="2"/>
        <v>-18.681299999999965</v>
      </c>
    </row>
    <row r="132" spans="1:8" ht="13" x14ac:dyDescent="0.15">
      <c r="A132" s="12">
        <v>45691</v>
      </c>
      <c r="B132" s="13" t="s">
        <v>2</v>
      </c>
      <c r="C132" s="14">
        <v>0.83220000000000005</v>
      </c>
      <c r="D132" s="16">
        <v>560</v>
      </c>
      <c r="E132" s="17">
        <f t="shared" si="6"/>
        <v>93.967999999999961</v>
      </c>
      <c r="F132" s="18">
        <f t="shared" si="1"/>
        <v>5168.239999999998</v>
      </c>
      <c r="G132" s="19">
        <f t="shared" si="3"/>
        <v>28</v>
      </c>
      <c r="H132" s="20">
        <f t="shared" si="2"/>
        <v>-65.967999999999961</v>
      </c>
    </row>
    <row r="133" spans="1:8" ht="13" x14ac:dyDescent="0.15">
      <c r="A133" s="12">
        <v>45692</v>
      </c>
      <c r="B133" s="13" t="s">
        <v>3</v>
      </c>
      <c r="C133" s="14">
        <v>0.92210000000000003</v>
      </c>
      <c r="D133" s="16">
        <v>559</v>
      </c>
      <c r="E133" s="17">
        <f t="shared" si="6"/>
        <v>43.546100000000024</v>
      </c>
      <c r="F133" s="18">
        <f t="shared" si="1"/>
        <v>2395.0355000000013</v>
      </c>
      <c r="G133" s="19">
        <f t="shared" si="3"/>
        <v>27.950000000000045</v>
      </c>
      <c r="H133" s="20">
        <f t="shared" si="2"/>
        <v>-15.596099999999979</v>
      </c>
    </row>
    <row r="134" spans="1:8" ht="13" x14ac:dyDescent="0.15">
      <c r="A134" s="12">
        <v>45693</v>
      </c>
      <c r="B134" s="13" t="s">
        <v>4</v>
      </c>
      <c r="C134" s="14">
        <v>0.94410000000000005</v>
      </c>
      <c r="D134" s="16">
        <v>560</v>
      </c>
      <c r="E134" s="17">
        <f t="shared" si="6"/>
        <v>31.303999999999974</v>
      </c>
      <c r="F134" s="18">
        <f t="shared" si="1"/>
        <v>1721.7199999999984</v>
      </c>
      <c r="G134" s="19">
        <f t="shared" si="3"/>
        <v>28</v>
      </c>
      <c r="H134" s="20">
        <f t="shared" si="2"/>
        <v>-3.3039999999999736</v>
      </c>
    </row>
    <row r="135" spans="1:8" ht="13" x14ac:dyDescent="0.15">
      <c r="A135" s="12">
        <v>45694</v>
      </c>
      <c r="B135" s="13" t="s">
        <v>5</v>
      </c>
      <c r="C135" s="14">
        <v>0.92330000000000001</v>
      </c>
      <c r="D135" s="16">
        <v>560</v>
      </c>
      <c r="E135" s="17">
        <f t="shared" ref="E135:E181" si="7">D135-(C135*D135)</f>
        <v>42.951999999999998</v>
      </c>
      <c r="F135" s="18">
        <f t="shared" si="1"/>
        <v>2362.3599999999997</v>
      </c>
      <c r="G135" s="19">
        <f t="shared" si="3"/>
        <v>28</v>
      </c>
      <c r="H135" s="20">
        <f t="shared" si="2"/>
        <v>-14.951999999999998</v>
      </c>
    </row>
    <row r="136" spans="1:8" ht="13" x14ac:dyDescent="0.15">
      <c r="A136" s="12">
        <v>45695</v>
      </c>
      <c r="B136" s="13" t="s">
        <v>6</v>
      </c>
      <c r="C136" s="14">
        <v>0.88939999999999997</v>
      </c>
      <c r="D136" s="16">
        <v>560</v>
      </c>
      <c r="E136" s="17">
        <f t="shared" si="7"/>
        <v>61.936000000000035</v>
      </c>
      <c r="F136" s="18">
        <f t="shared" si="1"/>
        <v>3406.4800000000018</v>
      </c>
      <c r="G136" s="19">
        <f t="shared" si="3"/>
        <v>28</v>
      </c>
      <c r="H136" s="20">
        <f t="shared" si="2"/>
        <v>-33.936000000000035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3" x14ac:dyDescent="0.15">
      <c r="A139" s="12">
        <v>45700</v>
      </c>
      <c r="B139" s="13" t="s">
        <v>4</v>
      </c>
      <c r="C139" s="14">
        <v>0.89180000000000004</v>
      </c>
      <c r="D139" s="16">
        <v>562</v>
      </c>
      <c r="E139" s="17">
        <f t="shared" si="7"/>
        <v>60.808400000000006</v>
      </c>
      <c r="F139" s="18">
        <f t="shared" si="1"/>
        <v>3344.4620000000004</v>
      </c>
      <c r="G139" s="19">
        <f t="shared" si="3"/>
        <v>28.100000000000023</v>
      </c>
      <c r="H139" s="20">
        <f t="shared" si="2"/>
        <v>-32.708399999999983</v>
      </c>
    </row>
    <row r="140" spans="1:8" ht="13" x14ac:dyDescent="0.15">
      <c r="A140" s="12">
        <v>45701</v>
      </c>
      <c r="B140" s="13" t="s">
        <v>5</v>
      </c>
      <c r="C140" s="14">
        <v>0.91579999999999995</v>
      </c>
      <c r="D140" s="16">
        <v>562</v>
      </c>
      <c r="E140" s="17">
        <f t="shared" si="7"/>
        <v>47.320400000000063</v>
      </c>
      <c r="F140" s="18">
        <f t="shared" si="1"/>
        <v>2602.6220000000035</v>
      </c>
      <c r="G140" s="19">
        <f t="shared" si="3"/>
        <v>28.100000000000023</v>
      </c>
      <c r="H140" s="20">
        <f t="shared" si="2"/>
        <v>-19.220400000000041</v>
      </c>
    </row>
    <row r="141" spans="1:8" ht="13" x14ac:dyDescent="0.15">
      <c r="A141" s="12">
        <v>45702</v>
      </c>
      <c r="B141" s="13" t="s">
        <v>6</v>
      </c>
      <c r="C141" s="14">
        <v>0.95750000000000002</v>
      </c>
      <c r="D141" s="16">
        <v>565</v>
      </c>
      <c r="E141" s="17">
        <f t="shared" si="7"/>
        <v>24.012500000000045</v>
      </c>
      <c r="F141" s="18">
        <f t="shared" si="1"/>
        <v>1320.6875000000025</v>
      </c>
      <c r="G141" s="19">
        <f t="shared" si="3"/>
        <v>28.25</v>
      </c>
      <c r="H141" s="20">
        <f t="shared" si="2"/>
        <v>4.2374999999999545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0.91379999999999995</v>
      </c>
      <c r="D143" s="16">
        <v>563</v>
      </c>
      <c r="E143" s="17">
        <f t="shared" si="7"/>
        <v>48.530600000000049</v>
      </c>
      <c r="F143" s="18">
        <f t="shared" si="1"/>
        <v>2669.1830000000027</v>
      </c>
      <c r="G143" s="19">
        <f t="shared" si="3"/>
        <v>28.149999999999977</v>
      </c>
      <c r="H143" s="20">
        <f t="shared" si="2"/>
        <v>-20.380600000000072</v>
      </c>
    </row>
    <row r="144" spans="1:8" ht="13" x14ac:dyDescent="0.15">
      <c r="A144" s="12">
        <v>45707</v>
      </c>
      <c r="B144" s="13" t="s">
        <v>4</v>
      </c>
      <c r="C144" s="14">
        <v>0.90069999999999995</v>
      </c>
      <c r="D144" s="16">
        <v>563</v>
      </c>
      <c r="E144" s="17">
        <f t="shared" si="7"/>
        <v>55.905900000000031</v>
      </c>
      <c r="F144" s="18">
        <f t="shared" si="1"/>
        <v>3074.8245000000015</v>
      </c>
      <c r="G144" s="19">
        <f t="shared" si="3"/>
        <v>28.149999999999977</v>
      </c>
      <c r="H144" s="20">
        <f t="shared" si="2"/>
        <v>-27.755900000000054</v>
      </c>
    </row>
    <row r="145" spans="1:8" ht="13" x14ac:dyDescent="0.15">
      <c r="A145" s="12">
        <v>45708</v>
      </c>
      <c r="B145" s="13" t="s">
        <v>5</v>
      </c>
      <c r="C145" s="14">
        <v>0.81220000000000003</v>
      </c>
      <c r="D145" s="16">
        <v>563</v>
      </c>
      <c r="E145" s="17">
        <f t="shared" si="7"/>
        <v>105.73140000000001</v>
      </c>
      <c r="F145" s="18">
        <f t="shared" si="1"/>
        <v>5815.2270000000008</v>
      </c>
      <c r="G145" s="19">
        <f t="shared" si="3"/>
        <v>28.149999999999977</v>
      </c>
      <c r="H145" s="20">
        <f t="shared" si="2"/>
        <v>-77.581400000000031</v>
      </c>
    </row>
    <row r="146" spans="1:8" ht="13" x14ac:dyDescent="0.15">
      <c r="A146" s="12">
        <v>45709</v>
      </c>
      <c r="B146" s="13" t="s">
        <v>6</v>
      </c>
      <c r="C146" s="14">
        <v>0.85589999999999999</v>
      </c>
      <c r="D146" s="16">
        <v>563</v>
      </c>
      <c r="E146" s="17">
        <f t="shared" si="7"/>
        <v>81.128300000000024</v>
      </c>
      <c r="F146" s="18">
        <f t="shared" si="1"/>
        <v>4462.0565000000015</v>
      </c>
      <c r="G146" s="19">
        <f t="shared" si="3"/>
        <v>28.149999999999977</v>
      </c>
      <c r="H146" s="20">
        <f t="shared" si="2"/>
        <v>-52.978300000000047</v>
      </c>
    </row>
    <row r="147" spans="1:8" ht="13" x14ac:dyDescent="0.15">
      <c r="A147" s="12">
        <v>45712</v>
      </c>
      <c r="B147" s="13" t="s">
        <v>2</v>
      </c>
      <c r="C147" s="14">
        <v>0.86850000000000005</v>
      </c>
      <c r="D147" s="16">
        <v>565</v>
      </c>
      <c r="E147" s="17">
        <f t="shared" si="7"/>
        <v>74.297499999999957</v>
      </c>
      <c r="F147" s="18">
        <f t="shared" si="1"/>
        <v>4086.3624999999975</v>
      </c>
      <c r="G147" s="19">
        <f t="shared" si="3"/>
        <v>28.25</v>
      </c>
      <c r="H147" s="20">
        <f t="shared" si="2"/>
        <v>-46.047499999999957</v>
      </c>
    </row>
    <row r="148" spans="1:8" ht="13" x14ac:dyDescent="0.15">
      <c r="A148" s="12">
        <v>45713</v>
      </c>
      <c r="B148" s="13" t="s">
        <v>3</v>
      </c>
      <c r="C148" s="14">
        <v>0.877</v>
      </c>
      <c r="D148" s="16">
        <v>565</v>
      </c>
      <c r="E148" s="17">
        <f t="shared" si="7"/>
        <v>69.495000000000005</v>
      </c>
      <c r="F148" s="18">
        <f t="shared" si="1"/>
        <v>3822.2250000000004</v>
      </c>
      <c r="G148" s="19">
        <f t="shared" si="3"/>
        <v>28.25</v>
      </c>
      <c r="H148" s="20">
        <f t="shared" si="2"/>
        <v>-41.245000000000005</v>
      </c>
    </row>
    <row r="149" spans="1:8" ht="13" x14ac:dyDescent="0.15">
      <c r="A149" s="12">
        <v>45714</v>
      </c>
      <c r="B149" s="13" t="s">
        <v>4</v>
      </c>
      <c r="C149" s="14">
        <v>0.8931</v>
      </c>
      <c r="D149" s="16">
        <v>565</v>
      </c>
      <c r="E149" s="17">
        <f t="shared" si="7"/>
        <v>60.398500000000013</v>
      </c>
      <c r="F149" s="18">
        <f t="shared" si="1"/>
        <v>3321.9175000000005</v>
      </c>
      <c r="G149" s="19">
        <f t="shared" si="3"/>
        <v>28.25</v>
      </c>
      <c r="H149" s="20">
        <f t="shared" si="2"/>
        <v>-32.148500000000013</v>
      </c>
    </row>
    <row r="150" spans="1:8" ht="13" x14ac:dyDescent="0.15">
      <c r="A150" s="12">
        <v>45715</v>
      </c>
      <c r="B150" s="13" t="s">
        <v>5</v>
      </c>
      <c r="C150" s="14">
        <v>0.89949999999999997</v>
      </c>
      <c r="D150" s="16">
        <v>563</v>
      </c>
      <c r="E150" s="17">
        <f t="shared" si="7"/>
        <v>56.581500000000005</v>
      </c>
      <c r="F150" s="18">
        <f t="shared" si="1"/>
        <v>3111.9825000000001</v>
      </c>
      <c r="G150" s="19">
        <f t="shared" si="3"/>
        <v>28.149999999999977</v>
      </c>
      <c r="H150" s="20">
        <f t="shared" si="2"/>
        <v>-28.431500000000028</v>
      </c>
    </row>
    <row r="151" spans="1:8" ht="13" x14ac:dyDescent="0.15">
      <c r="A151" s="12">
        <v>45716</v>
      </c>
      <c r="B151" s="13" t="s">
        <v>6</v>
      </c>
      <c r="C151" s="14">
        <v>0.87319999999999998</v>
      </c>
      <c r="D151" s="16">
        <v>563</v>
      </c>
      <c r="E151" s="17">
        <f t="shared" si="7"/>
        <v>71.38839999999999</v>
      </c>
      <c r="F151" s="18">
        <f t="shared" si="1"/>
        <v>3926.3619999999996</v>
      </c>
      <c r="G151" s="19">
        <f t="shared" si="3"/>
        <v>28.149999999999977</v>
      </c>
      <c r="H151" s="20">
        <f t="shared" si="2"/>
        <v>-43.238400000000013</v>
      </c>
    </row>
    <row r="152" spans="1:8" ht="13" x14ac:dyDescent="0.15">
      <c r="A152" s="12">
        <v>45719</v>
      </c>
      <c r="B152" s="13" t="s">
        <v>2</v>
      </c>
      <c r="C152" s="14">
        <v>0.9294</v>
      </c>
      <c r="D152" s="16">
        <v>566</v>
      </c>
      <c r="E152" s="17">
        <f t="shared" si="7"/>
        <v>39.959600000000023</v>
      </c>
      <c r="F152" s="18">
        <f t="shared" si="1"/>
        <v>2197.7780000000012</v>
      </c>
      <c r="G152" s="19">
        <f t="shared" si="3"/>
        <v>28.300000000000068</v>
      </c>
      <c r="H152" s="20">
        <f t="shared" si="2"/>
        <v>-11.659599999999955</v>
      </c>
    </row>
    <row r="153" spans="1:8" ht="13" x14ac:dyDescent="0.15">
      <c r="A153" s="12">
        <v>45720</v>
      </c>
      <c r="B153" s="13" t="s">
        <v>3</v>
      </c>
      <c r="C153" s="14">
        <v>0.90880000000000005</v>
      </c>
      <c r="D153" s="16">
        <v>566</v>
      </c>
      <c r="E153" s="17">
        <f t="shared" si="7"/>
        <v>51.619199999999978</v>
      </c>
      <c r="F153" s="18">
        <f t="shared" si="1"/>
        <v>2839.0559999999987</v>
      </c>
      <c r="G153" s="19">
        <f t="shared" si="3"/>
        <v>28.300000000000068</v>
      </c>
      <c r="H153" s="20">
        <f t="shared" si="2"/>
        <v>-23.31919999999991</v>
      </c>
    </row>
    <row r="154" spans="1:8" ht="13" x14ac:dyDescent="0.15">
      <c r="A154" s="12">
        <v>45721</v>
      </c>
      <c r="B154" s="13" t="s">
        <v>4</v>
      </c>
      <c r="C154" s="14">
        <v>0.92630000000000001</v>
      </c>
      <c r="D154" s="16">
        <v>567</v>
      </c>
      <c r="E154" s="17">
        <f t="shared" si="7"/>
        <v>41.787900000000036</v>
      </c>
      <c r="F154" s="18">
        <f t="shared" si="1"/>
        <v>2298.3345000000018</v>
      </c>
      <c r="G154" s="19">
        <f t="shared" si="3"/>
        <v>28.350000000000023</v>
      </c>
      <c r="H154" s="20">
        <f t="shared" si="2"/>
        <v>-13.437900000000013</v>
      </c>
    </row>
    <row r="155" spans="1:8" ht="13" x14ac:dyDescent="0.15">
      <c r="A155" s="12">
        <v>45722</v>
      </c>
      <c r="B155" s="13" t="s">
        <v>5</v>
      </c>
      <c r="C155" s="14">
        <v>0.9284</v>
      </c>
      <c r="D155" s="16">
        <v>567</v>
      </c>
      <c r="E155" s="17">
        <f t="shared" si="7"/>
        <v>40.597200000000043</v>
      </c>
      <c r="F155" s="18">
        <f t="shared" si="1"/>
        <v>2232.8460000000023</v>
      </c>
      <c r="G155" s="19">
        <f t="shared" si="3"/>
        <v>28.350000000000023</v>
      </c>
      <c r="H155" s="20">
        <f t="shared" si="2"/>
        <v>-12.247200000000021</v>
      </c>
    </row>
    <row r="156" spans="1:8" ht="13" x14ac:dyDescent="0.15">
      <c r="A156" s="12">
        <v>45723</v>
      </c>
      <c r="B156" s="13" t="s">
        <v>6</v>
      </c>
      <c r="C156" s="14">
        <v>0.90239999999999998</v>
      </c>
      <c r="D156" s="16">
        <v>567</v>
      </c>
      <c r="E156" s="17">
        <f t="shared" si="7"/>
        <v>55.339200000000005</v>
      </c>
      <c r="F156" s="18">
        <f t="shared" si="1"/>
        <v>3043.6560000000004</v>
      </c>
      <c r="G156" s="19">
        <f t="shared" si="3"/>
        <v>28.350000000000023</v>
      </c>
      <c r="H156" s="20">
        <f t="shared" si="2"/>
        <v>-26.989199999999983</v>
      </c>
    </row>
    <row r="157" spans="1:8" ht="13" x14ac:dyDescent="0.15">
      <c r="A157" s="34">
        <v>45726</v>
      </c>
      <c r="B157" s="35" t="s">
        <v>2</v>
      </c>
      <c r="C157" s="14">
        <v>0.86519999999999997</v>
      </c>
      <c r="D157" s="16">
        <v>566</v>
      </c>
      <c r="E157" s="17">
        <f t="shared" si="7"/>
        <v>76.296800000000019</v>
      </c>
      <c r="F157" s="18">
        <f t="shared" si="1"/>
        <v>4196.3240000000014</v>
      </c>
      <c r="G157" s="19">
        <f t="shared" si="3"/>
        <v>28.300000000000068</v>
      </c>
      <c r="H157" s="20">
        <f t="shared" si="2"/>
        <v>-47.996799999999951</v>
      </c>
    </row>
    <row r="158" spans="1:8" ht="13" x14ac:dyDescent="0.15">
      <c r="A158" s="34">
        <v>45727</v>
      </c>
      <c r="B158" s="35" t="s">
        <v>3</v>
      </c>
      <c r="C158" s="14">
        <v>0.90780000000000005</v>
      </c>
      <c r="D158" s="16">
        <v>567</v>
      </c>
      <c r="E158" s="17">
        <f t="shared" si="7"/>
        <v>52.277399999999943</v>
      </c>
      <c r="F158" s="18">
        <f t="shared" si="1"/>
        <v>2875.2569999999969</v>
      </c>
      <c r="G158" s="19">
        <f t="shared" si="3"/>
        <v>28.350000000000023</v>
      </c>
      <c r="H158" s="20">
        <f t="shared" si="2"/>
        <v>-23.927399999999921</v>
      </c>
    </row>
    <row r="159" spans="1:8" ht="15.75" customHeight="1" x14ac:dyDescent="0.15">
      <c r="A159" s="34">
        <v>45728</v>
      </c>
      <c r="B159" s="35" t="s">
        <v>4</v>
      </c>
      <c r="C159" s="79">
        <v>0.90780000000000005</v>
      </c>
      <c r="D159" s="81">
        <v>567</v>
      </c>
      <c r="E159" s="17">
        <f t="shared" si="7"/>
        <v>52.277399999999943</v>
      </c>
      <c r="F159" s="18">
        <f t="shared" si="1"/>
        <v>2875.2569999999969</v>
      </c>
      <c r="G159" s="19">
        <f t="shared" si="3"/>
        <v>28.350000000000023</v>
      </c>
      <c r="H159" s="20">
        <f t="shared" si="2"/>
        <v>-23.927399999999921</v>
      </c>
    </row>
    <row r="160" spans="1:8" ht="15.75" customHeight="1" x14ac:dyDescent="0.15">
      <c r="A160" s="34">
        <v>45729</v>
      </c>
      <c r="B160" s="35" t="s">
        <v>5</v>
      </c>
      <c r="C160" s="79">
        <v>0.89910000000000001</v>
      </c>
      <c r="D160" s="81">
        <v>567</v>
      </c>
      <c r="E160" s="17">
        <f t="shared" si="7"/>
        <v>57.210300000000018</v>
      </c>
      <c r="F160" s="18">
        <f t="shared" ref="F160:F181" si="8">E160*$E$5</f>
        <v>3146.5665000000008</v>
      </c>
      <c r="G160" s="19">
        <f t="shared" ref="G160:G181" si="9">D160-(D160*G$3)</f>
        <v>28.350000000000023</v>
      </c>
      <c r="H160" s="20">
        <f t="shared" ref="H160:H181" si="10">G160-E160</f>
        <v>-28.860299999999995</v>
      </c>
    </row>
    <row r="161" spans="1:8" ht="15.75" customHeight="1" x14ac:dyDescent="0.15">
      <c r="A161" s="34">
        <v>45730</v>
      </c>
      <c r="B161" s="35" t="s">
        <v>6</v>
      </c>
      <c r="C161" s="79">
        <v>0.87329999999999997</v>
      </c>
      <c r="D161" s="81">
        <v>568</v>
      </c>
      <c r="E161" s="17">
        <f t="shared" si="7"/>
        <v>71.965599999999995</v>
      </c>
      <c r="F161" s="18">
        <f t="shared" si="8"/>
        <v>3958.1079999999997</v>
      </c>
      <c r="G161" s="19">
        <f t="shared" si="9"/>
        <v>28.399999999999977</v>
      </c>
      <c r="H161" s="20">
        <f t="shared" si="10"/>
        <v>-43.565600000000018</v>
      </c>
    </row>
    <row r="162" spans="1:8" ht="15.75" customHeight="1" x14ac:dyDescent="0.15">
      <c r="A162" s="21">
        <v>45733</v>
      </c>
      <c r="B162" s="22" t="s">
        <v>2</v>
      </c>
      <c r="C162" s="80"/>
      <c r="D162" s="82"/>
      <c r="E162" s="17">
        <f t="shared" si="7"/>
        <v>0</v>
      </c>
      <c r="F162" s="18">
        <f t="shared" si="8"/>
        <v>0</v>
      </c>
      <c r="G162" s="19">
        <f t="shared" si="9"/>
        <v>0</v>
      </c>
      <c r="H162" s="20">
        <f t="shared" si="10"/>
        <v>0</v>
      </c>
    </row>
    <row r="163" spans="1:8" ht="15.75" customHeight="1" x14ac:dyDescent="0.15">
      <c r="A163" s="21">
        <v>45734</v>
      </c>
      <c r="B163" s="22" t="s">
        <v>3</v>
      </c>
      <c r="C163" s="80"/>
      <c r="D163" s="82"/>
      <c r="E163" s="17">
        <f t="shared" si="7"/>
        <v>0</v>
      </c>
      <c r="F163" s="18">
        <f t="shared" si="8"/>
        <v>0</v>
      </c>
      <c r="G163" s="19">
        <f t="shared" si="9"/>
        <v>0</v>
      </c>
      <c r="H163" s="20">
        <f t="shared" si="10"/>
        <v>0</v>
      </c>
    </row>
    <row r="164" spans="1:8" ht="15.75" customHeight="1" x14ac:dyDescent="0.15">
      <c r="A164" s="21">
        <v>45735</v>
      </c>
      <c r="B164" s="22" t="s">
        <v>4</v>
      </c>
      <c r="C164" s="80"/>
      <c r="D164" s="82"/>
      <c r="E164" s="17">
        <f t="shared" si="7"/>
        <v>0</v>
      </c>
      <c r="F164" s="18">
        <f t="shared" si="8"/>
        <v>0</v>
      </c>
      <c r="G164" s="19">
        <f t="shared" si="9"/>
        <v>0</v>
      </c>
      <c r="H164" s="20">
        <f t="shared" si="10"/>
        <v>0</v>
      </c>
    </row>
    <row r="165" spans="1:8" ht="15.75" customHeight="1" x14ac:dyDescent="0.15">
      <c r="A165" s="21">
        <v>45736</v>
      </c>
      <c r="B165" s="22" t="s">
        <v>5</v>
      </c>
      <c r="C165" s="80"/>
      <c r="D165" s="82"/>
      <c r="E165" s="17">
        <f t="shared" si="7"/>
        <v>0</v>
      </c>
      <c r="F165" s="18">
        <f t="shared" si="8"/>
        <v>0</v>
      </c>
      <c r="G165" s="19">
        <f t="shared" si="9"/>
        <v>0</v>
      </c>
      <c r="H165" s="20">
        <f t="shared" si="10"/>
        <v>0</v>
      </c>
    </row>
    <row r="166" spans="1:8" ht="15.75" customHeight="1" x14ac:dyDescent="0.15">
      <c r="A166" s="21">
        <v>45737</v>
      </c>
      <c r="B166" s="22" t="s">
        <v>6</v>
      </c>
      <c r="C166" s="80"/>
      <c r="D166" s="82"/>
      <c r="E166" s="17">
        <f t="shared" si="7"/>
        <v>0</v>
      </c>
      <c r="F166" s="18">
        <f t="shared" si="8"/>
        <v>0</v>
      </c>
      <c r="G166" s="19">
        <f t="shared" si="9"/>
        <v>0</v>
      </c>
      <c r="H166" s="20">
        <f t="shared" si="10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0.90669999999999995</v>
      </c>
      <c r="D167" s="81">
        <v>567</v>
      </c>
      <c r="E167" s="17">
        <f t="shared" si="7"/>
        <v>52.901100000000042</v>
      </c>
      <c r="F167" s="18">
        <f t="shared" si="8"/>
        <v>2909.5605000000023</v>
      </c>
      <c r="G167" s="19">
        <f t="shared" si="9"/>
        <v>28.350000000000023</v>
      </c>
      <c r="H167" s="20">
        <f t="shared" si="10"/>
        <v>-24.551100000000019</v>
      </c>
    </row>
    <row r="168" spans="1:8" ht="15.75" customHeight="1" x14ac:dyDescent="0.15">
      <c r="A168" s="12">
        <v>45741</v>
      </c>
      <c r="B168" s="13" t="s">
        <v>3</v>
      </c>
      <c r="C168" s="79">
        <v>0.94359999999999999</v>
      </c>
      <c r="D168" s="81">
        <v>567</v>
      </c>
      <c r="E168" s="17">
        <f t="shared" si="7"/>
        <v>31.978799999999978</v>
      </c>
      <c r="F168" s="18">
        <f t="shared" si="8"/>
        <v>1758.8339999999989</v>
      </c>
      <c r="G168" s="19">
        <f t="shared" si="9"/>
        <v>28.350000000000023</v>
      </c>
      <c r="H168" s="20">
        <f t="shared" si="10"/>
        <v>-3.6287999999999556</v>
      </c>
    </row>
    <row r="169" spans="1:8" ht="15.75" customHeight="1" x14ac:dyDescent="0.15">
      <c r="A169" s="12">
        <v>45742</v>
      </c>
      <c r="B169" s="13" t="s">
        <v>4</v>
      </c>
      <c r="C169" s="79">
        <v>0.93379999999999996</v>
      </c>
      <c r="D169" s="81">
        <v>567</v>
      </c>
      <c r="E169" s="17">
        <f t="shared" si="7"/>
        <v>37.535399999999981</v>
      </c>
      <c r="F169" s="18">
        <f t="shared" si="8"/>
        <v>2064.4469999999992</v>
      </c>
      <c r="G169" s="19">
        <f t="shared" si="9"/>
        <v>28.350000000000023</v>
      </c>
      <c r="H169" s="20">
        <f t="shared" si="10"/>
        <v>-9.1853999999999587</v>
      </c>
    </row>
    <row r="170" spans="1:8" ht="15.75" customHeight="1" x14ac:dyDescent="0.15">
      <c r="A170" s="12">
        <v>45743</v>
      </c>
      <c r="B170" s="13" t="s">
        <v>5</v>
      </c>
      <c r="C170" s="79">
        <v>0.91759999999999997</v>
      </c>
      <c r="D170" s="81">
        <v>567</v>
      </c>
      <c r="E170" s="17">
        <f t="shared" si="7"/>
        <v>46.720800000000054</v>
      </c>
      <c r="F170" s="18">
        <f t="shared" si="8"/>
        <v>2569.644000000003</v>
      </c>
      <c r="G170" s="19">
        <f t="shared" si="9"/>
        <v>28.350000000000023</v>
      </c>
      <c r="H170" s="20">
        <f t="shared" si="10"/>
        <v>-18.370800000000031</v>
      </c>
    </row>
    <row r="171" spans="1:8" ht="15.75" customHeight="1" x14ac:dyDescent="0.15">
      <c r="A171" s="12">
        <v>45744</v>
      </c>
      <c r="B171" s="13" t="s">
        <v>6</v>
      </c>
      <c r="C171" s="79">
        <v>0.90129999999999999</v>
      </c>
      <c r="D171" s="81">
        <v>567</v>
      </c>
      <c r="E171" s="17">
        <f t="shared" si="7"/>
        <v>55.962899999999991</v>
      </c>
      <c r="F171" s="18">
        <f t="shared" si="8"/>
        <v>3077.9594999999995</v>
      </c>
      <c r="G171" s="19">
        <f t="shared" si="9"/>
        <v>28.350000000000023</v>
      </c>
      <c r="H171" s="20">
        <f t="shared" si="10"/>
        <v>-27.612899999999968</v>
      </c>
    </row>
    <row r="172" spans="1:8" ht="15.75" customHeight="1" x14ac:dyDescent="0.15">
      <c r="A172" s="12">
        <v>45747</v>
      </c>
      <c r="B172" s="13" t="s">
        <v>2</v>
      </c>
      <c r="C172" s="79">
        <v>0.9153</v>
      </c>
      <c r="D172" s="81">
        <v>566</v>
      </c>
      <c r="E172" s="17">
        <f t="shared" si="7"/>
        <v>47.940200000000004</v>
      </c>
      <c r="F172" s="18">
        <f t="shared" si="8"/>
        <v>2636.7110000000002</v>
      </c>
      <c r="G172" s="19">
        <f t="shared" si="9"/>
        <v>28.300000000000068</v>
      </c>
      <c r="H172" s="20">
        <f t="shared" si="10"/>
        <v>-19.640199999999936</v>
      </c>
    </row>
    <row r="173" spans="1:8" ht="15.75" customHeight="1" x14ac:dyDescent="0.15">
      <c r="A173" s="12">
        <v>45748</v>
      </c>
      <c r="B173" s="13" t="s">
        <v>3</v>
      </c>
      <c r="C173" s="79">
        <v>0.93389999999999995</v>
      </c>
      <c r="D173" s="81">
        <v>567</v>
      </c>
      <c r="E173" s="17">
        <f t="shared" si="7"/>
        <v>37.478700000000003</v>
      </c>
      <c r="F173" s="18">
        <f t="shared" si="8"/>
        <v>2061.3285000000001</v>
      </c>
      <c r="G173" s="19">
        <f t="shared" si="9"/>
        <v>28.350000000000023</v>
      </c>
      <c r="H173" s="20">
        <f t="shared" si="10"/>
        <v>-9.1286999999999807</v>
      </c>
    </row>
    <row r="174" spans="1:8" ht="15.75" customHeight="1" x14ac:dyDescent="0.15">
      <c r="A174" s="12">
        <v>45749</v>
      </c>
      <c r="B174" s="13" t="s">
        <v>4</v>
      </c>
      <c r="C174" s="79">
        <v>0.93610000000000004</v>
      </c>
      <c r="D174" s="81">
        <v>568</v>
      </c>
      <c r="E174" s="17">
        <f t="shared" si="7"/>
        <v>36.295200000000023</v>
      </c>
      <c r="F174" s="18">
        <f t="shared" si="8"/>
        <v>1996.2360000000012</v>
      </c>
      <c r="G174" s="19">
        <f t="shared" si="9"/>
        <v>28.399999999999977</v>
      </c>
      <c r="H174" s="20">
        <f t="shared" si="10"/>
        <v>-7.8952000000000453</v>
      </c>
    </row>
    <row r="175" spans="1:8" ht="15.75" customHeight="1" x14ac:dyDescent="0.15">
      <c r="A175" s="12">
        <v>45750</v>
      </c>
      <c r="B175" s="13" t="s">
        <v>5</v>
      </c>
      <c r="C175" s="79">
        <v>0.9395</v>
      </c>
      <c r="D175" s="81">
        <v>569</v>
      </c>
      <c r="E175" s="17">
        <f t="shared" si="7"/>
        <v>34.424499999999966</v>
      </c>
      <c r="F175" s="18">
        <f t="shared" si="8"/>
        <v>1893.347499999998</v>
      </c>
      <c r="G175" s="19">
        <f t="shared" si="9"/>
        <v>28.450000000000045</v>
      </c>
      <c r="H175" s="20">
        <f t="shared" si="10"/>
        <v>-5.9744999999999209</v>
      </c>
    </row>
    <row r="176" spans="1:8" ht="15.75" customHeight="1" x14ac:dyDescent="0.15">
      <c r="A176" s="12">
        <v>45751</v>
      </c>
      <c r="B176" s="13" t="s">
        <v>6</v>
      </c>
      <c r="C176" s="79">
        <v>0.87470000000000003</v>
      </c>
      <c r="D176" s="81">
        <v>569</v>
      </c>
      <c r="E176" s="17">
        <f t="shared" si="7"/>
        <v>71.295699999999954</v>
      </c>
      <c r="F176" s="18">
        <f t="shared" si="8"/>
        <v>3921.2634999999973</v>
      </c>
      <c r="G176" s="19">
        <f t="shared" si="9"/>
        <v>28.450000000000045</v>
      </c>
      <c r="H176" s="20">
        <f t="shared" si="10"/>
        <v>-42.845699999999908</v>
      </c>
    </row>
    <row r="177" spans="1:8" ht="15.75" customHeight="1" x14ac:dyDescent="0.15">
      <c r="A177" s="12">
        <v>45754</v>
      </c>
      <c r="B177" s="13" t="s">
        <v>2</v>
      </c>
      <c r="C177" s="79">
        <v>0.89290000000000003</v>
      </c>
      <c r="D177" s="81">
        <v>568</v>
      </c>
      <c r="E177" s="17">
        <f t="shared" si="7"/>
        <v>60.832799999999963</v>
      </c>
      <c r="F177" s="18">
        <f t="shared" si="8"/>
        <v>3345.8039999999978</v>
      </c>
      <c r="G177" s="19">
        <f t="shared" si="9"/>
        <v>28.399999999999977</v>
      </c>
      <c r="H177" s="20">
        <f t="shared" si="10"/>
        <v>-32.432799999999986</v>
      </c>
    </row>
    <row r="178" spans="1:8" ht="15.75" customHeight="1" x14ac:dyDescent="0.15">
      <c r="A178" s="12">
        <v>45755</v>
      </c>
      <c r="B178" s="13" t="s">
        <v>3</v>
      </c>
      <c r="C178" s="79">
        <v>0.90349999999999997</v>
      </c>
      <c r="D178" s="81">
        <v>566</v>
      </c>
      <c r="E178" s="17">
        <f t="shared" si="7"/>
        <v>54.619000000000028</v>
      </c>
      <c r="F178" s="18">
        <f t="shared" si="8"/>
        <v>3004.0450000000014</v>
      </c>
      <c r="G178" s="19">
        <f t="shared" si="9"/>
        <v>28.300000000000068</v>
      </c>
      <c r="H178" s="20">
        <f t="shared" si="10"/>
        <v>-26.31899999999996</v>
      </c>
    </row>
    <row r="179" spans="1:8" ht="15.75" customHeight="1" x14ac:dyDescent="0.15">
      <c r="A179" s="12">
        <v>45756</v>
      </c>
      <c r="B179" s="13" t="s">
        <v>4</v>
      </c>
      <c r="C179" s="79">
        <v>0.91790000000000005</v>
      </c>
      <c r="D179" s="81">
        <v>568</v>
      </c>
      <c r="E179" s="17">
        <f t="shared" si="7"/>
        <v>46.632799999999975</v>
      </c>
      <c r="F179" s="18">
        <f t="shared" si="8"/>
        <v>2564.8039999999987</v>
      </c>
      <c r="G179" s="19">
        <f t="shared" si="9"/>
        <v>28.399999999999977</v>
      </c>
      <c r="H179" s="20">
        <f t="shared" si="10"/>
        <v>-18.232799999999997</v>
      </c>
    </row>
    <row r="180" spans="1:8" ht="15.75" customHeight="1" x14ac:dyDescent="0.15">
      <c r="A180" s="12">
        <v>45757</v>
      </c>
      <c r="B180" s="13" t="s">
        <v>5</v>
      </c>
      <c r="C180" s="79">
        <v>0.92869999999999997</v>
      </c>
      <c r="D180" s="81">
        <v>568</v>
      </c>
      <c r="E180" s="17">
        <f t="shared" si="7"/>
        <v>40.498400000000061</v>
      </c>
      <c r="F180" s="18">
        <f t="shared" si="8"/>
        <v>2227.4120000000034</v>
      </c>
      <c r="G180" s="19">
        <f t="shared" si="9"/>
        <v>28.399999999999977</v>
      </c>
      <c r="H180" s="20">
        <f t="shared" si="10"/>
        <v>-12.098400000000083</v>
      </c>
    </row>
    <row r="181" spans="1:8" ht="15.75" customHeight="1" x14ac:dyDescent="0.15">
      <c r="A181" s="12">
        <v>45758</v>
      </c>
      <c r="B181" s="13" t="s">
        <v>6</v>
      </c>
      <c r="C181" s="79">
        <v>0.89059999999999995</v>
      </c>
      <c r="D181" s="81">
        <v>566</v>
      </c>
      <c r="E181" s="17">
        <f t="shared" si="7"/>
        <v>61.920400000000029</v>
      </c>
      <c r="F181" s="18">
        <f t="shared" si="8"/>
        <v>3405.6220000000017</v>
      </c>
      <c r="G181" s="19">
        <f t="shared" si="9"/>
        <v>28.300000000000068</v>
      </c>
      <c r="H181" s="20">
        <f t="shared" si="10"/>
        <v>-33.620399999999961</v>
      </c>
    </row>
  </sheetData>
  <autoFilter ref="A6:F158" xr:uid="{00000000-0009-0000-0000-000001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8">
    <cfRule type="cellIs" dxfId="86" priority="7" operator="lessThan">
      <formula>"92%"</formula>
    </cfRule>
  </conditionalFormatting>
  <conditionalFormatting sqref="C7:C158">
    <cfRule type="cellIs" dxfId="85" priority="4" operator="lessThan">
      <formula>"90%"</formula>
    </cfRule>
    <cfRule type="cellIs" dxfId="84" priority="5" operator="lessThan">
      <formula>"94%"</formula>
    </cfRule>
  </conditionalFormatting>
  <conditionalFormatting sqref="H1:H181">
    <cfRule type="cellIs" dxfId="83" priority="6" operator="lessThan">
      <formula>0</formula>
    </cfRule>
  </conditionalFormatting>
  <conditionalFormatting sqref="C159:C181">
    <cfRule type="cellIs" dxfId="39" priority="3" operator="lessThan">
      <formula>"92%"</formula>
    </cfRule>
  </conditionalFormatting>
  <conditionalFormatting sqref="C159:C181">
    <cfRule type="cellIs" dxfId="38" priority="1" operator="lessThan">
      <formula>"90%"</formula>
    </cfRule>
    <cfRule type="cellIs" dxfId="37" priority="2" operator="lessThan">
      <formula>"94%"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  <pageSetUpPr fitToPage="1"/>
  </sheetPr>
  <dimension ref="A1:H181"/>
  <sheetViews>
    <sheetView workbookViewId="0">
      <pane ySplit="6" topLeftCell="A148" activePane="bottomLeft" state="frozen"/>
      <selection pane="bottomLeft" activeCell="J171" sqref="J171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5" width="11.6640625" customWidth="1"/>
    <col min="6" max="7" width="16.33203125" customWidth="1"/>
    <col min="8" max="8" width="17.5" customWidth="1"/>
  </cols>
  <sheetData>
    <row r="1" spans="1:8" ht="27" thickBot="1" x14ac:dyDescent="0.3">
      <c r="A1" s="1"/>
      <c r="B1" s="1"/>
      <c r="C1" s="1"/>
      <c r="D1" s="1"/>
      <c r="E1" s="2"/>
      <c r="F1" s="2"/>
      <c r="G1" s="3"/>
      <c r="H1" s="4">
        <f>SUM(H7:H157)</f>
        <v>-2052.6254999999974</v>
      </c>
    </row>
    <row r="2" spans="1:8" ht="17" thickTop="1" x14ac:dyDescent="0.2">
      <c r="A2" s="63" t="s">
        <v>18</v>
      </c>
      <c r="B2" s="64"/>
      <c r="C2" s="64"/>
      <c r="D2" s="64"/>
      <c r="E2" s="73" t="s">
        <v>0</v>
      </c>
      <c r="F2" s="74"/>
      <c r="G2" s="5" t="s">
        <v>8</v>
      </c>
      <c r="H2" s="67" t="s">
        <v>19</v>
      </c>
    </row>
    <row r="3" spans="1:8" ht="24" x14ac:dyDescent="0.25">
      <c r="A3" s="64"/>
      <c r="B3" s="64"/>
      <c r="C3" s="64"/>
      <c r="D3" s="64"/>
      <c r="E3" s="75">
        <f>SUM(F7:F128)</f>
        <v>219810.99799999991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6" t="s">
        <v>10</v>
      </c>
      <c r="F4" s="66"/>
      <c r="G4" s="70"/>
      <c r="H4" s="66"/>
    </row>
    <row r="5" spans="1:8" ht="16" thickBot="1" x14ac:dyDescent="0.3">
      <c r="A5" s="64"/>
      <c r="B5" s="64"/>
      <c r="C5" s="64"/>
      <c r="D5" s="64"/>
      <c r="E5" s="77">
        <v>55</v>
      </c>
      <c r="F5" s="78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36" t="s">
        <v>15</v>
      </c>
      <c r="F6" s="36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472</v>
      </c>
      <c r="E7" s="17">
        <f t="shared" ref="E7:E37" si="0">D7-(C7*D7)</f>
        <v>0</v>
      </c>
      <c r="F7" s="18">
        <f t="shared" ref="F7:F158" si="1">E7*$E$5</f>
        <v>0</v>
      </c>
      <c r="G7" s="19">
        <v>0</v>
      </c>
      <c r="H7" s="20">
        <f t="shared" ref="H7:H32" si="2">G7-E7</f>
        <v>0</v>
      </c>
    </row>
    <row r="8" spans="1:8" ht="13" x14ac:dyDescent="0.15">
      <c r="A8" s="12">
        <v>45517</v>
      </c>
      <c r="B8" s="13" t="s">
        <v>3</v>
      </c>
      <c r="C8" s="14">
        <v>0.98729999999999996</v>
      </c>
      <c r="D8" s="16">
        <v>485</v>
      </c>
      <c r="E8" s="17">
        <f t="shared" si="0"/>
        <v>6.1595000000000368</v>
      </c>
      <c r="F8" s="18">
        <f t="shared" si="1"/>
        <v>338.77250000000203</v>
      </c>
      <c r="G8" s="19">
        <f t="shared" ref="G8:G37" si="3">D8-(D8*G$3)</f>
        <v>24.25</v>
      </c>
      <c r="H8" s="20">
        <f t="shared" si="2"/>
        <v>18.090499999999963</v>
      </c>
    </row>
    <row r="9" spans="1:8" ht="13" x14ac:dyDescent="0.15">
      <c r="A9" s="12">
        <v>45518</v>
      </c>
      <c r="B9" s="13" t="s">
        <v>4</v>
      </c>
      <c r="C9" s="14">
        <v>0.98880000000000001</v>
      </c>
      <c r="D9" s="16">
        <v>493</v>
      </c>
      <c r="E9" s="17">
        <f t="shared" si="0"/>
        <v>5.5215999999999781</v>
      </c>
      <c r="F9" s="18">
        <f t="shared" si="1"/>
        <v>303.68799999999879</v>
      </c>
      <c r="G9" s="19">
        <f t="shared" si="3"/>
        <v>24.650000000000034</v>
      </c>
      <c r="H9" s="20">
        <f t="shared" si="2"/>
        <v>19.128400000000056</v>
      </c>
    </row>
    <row r="10" spans="1:8" ht="13" x14ac:dyDescent="0.15">
      <c r="A10" s="12">
        <v>45519</v>
      </c>
      <c r="B10" s="13" t="s">
        <v>5</v>
      </c>
      <c r="C10" s="14">
        <v>0.9667</v>
      </c>
      <c r="D10" s="16">
        <v>501</v>
      </c>
      <c r="E10" s="17">
        <f t="shared" si="0"/>
        <v>16.683299999999974</v>
      </c>
      <c r="F10" s="18">
        <f t="shared" si="1"/>
        <v>917.58149999999864</v>
      </c>
      <c r="G10" s="19">
        <f t="shared" si="3"/>
        <v>25.050000000000011</v>
      </c>
      <c r="H10" s="20">
        <f t="shared" si="2"/>
        <v>8.3667000000000371</v>
      </c>
    </row>
    <row r="11" spans="1:8" ht="13" x14ac:dyDescent="0.15">
      <c r="A11" s="12">
        <v>45520</v>
      </c>
      <c r="B11" s="13" t="s">
        <v>6</v>
      </c>
      <c r="C11" s="14">
        <v>0.94069999999999998</v>
      </c>
      <c r="D11" s="16">
        <v>503</v>
      </c>
      <c r="E11" s="17">
        <f t="shared" si="0"/>
        <v>29.8279</v>
      </c>
      <c r="F11" s="18">
        <f t="shared" si="1"/>
        <v>1640.5345</v>
      </c>
      <c r="G11" s="19">
        <f t="shared" si="3"/>
        <v>25.150000000000034</v>
      </c>
      <c r="H11" s="20">
        <f t="shared" si="2"/>
        <v>-4.6778999999999655</v>
      </c>
    </row>
    <row r="12" spans="1:8" ht="13" x14ac:dyDescent="0.15">
      <c r="A12" s="12">
        <v>45523</v>
      </c>
      <c r="B12" s="13" t="s">
        <v>2</v>
      </c>
      <c r="C12" s="14">
        <v>0.93289999999999995</v>
      </c>
      <c r="D12" s="16">
        <v>509</v>
      </c>
      <c r="E12" s="17">
        <f t="shared" si="0"/>
        <v>34.153900000000021</v>
      </c>
      <c r="F12" s="18">
        <f t="shared" si="1"/>
        <v>1878.4645000000012</v>
      </c>
      <c r="G12" s="19">
        <f t="shared" si="3"/>
        <v>25.450000000000045</v>
      </c>
      <c r="H12" s="20">
        <f t="shared" si="2"/>
        <v>-8.703899999999976</v>
      </c>
    </row>
    <row r="13" spans="1:8" ht="13" x14ac:dyDescent="0.15">
      <c r="A13" s="12">
        <v>45524</v>
      </c>
      <c r="B13" s="13" t="s">
        <v>3</v>
      </c>
      <c r="C13" s="14">
        <v>0.93589999999999995</v>
      </c>
      <c r="D13" s="16">
        <v>514</v>
      </c>
      <c r="E13" s="17">
        <f t="shared" si="0"/>
        <v>32.947400000000016</v>
      </c>
      <c r="F13" s="18">
        <f t="shared" si="1"/>
        <v>1812.1070000000009</v>
      </c>
      <c r="G13" s="19">
        <f t="shared" si="3"/>
        <v>25.700000000000045</v>
      </c>
      <c r="H13" s="20">
        <f t="shared" si="2"/>
        <v>-7.2473999999999705</v>
      </c>
    </row>
    <row r="14" spans="1:8" ht="13" x14ac:dyDescent="0.15">
      <c r="A14" s="12">
        <v>45525</v>
      </c>
      <c r="B14" s="13" t="s">
        <v>4</v>
      </c>
      <c r="C14" s="14">
        <v>0.92930000000000001</v>
      </c>
      <c r="D14" s="16">
        <v>519</v>
      </c>
      <c r="E14" s="17">
        <f t="shared" si="0"/>
        <v>36.693299999999965</v>
      </c>
      <c r="F14" s="18">
        <f t="shared" si="1"/>
        <v>2018.1314999999981</v>
      </c>
      <c r="G14" s="19">
        <f t="shared" si="3"/>
        <v>25.950000000000045</v>
      </c>
      <c r="H14" s="20">
        <f t="shared" si="2"/>
        <v>-10.74329999999992</v>
      </c>
    </row>
    <row r="15" spans="1:8" ht="13" x14ac:dyDescent="0.15">
      <c r="A15" s="12">
        <v>45526</v>
      </c>
      <c r="B15" s="13" t="s">
        <v>5</v>
      </c>
      <c r="C15" s="14">
        <v>0.94010000000000005</v>
      </c>
      <c r="D15" s="16">
        <v>520</v>
      </c>
      <c r="E15" s="17">
        <f t="shared" si="0"/>
        <v>31.147999999999968</v>
      </c>
      <c r="F15" s="18">
        <f t="shared" si="1"/>
        <v>1713.1399999999983</v>
      </c>
      <c r="G15" s="19">
        <f t="shared" si="3"/>
        <v>26</v>
      </c>
      <c r="H15" s="20">
        <f t="shared" si="2"/>
        <v>-5.1479999999999677</v>
      </c>
    </row>
    <row r="16" spans="1:8" ht="13" x14ac:dyDescent="0.15">
      <c r="A16" s="12">
        <v>45527</v>
      </c>
      <c r="B16" s="13" t="s">
        <v>6</v>
      </c>
      <c r="C16" s="14">
        <v>0.92</v>
      </c>
      <c r="D16" s="16">
        <v>523</v>
      </c>
      <c r="E16" s="17">
        <f t="shared" si="0"/>
        <v>41.839999999999975</v>
      </c>
      <c r="F16" s="18">
        <f t="shared" si="1"/>
        <v>2301.1999999999985</v>
      </c>
      <c r="G16" s="19">
        <f t="shared" si="3"/>
        <v>26.150000000000034</v>
      </c>
      <c r="H16" s="20">
        <f t="shared" si="2"/>
        <v>-15.689999999999941</v>
      </c>
    </row>
    <row r="17" spans="1:8" ht="13" x14ac:dyDescent="0.15">
      <c r="A17" s="12">
        <v>45530</v>
      </c>
      <c r="B17" s="13" t="s">
        <v>2</v>
      </c>
      <c r="C17" s="14">
        <v>0.93079999999999996</v>
      </c>
      <c r="D17" s="16">
        <v>532</v>
      </c>
      <c r="E17" s="17">
        <f t="shared" si="0"/>
        <v>36.814400000000035</v>
      </c>
      <c r="F17" s="18">
        <f t="shared" si="1"/>
        <v>2024.792000000002</v>
      </c>
      <c r="G17" s="19">
        <f t="shared" si="3"/>
        <v>26.600000000000023</v>
      </c>
      <c r="H17" s="20">
        <f t="shared" si="2"/>
        <v>-10.214400000000012</v>
      </c>
    </row>
    <row r="18" spans="1:8" ht="13" x14ac:dyDescent="0.15">
      <c r="A18" s="12">
        <v>45531</v>
      </c>
      <c r="B18" s="13" t="s">
        <v>3</v>
      </c>
      <c r="C18" s="14">
        <v>0.94130000000000003</v>
      </c>
      <c r="D18" s="16">
        <v>531</v>
      </c>
      <c r="E18" s="17">
        <f t="shared" si="0"/>
        <v>31.169699999999978</v>
      </c>
      <c r="F18" s="18">
        <f t="shared" si="1"/>
        <v>1714.3334999999988</v>
      </c>
      <c r="G18" s="19">
        <f t="shared" si="3"/>
        <v>26.550000000000011</v>
      </c>
      <c r="H18" s="20">
        <f t="shared" si="2"/>
        <v>-4.6196999999999662</v>
      </c>
    </row>
    <row r="19" spans="1:8" ht="13" x14ac:dyDescent="0.15">
      <c r="A19" s="12">
        <v>45532</v>
      </c>
      <c r="B19" s="13" t="s">
        <v>4</v>
      </c>
      <c r="C19" s="14">
        <v>0.93940000000000001</v>
      </c>
      <c r="D19" s="16">
        <v>535</v>
      </c>
      <c r="E19" s="17">
        <f t="shared" si="0"/>
        <v>32.420999999999992</v>
      </c>
      <c r="F19" s="18">
        <f t="shared" si="1"/>
        <v>1783.1549999999995</v>
      </c>
      <c r="G19" s="19">
        <f t="shared" si="3"/>
        <v>26.75</v>
      </c>
      <c r="H19" s="20">
        <f t="shared" si="2"/>
        <v>-5.6709999999999923</v>
      </c>
    </row>
    <row r="20" spans="1:8" ht="13" x14ac:dyDescent="0.15">
      <c r="A20" s="12">
        <v>45533</v>
      </c>
      <c r="B20" s="13" t="s">
        <v>5</v>
      </c>
      <c r="C20" s="14">
        <v>0.92649999999999999</v>
      </c>
      <c r="D20" s="16">
        <v>534</v>
      </c>
      <c r="E20" s="17">
        <f t="shared" si="0"/>
        <v>39.249000000000024</v>
      </c>
      <c r="F20" s="18">
        <f t="shared" si="1"/>
        <v>2158.6950000000015</v>
      </c>
      <c r="G20" s="19">
        <f t="shared" si="3"/>
        <v>26.700000000000045</v>
      </c>
      <c r="H20" s="20">
        <f t="shared" si="2"/>
        <v>-12.548999999999978</v>
      </c>
    </row>
    <row r="21" spans="1:8" ht="13" x14ac:dyDescent="0.15">
      <c r="A21" s="12">
        <v>45534</v>
      </c>
      <c r="B21" s="13" t="s">
        <v>6</v>
      </c>
      <c r="C21" s="14">
        <v>0.90900000000000003</v>
      </c>
      <c r="D21" s="16">
        <v>535</v>
      </c>
      <c r="E21" s="17">
        <f t="shared" si="0"/>
        <v>48.685000000000002</v>
      </c>
      <c r="F21" s="18">
        <f t="shared" si="1"/>
        <v>2677.6750000000002</v>
      </c>
      <c r="G21" s="19">
        <f t="shared" si="3"/>
        <v>26.75</v>
      </c>
      <c r="H21" s="20">
        <f t="shared" si="2"/>
        <v>-21.935000000000002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0.91569999999999996</v>
      </c>
      <c r="D23" s="16">
        <v>542</v>
      </c>
      <c r="E23" s="17">
        <f t="shared" si="0"/>
        <v>45.690600000000018</v>
      </c>
      <c r="F23" s="18">
        <f t="shared" si="1"/>
        <v>2512.9830000000011</v>
      </c>
      <c r="G23" s="19">
        <f t="shared" si="3"/>
        <v>27.100000000000023</v>
      </c>
      <c r="H23" s="20">
        <f t="shared" si="2"/>
        <v>-18.590599999999995</v>
      </c>
    </row>
    <row r="24" spans="1:8" ht="13" x14ac:dyDescent="0.15">
      <c r="A24" s="12">
        <v>45539</v>
      </c>
      <c r="B24" s="13" t="s">
        <v>4</v>
      </c>
      <c r="C24" s="14">
        <v>0.91990000000000005</v>
      </c>
      <c r="D24" s="16">
        <v>547</v>
      </c>
      <c r="E24" s="17">
        <f t="shared" si="0"/>
        <v>43.814699999999959</v>
      </c>
      <c r="F24" s="18">
        <f t="shared" si="1"/>
        <v>2409.8084999999978</v>
      </c>
      <c r="G24" s="19">
        <f t="shared" si="3"/>
        <v>27.350000000000023</v>
      </c>
      <c r="H24" s="20">
        <f t="shared" si="2"/>
        <v>-16.464699999999937</v>
      </c>
    </row>
    <row r="25" spans="1:8" ht="13" x14ac:dyDescent="0.15">
      <c r="A25" s="12">
        <v>45540</v>
      </c>
      <c r="B25" s="13" t="s">
        <v>5</v>
      </c>
      <c r="C25" s="14">
        <v>0.94410000000000005</v>
      </c>
      <c r="D25" s="16">
        <v>547</v>
      </c>
      <c r="E25" s="17">
        <f t="shared" si="0"/>
        <v>30.577299999999923</v>
      </c>
      <c r="F25" s="18">
        <f t="shared" si="1"/>
        <v>1681.7514999999958</v>
      </c>
      <c r="G25" s="19">
        <f t="shared" si="3"/>
        <v>27.350000000000023</v>
      </c>
      <c r="H25" s="20">
        <f t="shared" si="2"/>
        <v>-3.2272999999999001</v>
      </c>
    </row>
    <row r="26" spans="1:8" ht="13" x14ac:dyDescent="0.15">
      <c r="A26" s="12">
        <v>45541</v>
      </c>
      <c r="B26" s="13" t="s">
        <v>6</v>
      </c>
      <c r="C26" s="14">
        <v>0.91459999999999997</v>
      </c>
      <c r="D26" s="16">
        <v>548</v>
      </c>
      <c r="E26" s="17">
        <f t="shared" si="0"/>
        <v>46.799200000000042</v>
      </c>
      <c r="F26" s="18">
        <f t="shared" si="1"/>
        <v>2573.9560000000024</v>
      </c>
      <c r="G26" s="19">
        <f t="shared" si="3"/>
        <v>27.399999999999977</v>
      </c>
      <c r="H26" s="20">
        <f t="shared" si="2"/>
        <v>-19.399200000000064</v>
      </c>
    </row>
    <row r="27" spans="1:8" ht="13" x14ac:dyDescent="0.15">
      <c r="A27" s="12">
        <v>45544</v>
      </c>
      <c r="B27" s="13" t="s">
        <v>2</v>
      </c>
      <c r="C27" s="14">
        <v>0.93620000000000003</v>
      </c>
      <c r="D27" s="16">
        <v>548</v>
      </c>
      <c r="E27" s="17">
        <f t="shared" si="0"/>
        <v>34.962400000000002</v>
      </c>
      <c r="F27" s="18">
        <f t="shared" si="1"/>
        <v>1922.9320000000002</v>
      </c>
      <c r="G27" s="19">
        <f t="shared" si="3"/>
        <v>27.399999999999977</v>
      </c>
      <c r="H27" s="20">
        <f t="shared" si="2"/>
        <v>-7.5624000000000251</v>
      </c>
    </row>
    <row r="28" spans="1:8" ht="13" x14ac:dyDescent="0.15">
      <c r="A28" s="12">
        <v>45545</v>
      </c>
      <c r="B28" s="13" t="s">
        <v>3</v>
      </c>
      <c r="C28" s="14">
        <v>0.93400000000000005</v>
      </c>
      <c r="D28" s="16">
        <v>549</v>
      </c>
      <c r="E28" s="17">
        <f t="shared" si="0"/>
        <v>36.233999999999924</v>
      </c>
      <c r="F28" s="18">
        <f t="shared" si="1"/>
        <v>1992.8699999999958</v>
      </c>
      <c r="G28" s="19">
        <f t="shared" si="3"/>
        <v>27.450000000000045</v>
      </c>
      <c r="H28" s="20">
        <f t="shared" si="2"/>
        <v>-8.7839999999998781</v>
      </c>
    </row>
    <row r="29" spans="1:8" ht="13" x14ac:dyDescent="0.15">
      <c r="A29" s="12">
        <v>45546</v>
      </c>
      <c r="B29" s="13" t="s">
        <v>4</v>
      </c>
      <c r="C29" s="14">
        <v>0.92779999999999996</v>
      </c>
      <c r="D29" s="16">
        <v>554</v>
      </c>
      <c r="E29" s="17">
        <f t="shared" si="0"/>
        <v>39.998800000000074</v>
      </c>
      <c r="F29" s="18">
        <f t="shared" si="1"/>
        <v>2199.9340000000038</v>
      </c>
      <c r="G29" s="19">
        <f t="shared" si="3"/>
        <v>27.700000000000045</v>
      </c>
      <c r="H29" s="20">
        <f t="shared" si="2"/>
        <v>-12.298800000000028</v>
      </c>
    </row>
    <row r="30" spans="1:8" ht="13" x14ac:dyDescent="0.15">
      <c r="A30" s="12">
        <v>45547</v>
      </c>
      <c r="B30" s="13" t="s">
        <v>5</v>
      </c>
      <c r="C30" s="14">
        <v>0.94379999999999997</v>
      </c>
      <c r="D30" s="16">
        <v>555</v>
      </c>
      <c r="E30" s="17">
        <f t="shared" si="0"/>
        <v>31.191000000000031</v>
      </c>
      <c r="F30" s="18">
        <f t="shared" si="1"/>
        <v>1715.5050000000017</v>
      </c>
      <c r="G30" s="19">
        <f t="shared" si="3"/>
        <v>27.75</v>
      </c>
      <c r="H30" s="20">
        <f t="shared" si="2"/>
        <v>-3.4410000000000309</v>
      </c>
    </row>
    <row r="31" spans="1:8" ht="13" x14ac:dyDescent="0.15">
      <c r="A31" s="12">
        <v>45548</v>
      </c>
      <c r="B31" s="13" t="s">
        <v>6</v>
      </c>
      <c r="C31" s="14">
        <v>0.91310000000000002</v>
      </c>
      <c r="D31" s="16">
        <v>553</v>
      </c>
      <c r="E31" s="17">
        <f t="shared" si="0"/>
        <v>48.055700000000002</v>
      </c>
      <c r="F31" s="18">
        <f t="shared" si="1"/>
        <v>2643.0635000000002</v>
      </c>
      <c r="G31" s="19">
        <f t="shared" si="3"/>
        <v>27.649999999999977</v>
      </c>
      <c r="H31" s="20">
        <f t="shared" si="2"/>
        <v>-20.405700000000024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0.94379999999999997</v>
      </c>
      <c r="D33" s="16">
        <v>554</v>
      </c>
      <c r="E33" s="17">
        <f t="shared" si="0"/>
        <v>31.134800000000041</v>
      </c>
      <c r="F33" s="18">
        <f t="shared" si="1"/>
        <v>1712.4140000000023</v>
      </c>
      <c r="G33" s="19">
        <f t="shared" si="3"/>
        <v>27.700000000000045</v>
      </c>
      <c r="H33" s="20" t="s">
        <v>20</v>
      </c>
    </row>
    <row r="34" spans="1:8" ht="13" x14ac:dyDescent="0.15">
      <c r="A34" s="12">
        <v>45553</v>
      </c>
      <c r="B34" s="13" t="s">
        <v>4</v>
      </c>
      <c r="C34" s="14">
        <v>0.92449999999999999</v>
      </c>
      <c r="D34" s="16">
        <v>554</v>
      </c>
      <c r="E34" s="17">
        <f t="shared" si="0"/>
        <v>41.826999999999998</v>
      </c>
      <c r="F34" s="18">
        <f t="shared" si="1"/>
        <v>2300.4849999999997</v>
      </c>
      <c r="G34" s="19">
        <f t="shared" si="3"/>
        <v>27.700000000000045</v>
      </c>
      <c r="H34" s="20">
        <f t="shared" ref="H34:H158" si="4">G34-E34</f>
        <v>-14.126999999999953</v>
      </c>
    </row>
    <row r="35" spans="1:8" ht="13" x14ac:dyDescent="0.15">
      <c r="A35" s="12">
        <v>45554</v>
      </c>
      <c r="B35" s="13" t="s">
        <v>5</v>
      </c>
      <c r="C35" s="14">
        <v>0.91220000000000001</v>
      </c>
      <c r="D35" s="16">
        <v>554</v>
      </c>
      <c r="E35" s="17">
        <f t="shared" si="0"/>
        <v>48.641199999999969</v>
      </c>
      <c r="F35" s="18">
        <f t="shared" si="1"/>
        <v>2675.2659999999983</v>
      </c>
      <c r="G35" s="19">
        <f t="shared" si="3"/>
        <v>27.700000000000045</v>
      </c>
      <c r="H35" s="20">
        <f t="shared" si="4"/>
        <v>-20.941199999999924</v>
      </c>
    </row>
    <row r="36" spans="1:8" ht="13" x14ac:dyDescent="0.15">
      <c r="A36" s="12">
        <v>45555</v>
      </c>
      <c r="B36" s="13" t="s">
        <v>6</v>
      </c>
      <c r="C36" s="14">
        <v>0.92920000000000003</v>
      </c>
      <c r="D36" s="16">
        <v>555</v>
      </c>
      <c r="E36" s="17">
        <f t="shared" si="0"/>
        <v>39.293999999999983</v>
      </c>
      <c r="F36" s="18">
        <f t="shared" si="1"/>
        <v>2161.1699999999992</v>
      </c>
      <c r="G36" s="19">
        <f t="shared" si="3"/>
        <v>27.75</v>
      </c>
      <c r="H36" s="20">
        <f t="shared" si="4"/>
        <v>-11.543999999999983</v>
      </c>
    </row>
    <row r="37" spans="1:8" ht="13" x14ac:dyDescent="0.15">
      <c r="A37" s="12">
        <v>45558</v>
      </c>
      <c r="B37" s="13" t="s">
        <v>2</v>
      </c>
      <c r="C37" s="14">
        <v>0.91249999999999998</v>
      </c>
      <c r="D37" s="16">
        <v>557</v>
      </c>
      <c r="E37" s="17">
        <f t="shared" si="0"/>
        <v>48.737500000000011</v>
      </c>
      <c r="F37" s="18">
        <f t="shared" si="1"/>
        <v>2680.5625000000005</v>
      </c>
      <c r="G37" s="19">
        <f t="shared" si="3"/>
        <v>27.850000000000023</v>
      </c>
      <c r="H37" s="20">
        <f t="shared" si="4"/>
        <v>-20.887499999999989</v>
      </c>
    </row>
    <row r="38" spans="1:8" ht="13" x14ac:dyDescent="0.15">
      <c r="A38" s="12">
        <v>45559</v>
      </c>
      <c r="B38" s="13" t="s">
        <v>3</v>
      </c>
      <c r="C38" s="14">
        <v>0.94289999999999996</v>
      </c>
      <c r="D38" s="16">
        <v>558</v>
      </c>
      <c r="E38" s="17">
        <f>D37-(C38*D37)</f>
        <v>31.804700000000025</v>
      </c>
      <c r="F38" s="18">
        <f t="shared" si="1"/>
        <v>1749.2585000000013</v>
      </c>
      <c r="G38" s="19">
        <f>D37-(D37*G$3)</f>
        <v>27.850000000000023</v>
      </c>
      <c r="H38" s="20">
        <f t="shared" si="4"/>
        <v>-3.9547000000000025</v>
      </c>
    </row>
    <row r="39" spans="1:8" ht="13" x14ac:dyDescent="0.15">
      <c r="A39" s="12">
        <v>45560</v>
      </c>
      <c r="B39" s="13" t="s">
        <v>4</v>
      </c>
      <c r="C39" s="14">
        <v>0.93620000000000003</v>
      </c>
      <c r="D39" s="16">
        <v>558</v>
      </c>
      <c r="E39" s="17">
        <f t="shared" ref="E39:E70" si="5">D39-(C39*D39)</f>
        <v>35.600400000000036</v>
      </c>
      <c r="F39" s="18">
        <f t="shared" si="1"/>
        <v>1958.022000000002</v>
      </c>
      <c r="G39" s="19">
        <f t="shared" ref="G39:G158" si="6">D39-(D39*G$3)</f>
        <v>27.899999999999977</v>
      </c>
      <c r="H39" s="20">
        <f t="shared" si="4"/>
        <v>-7.7004000000000588</v>
      </c>
    </row>
    <row r="40" spans="1:8" ht="13" x14ac:dyDescent="0.15">
      <c r="A40" s="12">
        <v>45561</v>
      </c>
      <c r="B40" s="13" t="s">
        <v>5</v>
      </c>
      <c r="C40" s="14">
        <v>0.95520000000000005</v>
      </c>
      <c r="D40" s="16">
        <v>558</v>
      </c>
      <c r="E40" s="17">
        <f t="shared" si="5"/>
        <v>24.998399999999947</v>
      </c>
      <c r="F40" s="18">
        <f t="shared" si="1"/>
        <v>1374.9119999999971</v>
      </c>
      <c r="G40" s="19">
        <f t="shared" si="6"/>
        <v>27.899999999999977</v>
      </c>
      <c r="H40" s="20">
        <f t="shared" si="4"/>
        <v>2.9016000000000304</v>
      </c>
    </row>
    <row r="41" spans="1:8" ht="13" x14ac:dyDescent="0.15">
      <c r="A41" s="12">
        <v>45562</v>
      </c>
      <c r="B41" s="13" t="s">
        <v>6</v>
      </c>
      <c r="C41" s="14">
        <v>0.9194</v>
      </c>
      <c r="D41" s="16">
        <v>558</v>
      </c>
      <c r="E41" s="17">
        <f t="shared" si="5"/>
        <v>44.974799999999959</v>
      </c>
      <c r="F41" s="18">
        <f t="shared" si="1"/>
        <v>2473.6139999999978</v>
      </c>
      <c r="G41" s="19">
        <f t="shared" si="6"/>
        <v>27.899999999999977</v>
      </c>
      <c r="H41" s="20">
        <f t="shared" si="4"/>
        <v>-17.074799999999982</v>
      </c>
    </row>
    <row r="42" spans="1:8" ht="13" x14ac:dyDescent="0.15">
      <c r="A42" s="12">
        <v>45565</v>
      </c>
      <c r="B42" s="13" t="s">
        <v>2</v>
      </c>
      <c r="C42" s="14">
        <v>0.92830000000000001</v>
      </c>
      <c r="D42" s="16">
        <v>558</v>
      </c>
      <c r="E42" s="17">
        <f t="shared" si="5"/>
        <v>40.008600000000001</v>
      </c>
      <c r="F42" s="18">
        <f t="shared" si="1"/>
        <v>2200.473</v>
      </c>
      <c r="G42" s="19">
        <f t="shared" si="6"/>
        <v>27.899999999999977</v>
      </c>
      <c r="H42" s="20">
        <f t="shared" si="4"/>
        <v>-12.108600000000024</v>
      </c>
    </row>
    <row r="43" spans="1:8" ht="13" x14ac:dyDescent="0.15">
      <c r="A43" s="12">
        <v>45566</v>
      </c>
      <c r="B43" s="13" t="s">
        <v>3</v>
      </c>
      <c r="C43" s="14">
        <v>0.92579999999999996</v>
      </c>
      <c r="D43" s="16">
        <v>558</v>
      </c>
      <c r="E43" s="17">
        <f t="shared" si="5"/>
        <v>41.403599999999983</v>
      </c>
      <c r="F43" s="18">
        <f t="shared" si="1"/>
        <v>2277.197999999999</v>
      </c>
      <c r="G43" s="19">
        <f t="shared" si="6"/>
        <v>27.899999999999977</v>
      </c>
      <c r="H43" s="20">
        <f t="shared" si="4"/>
        <v>-13.503600000000006</v>
      </c>
    </row>
    <row r="44" spans="1:8" ht="13" x14ac:dyDescent="0.15">
      <c r="A44" s="12">
        <v>45567</v>
      </c>
      <c r="B44" s="13" t="s">
        <v>4</v>
      </c>
      <c r="C44" s="14">
        <v>0.91930000000000001</v>
      </c>
      <c r="D44" s="16">
        <v>558</v>
      </c>
      <c r="E44" s="17">
        <f t="shared" si="5"/>
        <v>45.030600000000049</v>
      </c>
      <c r="F44" s="18">
        <f t="shared" si="1"/>
        <v>2476.6830000000027</v>
      </c>
      <c r="G44" s="19">
        <f t="shared" si="6"/>
        <v>27.899999999999977</v>
      </c>
      <c r="H44" s="20">
        <f t="shared" si="4"/>
        <v>-17.130600000000072</v>
      </c>
    </row>
    <row r="45" spans="1:8" ht="13" x14ac:dyDescent="0.15">
      <c r="A45" s="12">
        <v>45568</v>
      </c>
      <c r="B45" s="13" t="s">
        <v>5</v>
      </c>
      <c r="C45" s="14">
        <v>0.91479999999999995</v>
      </c>
      <c r="D45" s="16">
        <v>558</v>
      </c>
      <c r="E45" s="17">
        <f t="shared" si="5"/>
        <v>47.541600000000017</v>
      </c>
      <c r="F45" s="18">
        <f t="shared" si="1"/>
        <v>2614.7880000000009</v>
      </c>
      <c r="G45" s="19">
        <f t="shared" si="6"/>
        <v>27.899999999999977</v>
      </c>
      <c r="H45" s="20">
        <f t="shared" si="4"/>
        <v>-19.641600000000039</v>
      </c>
    </row>
    <row r="46" spans="1:8" ht="13" x14ac:dyDescent="0.15">
      <c r="A46" s="12">
        <v>45569</v>
      </c>
      <c r="B46" s="13" t="s">
        <v>6</v>
      </c>
      <c r="C46" s="14">
        <v>0.88180000000000003</v>
      </c>
      <c r="D46" s="16">
        <v>558</v>
      </c>
      <c r="E46" s="17">
        <f t="shared" si="5"/>
        <v>65.955600000000004</v>
      </c>
      <c r="F46" s="18">
        <f t="shared" si="1"/>
        <v>3627.558</v>
      </c>
      <c r="G46" s="19">
        <f t="shared" si="6"/>
        <v>27.899999999999977</v>
      </c>
      <c r="H46" s="20">
        <f t="shared" si="4"/>
        <v>-38.055600000000027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5"/>
        <v>0</v>
      </c>
      <c r="F47" s="18">
        <f t="shared" si="1"/>
        <v>0</v>
      </c>
      <c r="G47" s="19">
        <f t="shared" si="6"/>
        <v>0</v>
      </c>
      <c r="H47" s="20">
        <f t="shared" si="4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5"/>
        <v>0</v>
      </c>
      <c r="F48" s="18">
        <f t="shared" si="1"/>
        <v>0</v>
      </c>
      <c r="G48" s="19">
        <f t="shared" si="6"/>
        <v>0</v>
      </c>
      <c r="H48" s="20">
        <f t="shared" si="4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5"/>
        <v>0</v>
      </c>
      <c r="F49" s="18">
        <f t="shared" si="1"/>
        <v>0</v>
      </c>
      <c r="G49" s="19">
        <f t="shared" si="6"/>
        <v>0</v>
      </c>
      <c r="H49" s="20">
        <f t="shared" si="4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5"/>
        <v>0</v>
      </c>
      <c r="F50" s="18">
        <f t="shared" si="1"/>
        <v>0</v>
      </c>
      <c r="G50" s="19">
        <f t="shared" si="6"/>
        <v>0</v>
      </c>
      <c r="H50" s="20">
        <f t="shared" si="4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5"/>
        <v>0</v>
      </c>
      <c r="F51" s="18">
        <f t="shared" si="1"/>
        <v>0</v>
      </c>
      <c r="G51" s="19">
        <f t="shared" si="6"/>
        <v>0</v>
      </c>
      <c r="H51" s="20">
        <f t="shared" si="4"/>
        <v>0</v>
      </c>
    </row>
    <row r="52" spans="1:8" ht="13" x14ac:dyDescent="0.15">
      <c r="A52" s="12">
        <v>45579</v>
      </c>
      <c r="B52" s="13" t="s">
        <v>2</v>
      </c>
      <c r="C52" s="14">
        <v>0.91269999999999996</v>
      </c>
      <c r="D52" s="16">
        <v>559</v>
      </c>
      <c r="E52" s="17">
        <f t="shared" si="5"/>
        <v>48.800700000000006</v>
      </c>
      <c r="F52" s="18">
        <f t="shared" si="1"/>
        <v>2684.0385000000006</v>
      </c>
      <c r="G52" s="19">
        <f t="shared" si="6"/>
        <v>27.950000000000045</v>
      </c>
      <c r="H52" s="20">
        <f t="shared" si="4"/>
        <v>-20.850699999999961</v>
      </c>
    </row>
    <row r="53" spans="1:8" ht="13" x14ac:dyDescent="0.15">
      <c r="A53" s="12">
        <v>45580</v>
      </c>
      <c r="B53" s="13" t="s">
        <v>3</v>
      </c>
      <c r="C53" s="14">
        <v>0.94310000000000005</v>
      </c>
      <c r="D53" s="16">
        <v>557</v>
      </c>
      <c r="E53" s="17">
        <f t="shared" si="5"/>
        <v>31.693300000000022</v>
      </c>
      <c r="F53" s="18">
        <f t="shared" si="1"/>
        <v>1743.1315000000013</v>
      </c>
      <c r="G53" s="19">
        <f t="shared" si="6"/>
        <v>27.850000000000023</v>
      </c>
      <c r="H53" s="20">
        <f t="shared" si="4"/>
        <v>-3.8432999999999993</v>
      </c>
    </row>
    <row r="54" spans="1:8" ht="13" x14ac:dyDescent="0.15">
      <c r="A54" s="12">
        <v>45581</v>
      </c>
      <c r="B54" s="13" t="s">
        <v>4</v>
      </c>
      <c r="C54" s="29">
        <v>0.95450000000000002</v>
      </c>
      <c r="D54" s="16">
        <v>557</v>
      </c>
      <c r="E54" s="17">
        <f t="shared" si="5"/>
        <v>25.343499999999949</v>
      </c>
      <c r="F54" s="18">
        <f t="shared" si="1"/>
        <v>1393.8924999999972</v>
      </c>
      <c r="G54" s="19">
        <f t="shared" si="6"/>
        <v>27.850000000000023</v>
      </c>
      <c r="H54" s="20">
        <f t="shared" si="4"/>
        <v>2.5065000000000737</v>
      </c>
    </row>
    <row r="55" spans="1:8" ht="13" x14ac:dyDescent="0.15">
      <c r="A55" s="12">
        <v>45582</v>
      </c>
      <c r="B55" s="13" t="s">
        <v>5</v>
      </c>
      <c r="C55" s="14">
        <v>0.94989999999999997</v>
      </c>
      <c r="D55" s="16">
        <v>557</v>
      </c>
      <c r="E55" s="17">
        <f t="shared" si="5"/>
        <v>27.905700000000024</v>
      </c>
      <c r="F55" s="18">
        <f t="shared" si="1"/>
        <v>1534.8135000000013</v>
      </c>
      <c r="G55" s="19">
        <f t="shared" si="6"/>
        <v>27.850000000000023</v>
      </c>
      <c r="H55" s="20">
        <f t="shared" si="4"/>
        <v>-5.5700000000001637E-2</v>
      </c>
    </row>
    <row r="56" spans="1:8" ht="13" x14ac:dyDescent="0.15">
      <c r="A56" s="12">
        <v>45583</v>
      </c>
      <c r="B56" s="13" t="s">
        <v>6</v>
      </c>
      <c r="C56" s="14">
        <v>0.9214</v>
      </c>
      <c r="D56" s="16">
        <v>557</v>
      </c>
      <c r="E56" s="17">
        <f t="shared" si="5"/>
        <v>43.780200000000036</v>
      </c>
      <c r="F56" s="18">
        <f t="shared" si="1"/>
        <v>2407.9110000000019</v>
      </c>
      <c r="G56" s="19">
        <f t="shared" si="6"/>
        <v>27.850000000000023</v>
      </c>
      <c r="H56" s="20">
        <f t="shared" si="4"/>
        <v>-15.930200000000013</v>
      </c>
    </row>
    <row r="57" spans="1:8" ht="13" x14ac:dyDescent="0.15">
      <c r="A57" s="12">
        <v>45586</v>
      </c>
      <c r="B57" s="13" t="s">
        <v>2</v>
      </c>
      <c r="C57" s="14">
        <v>0.93959999999999999</v>
      </c>
      <c r="D57" s="16">
        <v>557</v>
      </c>
      <c r="E57" s="17">
        <f t="shared" si="5"/>
        <v>33.642799999999966</v>
      </c>
      <c r="F57" s="18">
        <f t="shared" si="1"/>
        <v>1850.353999999998</v>
      </c>
      <c r="G57" s="19">
        <f t="shared" si="6"/>
        <v>27.850000000000023</v>
      </c>
      <c r="H57" s="20">
        <f t="shared" si="4"/>
        <v>-5.7927999999999429</v>
      </c>
    </row>
    <row r="58" spans="1:8" ht="13" x14ac:dyDescent="0.15">
      <c r="A58" s="12">
        <v>45587</v>
      </c>
      <c r="B58" s="13" t="s">
        <v>3</v>
      </c>
      <c r="C58" s="14">
        <v>0.94089999999999996</v>
      </c>
      <c r="D58" s="16">
        <v>558</v>
      </c>
      <c r="E58" s="17">
        <f t="shared" si="5"/>
        <v>32.977800000000002</v>
      </c>
      <c r="F58" s="18">
        <f t="shared" si="1"/>
        <v>1813.779</v>
      </c>
      <c r="G58" s="19">
        <f t="shared" si="6"/>
        <v>27.899999999999977</v>
      </c>
      <c r="H58" s="20">
        <f t="shared" si="4"/>
        <v>-5.0778000000000247</v>
      </c>
    </row>
    <row r="59" spans="1:8" ht="13" x14ac:dyDescent="0.15">
      <c r="A59" s="12">
        <v>45588</v>
      </c>
      <c r="B59" s="13" t="s">
        <v>4</v>
      </c>
      <c r="C59" s="14">
        <v>0.92730000000000001</v>
      </c>
      <c r="D59" s="16">
        <v>558</v>
      </c>
      <c r="E59" s="17">
        <f t="shared" si="5"/>
        <v>40.566599999999994</v>
      </c>
      <c r="F59" s="18">
        <f t="shared" si="1"/>
        <v>2231.1629999999996</v>
      </c>
      <c r="G59" s="19">
        <f t="shared" si="6"/>
        <v>27.899999999999977</v>
      </c>
      <c r="H59" s="20">
        <f t="shared" si="4"/>
        <v>-12.666600000000017</v>
      </c>
    </row>
    <row r="60" spans="1:8" ht="13" x14ac:dyDescent="0.15">
      <c r="A60" s="12">
        <v>45589</v>
      </c>
      <c r="B60" s="13" t="s">
        <v>5</v>
      </c>
      <c r="C60" s="14">
        <v>0.94320000000000004</v>
      </c>
      <c r="D60" s="16">
        <v>558</v>
      </c>
      <c r="E60" s="17">
        <f t="shared" si="5"/>
        <v>31.694399999999973</v>
      </c>
      <c r="F60" s="18">
        <f t="shared" si="1"/>
        <v>1743.1919999999986</v>
      </c>
      <c r="G60" s="19">
        <f t="shared" si="6"/>
        <v>27.899999999999977</v>
      </c>
      <c r="H60" s="20">
        <f t="shared" si="4"/>
        <v>-3.794399999999996</v>
      </c>
    </row>
    <row r="61" spans="1:8" ht="13" x14ac:dyDescent="0.15">
      <c r="A61" s="12">
        <v>45590</v>
      </c>
      <c r="B61" s="13" t="s">
        <v>6</v>
      </c>
      <c r="C61" s="14">
        <v>0.90800000000000003</v>
      </c>
      <c r="D61" s="16">
        <v>558</v>
      </c>
      <c r="E61" s="17">
        <f t="shared" si="5"/>
        <v>51.335999999999956</v>
      </c>
      <c r="F61" s="18">
        <f t="shared" si="1"/>
        <v>2823.4799999999977</v>
      </c>
      <c r="G61" s="19">
        <f t="shared" si="6"/>
        <v>27.899999999999977</v>
      </c>
      <c r="H61" s="20">
        <f t="shared" si="4"/>
        <v>-23.435999999999979</v>
      </c>
    </row>
    <row r="62" spans="1:8" ht="13" x14ac:dyDescent="0.15">
      <c r="A62" s="12">
        <v>45593</v>
      </c>
      <c r="B62" s="13" t="s">
        <v>2</v>
      </c>
      <c r="C62" s="14">
        <v>0.90859999999999996</v>
      </c>
      <c r="D62" s="16">
        <v>555</v>
      </c>
      <c r="E62" s="17">
        <f t="shared" si="5"/>
        <v>50.727000000000032</v>
      </c>
      <c r="F62" s="18">
        <f t="shared" si="1"/>
        <v>2789.9850000000019</v>
      </c>
      <c r="G62" s="19">
        <f t="shared" si="6"/>
        <v>27.75</v>
      </c>
      <c r="H62" s="20">
        <f t="shared" si="4"/>
        <v>-22.977000000000032</v>
      </c>
    </row>
    <row r="63" spans="1:8" ht="13" x14ac:dyDescent="0.15">
      <c r="A63" s="12">
        <v>45594</v>
      </c>
      <c r="B63" s="13" t="s">
        <v>3</v>
      </c>
      <c r="C63" s="14">
        <v>0.91900000000000004</v>
      </c>
      <c r="D63" s="16">
        <v>556</v>
      </c>
      <c r="E63" s="17">
        <f t="shared" si="5"/>
        <v>45.036000000000001</v>
      </c>
      <c r="F63" s="18">
        <f t="shared" si="1"/>
        <v>2476.98</v>
      </c>
      <c r="G63" s="19">
        <f t="shared" si="6"/>
        <v>27.800000000000068</v>
      </c>
      <c r="H63" s="20">
        <f t="shared" si="4"/>
        <v>-17.235999999999933</v>
      </c>
    </row>
    <row r="64" spans="1:8" ht="13" x14ac:dyDescent="0.15">
      <c r="A64" s="12">
        <v>45595</v>
      </c>
      <c r="B64" s="13" t="s">
        <v>4</v>
      </c>
      <c r="C64" s="14">
        <v>0.93589999999999995</v>
      </c>
      <c r="D64" s="16">
        <v>556</v>
      </c>
      <c r="E64" s="17">
        <f t="shared" si="5"/>
        <v>35.639599999999973</v>
      </c>
      <c r="F64" s="18">
        <f t="shared" si="1"/>
        <v>1960.1779999999985</v>
      </c>
      <c r="G64" s="19">
        <f t="shared" si="6"/>
        <v>27.800000000000068</v>
      </c>
      <c r="H64" s="20">
        <f t="shared" si="4"/>
        <v>-7.8395999999999049</v>
      </c>
    </row>
    <row r="65" spans="1:8" ht="13" x14ac:dyDescent="0.15">
      <c r="A65" s="12">
        <v>45596</v>
      </c>
      <c r="B65" s="13" t="s">
        <v>5</v>
      </c>
      <c r="C65" s="14">
        <v>0.91669999999999996</v>
      </c>
      <c r="D65" s="16">
        <v>555</v>
      </c>
      <c r="E65" s="17">
        <f t="shared" si="5"/>
        <v>46.23150000000004</v>
      </c>
      <c r="F65" s="18">
        <f t="shared" si="1"/>
        <v>2542.7325000000023</v>
      </c>
      <c r="G65" s="19">
        <f t="shared" si="6"/>
        <v>27.75</v>
      </c>
      <c r="H65" s="20">
        <f t="shared" si="4"/>
        <v>-18.48150000000004</v>
      </c>
    </row>
    <row r="66" spans="1:8" ht="13" x14ac:dyDescent="0.15">
      <c r="A66" s="12">
        <v>45597</v>
      </c>
      <c r="B66" s="13" t="s">
        <v>6</v>
      </c>
      <c r="C66" s="14">
        <v>0.87809999999999999</v>
      </c>
      <c r="D66" s="16">
        <v>556</v>
      </c>
      <c r="E66" s="17">
        <f t="shared" si="5"/>
        <v>67.776400000000024</v>
      </c>
      <c r="F66" s="18">
        <f t="shared" si="1"/>
        <v>3727.7020000000011</v>
      </c>
      <c r="G66" s="19">
        <f t="shared" si="6"/>
        <v>27.800000000000068</v>
      </c>
      <c r="H66" s="20">
        <f t="shared" si="4"/>
        <v>-39.976399999999956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5"/>
        <v>0</v>
      </c>
      <c r="F67" s="18">
        <f t="shared" si="1"/>
        <v>0</v>
      </c>
      <c r="G67" s="19">
        <f t="shared" si="6"/>
        <v>0</v>
      </c>
      <c r="H67" s="20">
        <f t="shared" si="4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5"/>
        <v>0</v>
      </c>
      <c r="F68" s="18">
        <f t="shared" si="1"/>
        <v>0</v>
      </c>
      <c r="G68" s="19">
        <f t="shared" si="6"/>
        <v>0</v>
      </c>
      <c r="H68" s="20">
        <f t="shared" si="4"/>
        <v>0</v>
      </c>
    </row>
    <row r="69" spans="1:8" ht="13" x14ac:dyDescent="0.15">
      <c r="A69" s="12">
        <v>45602</v>
      </c>
      <c r="B69" s="13" t="s">
        <v>4</v>
      </c>
      <c r="C69" s="14">
        <v>0.92210000000000003</v>
      </c>
      <c r="D69" s="16">
        <v>560</v>
      </c>
      <c r="E69" s="17">
        <f t="shared" si="5"/>
        <v>43.624000000000024</v>
      </c>
      <c r="F69" s="18">
        <f t="shared" si="1"/>
        <v>2399.3200000000015</v>
      </c>
      <c r="G69" s="19">
        <f t="shared" si="6"/>
        <v>28</v>
      </c>
      <c r="H69" s="20">
        <f t="shared" si="4"/>
        <v>-15.624000000000024</v>
      </c>
    </row>
    <row r="70" spans="1:8" ht="13" x14ac:dyDescent="0.15">
      <c r="A70" s="12">
        <v>45603</v>
      </c>
      <c r="B70" s="13" t="s">
        <v>5</v>
      </c>
      <c r="C70" s="14">
        <v>0.91669999999999996</v>
      </c>
      <c r="D70" s="16">
        <v>561</v>
      </c>
      <c r="E70" s="17">
        <f t="shared" si="5"/>
        <v>46.731300000000033</v>
      </c>
      <c r="F70" s="18">
        <f t="shared" si="1"/>
        <v>2570.2215000000019</v>
      </c>
      <c r="G70" s="19">
        <f t="shared" si="6"/>
        <v>28.050000000000068</v>
      </c>
      <c r="H70" s="20">
        <f t="shared" si="4"/>
        <v>-18.681299999999965</v>
      </c>
    </row>
    <row r="71" spans="1:8" ht="13" x14ac:dyDescent="0.15">
      <c r="A71" s="12">
        <v>45604</v>
      </c>
      <c r="B71" s="13" t="s">
        <v>6</v>
      </c>
      <c r="C71" s="14">
        <v>0.89190000000000003</v>
      </c>
      <c r="D71" s="16">
        <v>561</v>
      </c>
      <c r="E71" s="17">
        <f t="shared" ref="E71:E102" si="7">D71-(C71*D71)</f>
        <v>60.64409999999998</v>
      </c>
      <c r="F71" s="18">
        <f t="shared" si="1"/>
        <v>3335.4254999999989</v>
      </c>
      <c r="G71" s="19">
        <f t="shared" si="6"/>
        <v>28.050000000000068</v>
      </c>
      <c r="H71" s="20">
        <f t="shared" si="4"/>
        <v>-32.594099999999912</v>
      </c>
    </row>
    <row r="72" spans="1:8" ht="13" x14ac:dyDescent="0.15">
      <c r="A72" s="12">
        <v>45607</v>
      </c>
      <c r="B72" s="13" t="s">
        <v>2</v>
      </c>
      <c r="C72" s="14">
        <v>0.92789999999999995</v>
      </c>
      <c r="D72" s="16">
        <v>561</v>
      </c>
      <c r="E72" s="17">
        <f t="shared" si="7"/>
        <v>40.448100000000068</v>
      </c>
      <c r="F72" s="18">
        <f t="shared" si="1"/>
        <v>2224.6455000000037</v>
      </c>
      <c r="G72" s="19">
        <f t="shared" si="6"/>
        <v>28.050000000000068</v>
      </c>
      <c r="H72" s="20">
        <f t="shared" si="4"/>
        <v>-12.398099999999999</v>
      </c>
    </row>
    <row r="73" spans="1:8" ht="13" x14ac:dyDescent="0.15">
      <c r="A73" s="12">
        <v>45608</v>
      </c>
      <c r="B73" s="13" t="s">
        <v>3</v>
      </c>
      <c r="C73" s="14">
        <v>0.94469999999999998</v>
      </c>
      <c r="D73" s="16">
        <v>560</v>
      </c>
      <c r="E73" s="17">
        <f t="shared" si="7"/>
        <v>30.967999999999961</v>
      </c>
      <c r="F73" s="18">
        <f t="shared" si="1"/>
        <v>1703.239999999998</v>
      </c>
      <c r="G73" s="19">
        <f t="shared" si="6"/>
        <v>28</v>
      </c>
      <c r="H73" s="20">
        <f t="shared" si="4"/>
        <v>-2.9679999999999609</v>
      </c>
    </row>
    <row r="74" spans="1:8" ht="13" x14ac:dyDescent="0.15">
      <c r="A74" s="12">
        <v>45609</v>
      </c>
      <c r="B74" s="13" t="s">
        <v>4</v>
      </c>
      <c r="C74" s="14">
        <v>0.92549999999999999</v>
      </c>
      <c r="D74" s="16">
        <v>560</v>
      </c>
      <c r="E74" s="17">
        <f t="shared" si="7"/>
        <v>41.720000000000027</v>
      </c>
      <c r="F74" s="18">
        <f t="shared" si="1"/>
        <v>2294.6000000000013</v>
      </c>
      <c r="G74" s="19">
        <f t="shared" si="6"/>
        <v>28</v>
      </c>
      <c r="H74" s="20">
        <f t="shared" si="4"/>
        <v>-13.720000000000027</v>
      </c>
    </row>
    <row r="75" spans="1:8" ht="13" x14ac:dyDescent="0.15">
      <c r="A75" s="12">
        <v>45610</v>
      </c>
      <c r="B75" s="13" t="s">
        <v>5</v>
      </c>
      <c r="C75" s="14">
        <v>0.92</v>
      </c>
      <c r="D75" s="16">
        <v>560</v>
      </c>
      <c r="E75" s="17">
        <f t="shared" si="7"/>
        <v>44.799999999999955</v>
      </c>
      <c r="F75" s="18">
        <f t="shared" si="1"/>
        <v>2463.9999999999973</v>
      </c>
      <c r="G75" s="19">
        <f t="shared" si="6"/>
        <v>28</v>
      </c>
      <c r="H75" s="20">
        <f t="shared" si="4"/>
        <v>-16.799999999999955</v>
      </c>
    </row>
    <row r="76" spans="1:8" ht="13" x14ac:dyDescent="0.15">
      <c r="A76" s="12">
        <v>45611</v>
      </c>
      <c r="B76" s="13" t="s">
        <v>6</v>
      </c>
      <c r="C76" s="14">
        <v>0.91100000000000003</v>
      </c>
      <c r="D76" s="16">
        <v>560</v>
      </c>
      <c r="E76" s="17">
        <f t="shared" si="7"/>
        <v>49.839999999999975</v>
      </c>
      <c r="F76" s="18">
        <f t="shared" si="1"/>
        <v>2741.1999999999985</v>
      </c>
      <c r="G76" s="19">
        <f t="shared" si="6"/>
        <v>28</v>
      </c>
      <c r="H76" s="20">
        <f t="shared" si="4"/>
        <v>-21.839999999999975</v>
      </c>
    </row>
    <row r="77" spans="1:8" ht="13" x14ac:dyDescent="0.15">
      <c r="A77" s="12">
        <v>45614</v>
      </c>
      <c r="B77" s="13" t="s">
        <v>2</v>
      </c>
      <c r="C77" s="14">
        <v>0.91830000000000001</v>
      </c>
      <c r="D77" s="16">
        <v>556</v>
      </c>
      <c r="E77" s="17">
        <f t="shared" si="7"/>
        <v>45.425200000000018</v>
      </c>
      <c r="F77" s="18">
        <f t="shared" si="1"/>
        <v>2498.3860000000009</v>
      </c>
      <c r="G77" s="19">
        <f t="shared" si="6"/>
        <v>27.800000000000068</v>
      </c>
      <c r="H77" s="20">
        <f t="shared" si="4"/>
        <v>-17.62519999999995</v>
      </c>
    </row>
    <row r="78" spans="1:8" ht="13" x14ac:dyDescent="0.15">
      <c r="A78" s="12">
        <v>45615</v>
      </c>
      <c r="B78" s="13" t="s">
        <v>3</v>
      </c>
      <c r="C78" s="14">
        <v>0.91710000000000003</v>
      </c>
      <c r="D78" s="16">
        <v>556</v>
      </c>
      <c r="E78" s="17">
        <f t="shared" si="7"/>
        <v>46.092399999999998</v>
      </c>
      <c r="F78" s="18">
        <f t="shared" si="1"/>
        <v>2535.0819999999999</v>
      </c>
      <c r="G78" s="19">
        <f t="shared" si="6"/>
        <v>27.800000000000068</v>
      </c>
      <c r="H78" s="20">
        <f t="shared" si="4"/>
        <v>-18.29239999999993</v>
      </c>
    </row>
    <row r="79" spans="1:8" ht="13" x14ac:dyDescent="0.15">
      <c r="A79" s="12">
        <v>45616</v>
      </c>
      <c r="B79" s="13" t="s">
        <v>4</v>
      </c>
      <c r="C79" s="14">
        <v>0.90010000000000001</v>
      </c>
      <c r="D79" s="16">
        <v>556</v>
      </c>
      <c r="E79" s="17">
        <f t="shared" si="7"/>
        <v>55.544399999999996</v>
      </c>
      <c r="F79" s="18">
        <f t="shared" si="1"/>
        <v>3054.942</v>
      </c>
      <c r="G79" s="19">
        <f t="shared" si="6"/>
        <v>27.800000000000068</v>
      </c>
      <c r="H79" s="20">
        <f t="shared" si="4"/>
        <v>-27.744399999999928</v>
      </c>
    </row>
    <row r="80" spans="1:8" ht="13" x14ac:dyDescent="0.15">
      <c r="A80" s="12">
        <v>45617</v>
      </c>
      <c r="B80" s="13" t="s">
        <v>5</v>
      </c>
      <c r="C80" s="14">
        <v>0.92279999999999995</v>
      </c>
      <c r="D80" s="16">
        <v>556</v>
      </c>
      <c r="E80" s="17">
        <f t="shared" si="7"/>
        <v>42.923200000000065</v>
      </c>
      <c r="F80" s="18">
        <f t="shared" si="1"/>
        <v>2360.7760000000035</v>
      </c>
      <c r="G80" s="19">
        <f t="shared" si="6"/>
        <v>27.800000000000068</v>
      </c>
      <c r="H80" s="20">
        <f t="shared" si="4"/>
        <v>-15.123199999999997</v>
      </c>
    </row>
    <row r="81" spans="1:8" ht="13" x14ac:dyDescent="0.15">
      <c r="A81" s="12">
        <v>45618</v>
      </c>
      <c r="B81" s="13" t="s">
        <v>6</v>
      </c>
      <c r="C81" s="14">
        <v>0.86199999999999999</v>
      </c>
      <c r="D81" s="16">
        <v>556</v>
      </c>
      <c r="E81" s="17">
        <f t="shared" si="7"/>
        <v>76.728000000000009</v>
      </c>
      <c r="F81" s="18">
        <f t="shared" si="1"/>
        <v>4220.0400000000009</v>
      </c>
      <c r="G81" s="19">
        <f t="shared" si="6"/>
        <v>27.800000000000068</v>
      </c>
      <c r="H81" s="20">
        <f t="shared" si="4"/>
        <v>-48.92799999999994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7"/>
        <v>0</v>
      </c>
      <c r="F82" s="18">
        <f t="shared" si="1"/>
        <v>0</v>
      </c>
      <c r="G82" s="19">
        <f t="shared" si="6"/>
        <v>0</v>
      </c>
      <c r="H82" s="20">
        <f t="shared" si="4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7"/>
        <v>0</v>
      </c>
      <c r="F83" s="18">
        <f t="shared" si="1"/>
        <v>0</v>
      </c>
      <c r="G83" s="19">
        <f t="shared" si="6"/>
        <v>0</v>
      </c>
      <c r="H83" s="20">
        <f t="shared" si="4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7"/>
        <v>0</v>
      </c>
      <c r="F84" s="18">
        <f t="shared" si="1"/>
        <v>0</v>
      </c>
      <c r="G84" s="19">
        <f t="shared" si="6"/>
        <v>0</v>
      </c>
      <c r="H84" s="20">
        <f t="shared" si="4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7"/>
        <v>0</v>
      </c>
      <c r="F85" s="18">
        <f t="shared" si="1"/>
        <v>0</v>
      </c>
      <c r="G85" s="19">
        <f t="shared" si="6"/>
        <v>0</v>
      </c>
      <c r="H85" s="20">
        <f t="shared" si="4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7"/>
        <v>0</v>
      </c>
      <c r="F86" s="18">
        <f t="shared" si="1"/>
        <v>0</v>
      </c>
      <c r="G86" s="19">
        <f t="shared" si="6"/>
        <v>0</v>
      </c>
      <c r="H86" s="20">
        <f t="shared" si="4"/>
        <v>0</v>
      </c>
    </row>
    <row r="87" spans="1:8" ht="13" x14ac:dyDescent="0.15">
      <c r="A87" s="12">
        <v>45628</v>
      </c>
      <c r="B87" s="13" t="s">
        <v>2</v>
      </c>
      <c r="C87" s="14">
        <v>0.91120000000000001</v>
      </c>
      <c r="D87" s="16">
        <v>560</v>
      </c>
      <c r="E87" s="17">
        <f t="shared" si="7"/>
        <v>49.728000000000009</v>
      </c>
      <c r="F87" s="18">
        <f t="shared" si="1"/>
        <v>2735.0400000000004</v>
      </c>
      <c r="G87" s="19">
        <f t="shared" si="6"/>
        <v>28</v>
      </c>
      <c r="H87" s="20">
        <f t="shared" si="4"/>
        <v>-21.728000000000009</v>
      </c>
    </row>
    <row r="88" spans="1:8" ht="13" x14ac:dyDescent="0.15">
      <c r="A88" s="12">
        <v>45629</v>
      </c>
      <c r="B88" s="13" t="s">
        <v>3</v>
      </c>
      <c r="C88" s="14">
        <v>0.96419999999999995</v>
      </c>
      <c r="D88" s="16">
        <v>563</v>
      </c>
      <c r="E88" s="17">
        <f t="shared" si="7"/>
        <v>20.155399999999986</v>
      </c>
      <c r="F88" s="18">
        <f t="shared" si="1"/>
        <v>1108.5469999999991</v>
      </c>
      <c r="G88" s="19">
        <f t="shared" si="6"/>
        <v>28.149999999999977</v>
      </c>
      <c r="H88" s="20">
        <f t="shared" si="4"/>
        <v>7.9945999999999913</v>
      </c>
    </row>
    <row r="89" spans="1:8" ht="13" x14ac:dyDescent="0.15">
      <c r="A89" s="12">
        <v>45630</v>
      </c>
      <c r="B89" s="13" t="s">
        <v>4</v>
      </c>
      <c r="C89" s="14">
        <v>0.95199999999999996</v>
      </c>
      <c r="D89" s="16">
        <v>564</v>
      </c>
      <c r="E89" s="17">
        <f t="shared" si="7"/>
        <v>27.072000000000003</v>
      </c>
      <c r="F89" s="18">
        <f t="shared" si="1"/>
        <v>1488.96</v>
      </c>
      <c r="G89" s="19">
        <f t="shared" si="6"/>
        <v>28.200000000000045</v>
      </c>
      <c r="H89" s="20">
        <f t="shared" si="4"/>
        <v>1.1280000000000427</v>
      </c>
    </row>
    <row r="90" spans="1:8" ht="13" x14ac:dyDescent="0.15">
      <c r="A90" s="12">
        <v>45631</v>
      </c>
      <c r="B90" s="13" t="s">
        <v>5</v>
      </c>
      <c r="C90" s="14">
        <v>0.95760000000000001</v>
      </c>
      <c r="D90" s="16">
        <v>564</v>
      </c>
      <c r="E90" s="17">
        <f t="shared" si="7"/>
        <v>23.913599999999974</v>
      </c>
      <c r="F90" s="18">
        <f t="shared" si="1"/>
        <v>1315.2479999999987</v>
      </c>
      <c r="G90" s="19">
        <f t="shared" si="6"/>
        <v>28.200000000000045</v>
      </c>
      <c r="H90" s="20">
        <f t="shared" si="4"/>
        <v>4.2864000000000715</v>
      </c>
    </row>
    <row r="91" spans="1:8" ht="13" x14ac:dyDescent="0.15">
      <c r="A91" s="12">
        <v>45632</v>
      </c>
      <c r="B91" s="13" t="s">
        <v>6</v>
      </c>
      <c r="C91" s="14">
        <v>0.92630000000000001</v>
      </c>
      <c r="D91" s="16">
        <v>564</v>
      </c>
      <c r="E91" s="17">
        <f t="shared" si="7"/>
        <v>41.566799999999944</v>
      </c>
      <c r="F91" s="18">
        <f t="shared" si="1"/>
        <v>2286.1739999999968</v>
      </c>
      <c r="G91" s="19">
        <f t="shared" si="6"/>
        <v>28.200000000000045</v>
      </c>
      <c r="H91" s="20">
        <f t="shared" si="4"/>
        <v>-13.366799999999898</v>
      </c>
    </row>
    <row r="92" spans="1:8" ht="13" x14ac:dyDescent="0.15">
      <c r="A92" s="12">
        <v>45635</v>
      </c>
      <c r="B92" s="13" t="s">
        <v>2</v>
      </c>
      <c r="C92" s="14">
        <v>0.90300000000000002</v>
      </c>
      <c r="D92" s="16">
        <v>566</v>
      </c>
      <c r="E92" s="17">
        <f t="shared" si="7"/>
        <v>54.901999999999987</v>
      </c>
      <c r="F92" s="18">
        <f t="shared" si="1"/>
        <v>3019.6099999999992</v>
      </c>
      <c r="G92" s="19">
        <f t="shared" si="6"/>
        <v>28.300000000000068</v>
      </c>
      <c r="H92" s="20">
        <f t="shared" si="4"/>
        <v>-26.601999999999919</v>
      </c>
    </row>
    <row r="93" spans="1:8" ht="13" x14ac:dyDescent="0.15">
      <c r="A93" s="12">
        <v>45636</v>
      </c>
      <c r="B93" s="13" t="s">
        <v>3</v>
      </c>
      <c r="C93" s="14">
        <v>0.90859999999999996</v>
      </c>
      <c r="D93" s="16">
        <v>567</v>
      </c>
      <c r="E93" s="17">
        <f t="shared" si="7"/>
        <v>51.823800000000006</v>
      </c>
      <c r="F93" s="18">
        <f t="shared" si="1"/>
        <v>2850.3090000000002</v>
      </c>
      <c r="G93" s="19">
        <f t="shared" si="6"/>
        <v>28.350000000000023</v>
      </c>
      <c r="H93" s="20">
        <f t="shared" si="4"/>
        <v>-23.473799999999983</v>
      </c>
    </row>
    <row r="94" spans="1:8" ht="13" x14ac:dyDescent="0.15">
      <c r="A94" s="12">
        <v>45637</v>
      </c>
      <c r="B94" s="13" t="s">
        <v>4</v>
      </c>
      <c r="C94" s="14">
        <v>0.91769999999999996</v>
      </c>
      <c r="D94" s="16">
        <v>568</v>
      </c>
      <c r="E94" s="17">
        <f t="shared" si="7"/>
        <v>46.746399999999994</v>
      </c>
      <c r="F94" s="18">
        <f t="shared" si="1"/>
        <v>2571.0519999999997</v>
      </c>
      <c r="G94" s="19">
        <f t="shared" si="6"/>
        <v>28.399999999999977</v>
      </c>
      <c r="H94" s="20">
        <f t="shared" si="4"/>
        <v>-18.346400000000017</v>
      </c>
    </row>
    <row r="95" spans="1:8" ht="13" x14ac:dyDescent="0.15">
      <c r="A95" s="12">
        <v>45638</v>
      </c>
      <c r="B95" s="13" t="s">
        <v>5</v>
      </c>
      <c r="C95" s="14">
        <v>0.91659999999999997</v>
      </c>
      <c r="D95" s="16">
        <v>568</v>
      </c>
      <c r="E95" s="17">
        <f t="shared" si="7"/>
        <v>47.371200000000044</v>
      </c>
      <c r="F95" s="18">
        <f t="shared" si="1"/>
        <v>2605.4160000000024</v>
      </c>
      <c r="G95" s="19">
        <f t="shared" si="6"/>
        <v>28.399999999999977</v>
      </c>
      <c r="H95" s="20">
        <f t="shared" si="4"/>
        <v>-18.971200000000067</v>
      </c>
    </row>
    <row r="96" spans="1:8" ht="13" x14ac:dyDescent="0.15">
      <c r="A96" s="12">
        <v>45639</v>
      </c>
      <c r="B96" s="13" t="s">
        <v>6</v>
      </c>
      <c r="C96" s="14">
        <v>0.89659999999999995</v>
      </c>
      <c r="D96" s="16">
        <v>568</v>
      </c>
      <c r="E96" s="17">
        <f t="shared" si="7"/>
        <v>58.731200000000001</v>
      </c>
      <c r="F96" s="18">
        <f t="shared" si="1"/>
        <v>3230.2159999999999</v>
      </c>
      <c r="G96" s="19">
        <f t="shared" si="6"/>
        <v>28.399999999999977</v>
      </c>
      <c r="H96" s="20">
        <f t="shared" si="4"/>
        <v>-30.331200000000024</v>
      </c>
    </row>
    <row r="97" spans="1:8" ht="13" x14ac:dyDescent="0.15">
      <c r="A97" s="12">
        <v>45642</v>
      </c>
      <c r="B97" s="13" t="s">
        <v>2</v>
      </c>
      <c r="C97" s="14">
        <v>0.89070000000000005</v>
      </c>
      <c r="D97" s="16">
        <v>567</v>
      </c>
      <c r="E97" s="17">
        <f t="shared" si="7"/>
        <v>61.973099999999988</v>
      </c>
      <c r="F97" s="18">
        <f t="shared" si="1"/>
        <v>3408.5204999999992</v>
      </c>
      <c r="G97" s="19">
        <f t="shared" si="6"/>
        <v>28.350000000000023</v>
      </c>
      <c r="H97" s="20">
        <f t="shared" si="4"/>
        <v>-33.623099999999965</v>
      </c>
    </row>
    <row r="98" spans="1:8" ht="13" x14ac:dyDescent="0.15">
      <c r="A98" s="12">
        <v>45643</v>
      </c>
      <c r="B98" s="13" t="s">
        <v>3</v>
      </c>
      <c r="C98" s="14">
        <v>0.91080000000000005</v>
      </c>
      <c r="D98" s="16">
        <v>567</v>
      </c>
      <c r="E98" s="17">
        <f t="shared" si="7"/>
        <v>50.576399999999921</v>
      </c>
      <c r="F98" s="18">
        <f t="shared" si="1"/>
        <v>2781.7019999999957</v>
      </c>
      <c r="G98" s="19">
        <f t="shared" si="6"/>
        <v>28.350000000000023</v>
      </c>
      <c r="H98" s="20">
        <f t="shared" si="4"/>
        <v>-22.226399999999899</v>
      </c>
    </row>
    <row r="99" spans="1:8" ht="13" x14ac:dyDescent="0.15">
      <c r="A99" s="12">
        <v>45644</v>
      </c>
      <c r="B99" s="13" t="s">
        <v>4</v>
      </c>
      <c r="C99" s="14">
        <v>0.91520000000000001</v>
      </c>
      <c r="D99" s="16">
        <v>566</v>
      </c>
      <c r="E99" s="17">
        <f t="shared" si="7"/>
        <v>47.996800000000007</v>
      </c>
      <c r="F99" s="18">
        <f t="shared" si="1"/>
        <v>2639.8240000000005</v>
      </c>
      <c r="G99" s="19">
        <f t="shared" si="6"/>
        <v>28.300000000000068</v>
      </c>
      <c r="H99" s="20">
        <f t="shared" si="4"/>
        <v>-19.696799999999939</v>
      </c>
    </row>
    <row r="100" spans="1:8" ht="13" x14ac:dyDescent="0.15">
      <c r="A100" s="12">
        <v>45645</v>
      </c>
      <c r="B100" s="13" t="s">
        <v>5</v>
      </c>
      <c r="C100" s="14">
        <v>0.93640000000000001</v>
      </c>
      <c r="D100" s="16">
        <v>566</v>
      </c>
      <c r="E100" s="17">
        <f t="shared" si="7"/>
        <v>35.997600000000034</v>
      </c>
      <c r="F100" s="18">
        <f t="shared" si="1"/>
        <v>1979.8680000000018</v>
      </c>
      <c r="G100" s="19">
        <f t="shared" si="6"/>
        <v>28.300000000000068</v>
      </c>
      <c r="H100" s="20">
        <f t="shared" si="4"/>
        <v>-7.6975999999999658</v>
      </c>
    </row>
    <row r="101" spans="1:8" ht="13" x14ac:dyDescent="0.15">
      <c r="A101" s="12">
        <v>45646</v>
      </c>
      <c r="B101" s="13" t="s">
        <v>6</v>
      </c>
      <c r="C101" s="14">
        <v>0.66739999999999999</v>
      </c>
      <c r="D101" s="16">
        <v>566</v>
      </c>
      <c r="E101" s="17">
        <f t="shared" si="7"/>
        <v>188.2516</v>
      </c>
      <c r="F101" s="18">
        <f t="shared" si="1"/>
        <v>10353.838</v>
      </c>
      <c r="G101" s="19">
        <f t="shared" si="6"/>
        <v>28.300000000000068</v>
      </c>
      <c r="H101" s="20">
        <f t="shared" si="4"/>
        <v>-159.95159999999993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7"/>
        <v>0</v>
      </c>
      <c r="F102" s="18">
        <f t="shared" si="1"/>
        <v>0</v>
      </c>
      <c r="G102" s="19">
        <f t="shared" si="6"/>
        <v>0</v>
      </c>
      <c r="H102" s="20">
        <f t="shared" si="4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ref="E103:E134" si="8">D103-(C103*D103)</f>
        <v>0</v>
      </c>
      <c r="F103" s="18">
        <f t="shared" si="1"/>
        <v>0</v>
      </c>
      <c r="G103" s="19">
        <f t="shared" si="6"/>
        <v>0</v>
      </c>
      <c r="H103" s="20">
        <f t="shared" si="4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8"/>
        <v>0</v>
      </c>
      <c r="F104" s="18">
        <f t="shared" si="1"/>
        <v>0</v>
      </c>
      <c r="G104" s="19">
        <f t="shared" si="6"/>
        <v>0</v>
      </c>
      <c r="H104" s="20">
        <f t="shared" si="4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8"/>
        <v>0</v>
      </c>
      <c r="F105" s="18">
        <f t="shared" si="1"/>
        <v>0</v>
      </c>
      <c r="G105" s="19">
        <f t="shared" si="6"/>
        <v>0</v>
      </c>
      <c r="H105" s="20">
        <f t="shared" si="4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8"/>
        <v>0</v>
      </c>
      <c r="F106" s="18">
        <f t="shared" si="1"/>
        <v>0</v>
      </c>
      <c r="G106" s="19">
        <f t="shared" si="6"/>
        <v>0</v>
      </c>
      <c r="H106" s="20">
        <f t="shared" si="4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8"/>
        <v>0</v>
      </c>
      <c r="F107" s="18">
        <f t="shared" si="1"/>
        <v>0</v>
      </c>
      <c r="G107" s="19">
        <f t="shared" si="6"/>
        <v>0</v>
      </c>
      <c r="H107" s="20">
        <f t="shared" si="4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8"/>
        <v>0</v>
      </c>
      <c r="F108" s="18">
        <f t="shared" si="1"/>
        <v>0</v>
      </c>
      <c r="G108" s="19">
        <f t="shared" si="6"/>
        <v>0</v>
      </c>
      <c r="H108" s="20">
        <f t="shared" si="4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8"/>
        <v>0</v>
      </c>
      <c r="F109" s="18">
        <f t="shared" si="1"/>
        <v>0</v>
      </c>
      <c r="G109" s="19">
        <f t="shared" si="6"/>
        <v>0</v>
      </c>
      <c r="H109" s="20">
        <f t="shared" si="4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8"/>
        <v>0</v>
      </c>
      <c r="F110" s="18">
        <f t="shared" si="1"/>
        <v>0</v>
      </c>
      <c r="G110" s="19">
        <f t="shared" si="6"/>
        <v>0</v>
      </c>
      <c r="H110" s="20">
        <f t="shared" si="4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8"/>
        <v>0</v>
      </c>
      <c r="F111" s="18">
        <f t="shared" si="1"/>
        <v>0</v>
      </c>
      <c r="G111" s="19">
        <f t="shared" si="6"/>
        <v>0</v>
      </c>
      <c r="H111" s="20">
        <f t="shared" si="4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8"/>
        <v>0</v>
      </c>
      <c r="F112" s="18">
        <f t="shared" si="1"/>
        <v>0</v>
      </c>
      <c r="G112" s="19">
        <f t="shared" si="6"/>
        <v>0</v>
      </c>
      <c r="H112" s="20">
        <f t="shared" si="4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8"/>
        <v>0</v>
      </c>
      <c r="F113" s="18">
        <f t="shared" si="1"/>
        <v>0</v>
      </c>
      <c r="G113" s="19">
        <f t="shared" si="6"/>
        <v>0</v>
      </c>
      <c r="H113" s="20">
        <f t="shared" si="4"/>
        <v>0</v>
      </c>
    </row>
    <row r="114" spans="1:8" ht="13" x14ac:dyDescent="0.15">
      <c r="A114" s="12">
        <v>45665</v>
      </c>
      <c r="B114" s="13" t="s">
        <v>4</v>
      </c>
      <c r="C114" s="14">
        <v>0.90749999999999997</v>
      </c>
      <c r="D114" s="16">
        <v>567</v>
      </c>
      <c r="E114" s="17">
        <f t="shared" si="8"/>
        <v>52.447499999999991</v>
      </c>
      <c r="F114" s="18">
        <f t="shared" si="1"/>
        <v>2884.6124999999993</v>
      </c>
      <c r="G114" s="19">
        <f t="shared" si="6"/>
        <v>28.350000000000023</v>
      </c>
      <c r="H114" s="20">
        <f t="shared" si="4"/>
        <v>-24.097499999999968</v>
      </c>
    </row>
    <row r="115" spans="1:8" ht="13" x14ac:dyDescent="0.15">
      <c r="A115" s="12">
        <v>45666</v>
      </c>
      <c r="B115" s="13" t="s">
        <v>5</v>
      </c>
      <c r="C115" s="14">
        <v>0.89880000000000004</v>
      </c>
      <c r="D115" s="16">
        <v>568</v>
      </c>
      <c r="E115" s="17">
        <f t="shared" si="8"/>
        <v>57.481599999999958</v>
      </c>
      <c r="F115" s="18">
        <f t="shared" si="1"/>
        <v>3161.4879999999976</v>
      </c>
      <c r="G115" s="19">
        <f t="shared" si="6"/>
        <v>28.399999999999977</v>
      </c>
      <c r="H115" s="20">
        <f t="shared" si="4"/>
        <v>-29.08159999999998</v>
      </c>
    </row>
    <row r="116" spans="1:8" ht="13" x14ac:dyDescent="0.15">
      <c r="A116" s="12">
        <v>45667</v>
      </c>
      <c r="B116" s="13" t="s">
        <v>6</v>
      </c>
      <c r="C116" s="14">
        <v>0.88429999999999997</v>
      </c>
      <c r="D116" s="16">
        <v>568</v>
      </c>
      <c r="E116" s="17">
        <f t="shared" si="8"/>
        <v>65.717600000000004</v>
      </c>
      <c r="F116" s="18">
        <f t="shared" si="1"/>
        <v>3614.4680000000003</v>
      </c>
      <c r="G116" s="19">
        <f t="shared" si="6"/>
        <v>28.399999999999977</v>
      </c>
      <c r="H116" s="20">
        <f t="shared" si="4"/>
        <v>-37.317600000000027</v>
      </c>
    </row>
    <row r="117" spans="1:8" ht="13" x14ac:dyDescent="0.15">
      <c r="A117" s="12">
        <v>45670</v>
      </c>
      <c r="B117" s="13" t="s">
        <v>2</v>
      </c>
      <c r="C117" s="14">
        <v>0.94799999999999995</v>
      </c>
      <c r="D117" s="16">
        <v>571</v>
      </c>
      <c r="E117" s="17">
        <f t="shared" si="8"/>
        <v>29.692000000000007</v>
      </c>
      <c r="F117" s="18">
        <f t="shared" si="1"/>
        <v>1633.0600000000004</v>
      </c>
      <c r="G117" s="19">
        <f t="shared" si="6"/>
        <v>28.550000000000068</v>
      </c>
      <c r="H117" s="20">
        <f t="shared" si="4"/>
        <v>-1.1419999999999391</v>
      </c>
    </row>
    <row r="118" spans="1:8" ht="13" x14ac:dyDescent="0.15">
      <c r="A118" s="12">
        <v>45671</v>
      </c>
      <c r="B118" s="13" t="s">
        <v>3</v>
      </c>
      <c r="C118" s="14">
        <v>0.95240000000000002</v>
      </c>
      <c r="D118" s="16">
        <v>572</v>
      </c>
      <c r="E118" s="17">
        <f t="shared" si="8"/>
        <v>27.227200000000039</v>
      </c>
      <c r="F118" s="18">
        <f t="shared" si="1"/>
        <v>1497.4960000000021</v>
      </c>
      <c r="G118" s="19">
        <f t="shared" si="6"/>
        <v>28.600000000000023</v>
      </c>
      <c r="H118" s="20">
        <f t="shared" si="4"/>
        <v>1.3727999999999838</v>
      </c>
    </row>
    <row r="119" spans="1:8" ht="13" x14ac:dyDescent="0.15">
      <c r="A119" s="12">
        <v>45672</v>
      </c>
      <c r="B119" s="13" t="s">
        <v>4</v>
      </c>
      <c r="C119" s="14">
        <v>0.9446</v>
      </c>
      <c r="D119" s="16">
        <v>571</v>
      </c>
      <c r="E119" s="17">
        <f t="shared" si="8"/>
        <v>31.633400000000051</v>
      </c>
      <c r="F119" s="18">
        <f t="shared" si="1"/>
        <v>1739.8370000000027</v>
      </c>
      <c r="G119" s="19">
        <f t="shared" si="6"/>
        <v>28.550000000000068</v>
      </c>
      <c r="H119" s="20">
        <f t="shared" si="4"/>
        <v>-3.0833999999999833</v>
      </c>
    </row>
    <row r="120" spans="1:8" ht="13" x14ac:dyDescent="0.15">
      <c r="A120" s="12">
        <v>45673</v>
      </c>
      <c r="B120" s="13" t="s">
        <v>5</v>
      </c>
      <c r="C120" s="14">
        <v>0.93469999999999998</v>
      </c>
      <c r="D120" s="16">
        <v>572</v>
      </c>
      <c r="E120" s="17">
        <f t="shared" si="8"/>
        <v>37.351599999999962</v>
      </c>
      <c r="F120" s="18">
        <f t="shared" si="1"/>
        <v>2054.3379999999979</v>
      </c>
      <c r="G120" s="19">
        <f t="shared" si="6"/>
        <v>28.600000000000023</v>
      </c>
      <c r="H120" s="20">
        <f t="shared" si="4"/>
        <v>-8.7515999999999394</v>
      </c>
    </row>
    <row r="121" spans="1:8" ht="13" x14ac:dyDescent="0.15">
      <c r="A121" s="12">
        <v>45674</v>
      </c>
      <c r="B121" s="13" t="s">
        <v>6</v>
      </c>
      <c r="C121" s="14">
        <v>0.93020000000000003</v>
      </c>
      <c r="D121" s="16">
        <v>571</v>
      </c>
      <c r="E121" s="17">
        <f t="shared" si="8"/>
        <v>39.855799999999931</v>
      </c>
      <c r="F121" s="18">
        <f t="shared" si="1"/>
        <v>2192.0689999999963</v>
      </c>
      <c r="G121" s="19">
        <f t="shared" si="6"/>
        <v>28.550000000000068</v>
      </c>
      <c r="H121" s="20">
        <f t="shared" si="4"/>
        <v>-11.305799999999863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8"/>
        <v>0</v>
      </c>
      <c r="F122" s="18">
        <f t="shared" si="1"/>
        <v>0</v>
      </c>
      <c r="G122" s="19">
        <f t="shared" si="6"/>
        <v>0</v>
      </c>
      <c r="H122" s="20">
        <f t="shared" si="4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8"/>
        <v>0</v>
      </c>
      <c r="F123" s="18">
        <f t="shared" si="1"/>
        <v>0</v>
      </c>
      <c r="G123" s="19">
        <f t="shared" si="6"/>
        <v>0</v>
      </c>
      <c r="H123" s="20">
        <f t="shared" si="4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8"/>
        <v>0</v>
      </c>
      <c r="F124" s="18">
        <f t="shared" si="1"/>
        <v>0</v>
      </c>
      <c r="G124" s="19">
        <f t="shared" si="6"/>
        <v>0</v>
      </c>
      <c r="H124" s="20">
        <f t="shared" si="4"/>
        <v>0</v>
      </c>
    </row>
    <row r="125" spans="1:8" ht="13" x14ac:dyDescent="0.15">
      <c r="A125" s="12">
        <v>45680</v>
      </c>
      <c r="B125" s="13" t="s">
        <v>5</v>
      </c>
      <c r="C125" s="14">
        <v>0.81540000000000001</v>
      </c>
      <c r="D125" s="16">
        <v>571</v>
      </c>
      <c r="E125" s="17">
        <f t="shared" si="8"/>
        <v>105.40659999999997</v>
      </c>
      <c r="F125" s="18">
        <f t="shared" si="1"/>
        <v>5797.3629999999985</v>
      </c>
      <c r="G125" s="19">
        <f t="shared" si="6"/>
        <v>28.550000000000068</v>
      </c>
      <c r="H125" s="20">
        <f t="shared" si="4"/>
        <v>-76.856599999999901</v>
      </c>
    </row>
    <row r="126" spans="1:8" ht="13" x14ac:dyDescent="0.15">
      <c r="A126" s="12">
        <v>45681</v>
      </c>
      <c r="B126" s="13" t="s">
        <v>6</v>
      </c>
      <c r="C126" s="14">
        <v>0.89470000000000005</v>
      </c>
      <c r="D126" s="16">
        <v>571</v>
      </c>
      <c r="E126" s="17">
        <f t="shared" si="8"/>
        <v>60.126299999999958</v>
      </c>
      <c r="F126" s="18">
        <f t="shared" si="1"/>
        <v>3306.9464999999977</v>
      </c>
      <c r="G126" s="19">
        <f t="shared" si="6"/>
        <v>28.550000000000068</v>
      </c>
      <c r="H126" s="20">
        <f t="shared" si="4"/>
        <v>-31.57629999999989</v>
      </c>
    </row>
    <row r="127" spans="1:8" ht="13" x14ac:dyDescent="0.15">
      <c r="A127" s="12">
        <v>45684</v>
      </c>
      <c r="B127" s="13" t="s">
        <v>2</v>
      </c>
      <c r="C127" s="14">
        <v>0.93659999999999999</v>
      </c>
      <c r="D127" s="16">
        <v>569</v>
      </c>
      <c r="E127" s="17">
        <f t="shared" si="8"/>
        <v>36.074600000000032</v>
      </c>
      <c r="F127" s="18">
        <f t="shared" si="1"/>
        <v>1984.1030000000019</v>
      </c>
      <c r="G127" s="19">
        <f t="shared" si="6"/>
        <v>28.450000000000045</v>
      </c>
      <c r="H127" s="20">
        <f t="shared" si="4"/>
        <v>-7.6245999999999867</v>
      </c>
    </row>
    <row r="128" spans="1:8" ht="13" x14ac:dyDescent="0.15">
      <c r="A128" s="12">
        <v>45685</v>
      </c>
      <c r="B128" s="13" t="s">
        <v>3</v>
      </c>
      <c r="C128" s="14">
        <v>0.92879999999999996</v>
      </c>
      <c r="D128" s="16">
        <v>569</v>
      </c>
      <c r="E128" s="17">
        <f t="shared" si="8"/>
        <v>40.51279999999997</v>
      </c>
      <c r="F128" s="18">
        <f t="shared" si="1"/>
        <v>2228.2039999999984</v>
      </c>
      <c r="G128" s="19">
        <f t="shared" si="6"/>
        <v>28.450000000000045</v>
      </c>
      <c r="H128" s="20">
        <f t="shared" si="4"/>
        <v>-12.062799999999925</v>
      </c>
    </row>
    <row r="129" spans="1:8" ht="13" x14ac:dyDescent="0.15">
      <c r="A129" s="12">
        <v>45686</v>
      </c>
      <c r="B129" s="13" t="s">
        <v>4</v>
      </c>
      <c r="C129" s="14">
        <v>0.90529999999999999</v>
      </c>
      <c r="D129" s="16">
        <v>569</v>
      </c>
      <c r="E129" s="17">
        <f t="shared" si="8"/>
        <v>53.884300000000053</v>
      </c>
      <c r="F129" s="18">
        <f t="shared" si="1"/>
        <v>2963.6365000000028</v>
      </c>
      <c r="G129" s="19">
        <f t="shared" si="6"/>
        <v>28.450000000000045</v>
      </c>
      <c r="H129" s="20">
        <f t="shared" si="4"/>
        <v>-25.434300000000007</v>
      </c>
    </row>
    <row r="130" spans="1:8" ht="13" x14ac:dyDescent="0.15">
      <c r="A130" s="12">
        <v>45687</v>
      </c>
      <c r="B130" s="13" t="s">
        <v>5</v>
      </c>
      <c r="C130" s="14">
        <v>0.94099999999999995</v>
      </c>
      <c r="D130" s="16">
        <v>569</v>
      </c>
      <c r="E130" s="17">
        <f t="shared" si="8"/>
        <v>33.571000000000026</v>
      </c>
      <c r="F130" s="18">
        <f t="shared" si="1"/>
        <v>1846.4050000000016</v>
      </c>
      <c r="G130" s="19">
        <f t="shared" si="6"/>
        <v>28.450000000000045</v>
      </c>
      <c r="H130" s="20">
        <f t="shared" si="4"/>
        <v>-5.1209999999999809</v>
      </c>
    </row>
    <row r="131" spans="1:8" ht="13" x14ac:dyDescent="0.15">
      <c r="A131" s="12">
        <v>45688</v>
      </c>
      <c r="B131" s="13" t="s">
        <v>6</v>
      </c>
      <c r="C131" s="14">
        <v>0.92630000000000001</v>
      </c>
      <c r="D131" s="16">
        <v>568</v>
      </c>
      <c r="E131" s="17">
        <f t="shared" si="8"/>
        <v>41.861599999999953</v>
      </c>
      <c r="F131" s="18">
        <f t="shared" si="1"/>
        <v>2302.3879999999972</v>
      </c>
      <c r="G131" s="19">
        <f t="shared" si="6"/>
        <v>28.399999999999977</v>
      </c>
      <c r="H131" s="20">
        <f t="shared" si="4"/>
        <v>-13.461599999999976</v>
      </c>
    </row>
    <row r="132" spans="1:8" ht="13" x14ac:dyDescent="0.15">
      <c r="A132" s="12">
        <v>45691</v>
      </c>
      <c r="B132" s="13" t="s">
        <v>2</v>
      </c>
      <c r="C132" s="14">
        <v>0.77429999999999999</v>
      </c>
      <c r="D132" s="16">
        <v>567</v>
      </c>
      <c r="E132" s="17">
        <f t="shared" si="8"/>
        <v>127.97190000000001</v>
      </c>
      <c r="F132" s="18">
        <f t="shared" si="1"/>
        <v>7038.4544999999998</v>
      </c>
      <c r="G132" s="19">
        <f t="shared" si="6"/>
        <v>28.350000000000023</v>
      </c>
      <c r="H132" s="20">
        <f t="shared" si="4"/>
        <v>-99.621899999999982</v>
      </c>
    </row>
    <row r="133" spans="1:8" ht="13" x14ac:dyDescent="0.15">
      <c r="A133" s="12">
        <v>45692</v>
      </c>
      <c r="B133" s="13" t="s">
        <v>3</v>
      </c>
      <c r="C133" s="14">
        <v>0.94420000000000004</v>
      </c>
      <c r="D133" s="16">
        <v>568</v>
      </c>
      <c r="E133" s="17">
        <f t="shared" si="8"/>
        <v>31.694399999999973</v>
      </c>
      <c r="F133" s="18">
        <f t="shared" si="1"/>
        <v>1743.1919999999986</v>
      </c>
      <c r="G133" s="19">
        <f t="shared" si="6"/>
        <v>28.399999999999977</v>
      </c>
      <c r="H133" s="20">
        <f t="shared" si="4"/>
        <v>-3.294399999999996</v>
      </c>
    </row>
    <row r="134" spans="1:8" ht="13" x14ac:dyDescent="0.15">
      <c r="A134" s="12">
        <v>45693</v>
      </c>
      <c r="B134" s="13" t="s">
        <v>4</v>
      </c>
      <c r="C134" s="14">
        <v>0.94310000000000005</v>
      </c>
      <c r="D134" s="16">
        <v>568</v>
      </c>
      <c r="E134" s="17">
        <f t="shared" si="8"/>
        <v>32.319200000000023</v>
      </c>
      <c r="F134" s="18">
        <f t="shared" si="1"/>
        <v>1777.5560000000014</v>
      </c>
      <c r="G134" s="19">
        <f t="shared" si="6"/>
        <v>28.399999999999977</v>
      </c>
      <c r="H134" s="20">
        <f t="shared" si="4"/>
        <v>-3.9192000000000462</v>
      </c>
    </row>
    <row r="135" spans="1:8" ht="13" x14ac:dyDescent="0.15">
      <c r="A135" s="12">
        <v>45694</v>
      </c>
      <c r="B135" s="13" t="s">
        <v>5</v>
      </c>
      <c r="C135" s="14">
        <v>0.94979999999999998</v>
      </c>
      <c r="D135" s="16">
        <v>570</v>
      </c>
      <c r="E135" s="17">
        <f t="shared" ref="E135:E181" si="9">D135-(C135*D135)</f>
        <v>28.614000000000033</v>
      </c>
      <c r="F135" s="18">
        <f t="shared" si="1"/>
        <v>1573.7700000000018</v>
      </c>
      <c r="G135" s="19">
        <f t="shared" si="6"/>
        <v>28.5</v>
      </c>
      <c r="H135" s="20">
        <f t="shared" si="4"/>
        <v>-0.11400000000003274</v>
      </c>
    </row>
    <row r="136" spans="1:8" ht="13" x14ac:dyDescent="0.15">
      <c r="A136" s="12">
        <v>45695</v>
      </c>
      <c r="B136" s="13" t="s">
        <v>6</v>
      </c>
      <c r="C136" s="14">
        <v>0.91410000000000002</v>
      </c>
      <c r="D136" s="16">
        <v>570</v>
      </c>
      <c r="E136" s="17">
        <f t="shared" si="9"/>
        <v>48.962999999999965</v>
      </c>
      <c r="F136" s="18">
        <f t="shared" si="1"/>
        <v>2692.9649999999983</v>
      </c>
      <c r="G136" s="19">
        <f t="shared" si="6"/>
        <v>28.5</v>
      </c>
      <c r="H136" s="20">
        <f t="shared" si="4"/>
        <v>-20.462999999999965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9"/>
        <v>0</v>
      </c>
      <c r="F137" s="18">
        <f t="shared" si="1"/>
        <v>0</v>
      </c>
      <c r="G137" s="19">
        <f t="shared" si="6"/>
        <v>0</v>
      </c>
      <c r="H137" s="20">
        <f t="shared" si="4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9"/>
        <v>0</v>
      </c>
      <c r="F138" s="18">
        <f t="shared" si="1"/>
        <v>0</v>
      </c>
      <c r="G138" s="19">
        <f t="shared" si="6"/>
        <v>0</v>
      </c>
      <c r="H138" s="20">
        <f t="shared" si="4"/>
        <v>0</v>
      </c>
    </row>
    <row r="139" spans="1:8" ht="13" x14ac:dyDescent="0.15">
      <c r="A139" s="12">
        <v>45700</v>
      </c>
      <c r="B139" s="13" t="s">
        <v>4</v>
      </c>
      <c r="C139" s="14">
        <v>0.93530000000000002</v>
      </c>
      <c r="D139" s="16">
        <v>570</v>
      </c>
      <c r="E139" s="17">
        <f t="shared" si="9"/>
        <v>36.879000000000019</v>
      </c>
      <c r="F139" s="18">
        <f t="shared" si="1"/>
        <v>2028.3450000000012</v>
      </c>
      <c r="G139" s="19">
        <f t="shared" si="6"/>
        <v>28.5</v>
      </c>
      <c r="H139" s="20">
        <f t="shared" si="4"/>
        <v>-8.3790000000000191</v>
      </c>
    </row>
    <row r="140" spans="1:8" ht="13" x14ac:dyDescent="0.15">
      <c r="A140" s="12">
        <v>45701</v>
      </c>
      <c r="B140" s="13" t="s">
        <v>5</v>
      </c>
      <c r="C140" s="14">
        <v>0.92969999999999997</v>
      </c>
      <c r="D140" s="16">
        <v>570</v>
      </c>
      <c r="E140" s="17">
        <f t="shared" si="9"/>
        <v>40.071000000000026</v>
      </c>
      <c r="F140" s="18">
        <f t="shared" si="1"/>
        <v>2203.9050000000016</v>
      </c>
      <c r="G140" s="19">
        <f t="shared" si="6"/>
        <v>28.5</v>
      </c>
      <c r="H140" s="20">
        <f t="shared" si="4"/>
        <v>-11.571000000000026</v>
      </c>
    </row>
    <row r="141" spans="1:8" ht="13" x14ac:dyDescent="0.15">
      <c r="A141" s="12">
        <v>45702</v>
      </c>
      <c r="B141" s="13" t="s">
        <v>6</v>
      </c>
      <c r="C141" s="14">
        <v>0.93189999999999995</v>
      </c>
      <c r="D141" s="16">
        <v>570</v>
      </c>
      <c r="E141" s="17">
        <f t="shared" si="9"/>
        <v>38.817000000000007</v>
      </c>
      <c r="F141" s="18">
        <f t="shared" si="1"/>
        <v>2134.9350000000004</v>
      </c>
      <c r="G141" s="19">
        <f t="shared" si="6"/>
        <v>28.5</v>
      </c>
      <c r="H141" s="20">
        <f t="shared" si="4"/>
        <v>-10.317000000000007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9"/>
        <v>0</v>
      </c>
      <c r="F142" s="18">
        <f t="shared" si="1"/>
        <v>0</v>
      </c>
      <c r="G142" s="19">
        <f t="shared" si="6"/>
        <v>0</v>
      </c>
      <c r="H142" s="20">
        <f t="shared" si="4"/>
        <v>0</v>
      </c>
    </row>
    <row r="143" spans="1:8" ht="13" x14ac:dyDescent="0.15">
      <c r="A143" s="12">
        <v>45706</v>
      </c>
      <c r="B143" s="13" t="s">
        <v>3</v>
      </c>
      <c r="C143" s="14">
        <v>0.92400000000000004</v>
      </c>
      <c r="D143" s="16">
        <v>570</v>
      </c>
      <c r="E143" s="17">
        <f t="shared" si="9"/>
        <v>43.319999999999936</v>
      </c>
      <c r="F143" s="18">
        <f t="shared" si="1"/>
        <v>2382.5999999999967</v>
      </c>
      <c r="G143" s="19">
        <f t="shared" si="6"/>
        <v>28.5</v>
      </c>
      <c r="H143" s="20">
        <f t="shared" si="4"/>
        <v>-14.819999999999936</v>
      </c>
    </row>
    <row r="144" spans="1:8" ht="13" x14ac:dyDescent="0.15">
      <c r="A144" s="12">
        <v>45707</v>
      </c>
      <c r="B144" s="13" t="s">
        <v>4</v>
      </c>
      <c r="C144" s="14">
        <v>0.91959999999999997</v>
      </c>
      <c r="D144" s="16">
        <v>571</v>
      </c>
      <c r="E144" s="17">
        <f t="shared" si="9"/>
        <v>45.908400000000029</v>
      </c>
      <c r="F144" s="18">
        <f t="shared" si="1"/>
        <v>2524.9620000000014</v>
      </c>
      <c r="G144" s="19">
        <f t="shared" si="6"/>
        <v>28.550000000000068</v>
      </c>
      <c r="H144" s="20">
        <f t="shared" si="4"/>
        <v>-17.358399999999961</v>
      </c>
    </row>
    <row r="145" spans="1:8" ht="13" x14ac:dyDescent="0.15">
      <c r="A145" s="12">
        <v>45708</v>
      </c>
      <c r="B145" s="13" t="s">
        <v>5</v>
      </c>
      <c r="C145" s="14">
        <v>0.8538</v>
      </c>
      <c r="D145" s="16">
        <v>571</v>
      </c>
      <c r="E145" s="17">
        <f t="shared" si="9"/>
        <v>83.480200000000025</v>
      </c>
      <c r="F145" s="18">
        <f t="shared" si="1"/>
        <v>4591.411000000001</v>
      </c>
      <c r="G145" s="19">
        <f t="shared" si="6"/>
        <v>28.550000000000068</v>
      </c>
      <c r="H145" s="20">
        <f t="shared" si="4"/>
        <v>-54.930199999999957</v>
      </c>
    </row>
    <row r="146" spans="1:8" ht="13" x14ac:dyDescent="0.15">
      <c r="A146" s="12">
        <v>45709</v>
      </c>
      <c r="B146" s="13" t="s">
        <v>6</v>
      </c>
      <c r="C146" s="14">
        <v>0.90400000000000003</v>
      </c>
      <c r="D146" s="16">
        <v>571</v>
      </c>
      <c r="E146" s="17">
        <f t="shared" si="9"/>
        <v>54.816000000000031</v>
      </c>
      <c r="F146" s="18">
        <f t="shared" si="1"/>
        <v>3014.8800000000019</v>
      </c>
      <c r="G146" s="19">
        <f t="shared" si="6"/>
        <v>28.550000000000068</v>
      </c>
      <c r="H146" s="20">
        <f t="shared" si="4"/>
        <v>-26.265999999999963</v>
      </c>
    </row>
    <row r="147" spans="1:8" ht="13" x14ac:dyDescent="0.15">
      <c r="A147" s="12">
        <v>45712</v>
      </c>
      <c r="B147" s="13" t="s">
        <v>2</v>
      </c>
      <c r="C147" s="14">
        <v>0.94730000000000003</v>
      </c>
      <c r="D147" s="16">
        <v>568</v>
      </c>
      <c r="E147" s="17">
        <f t="shared" si="9"/>
        <v>29.933599999999956</v>
      </c>
      <c r="F147" s="18">
        <f t="shared" si="1"/>
        <v>1646.3479999999977</v>
      </c>
      <c r="G147" s="19">
        <f t="shared" si="6"/>
        <v>28.399999999999977</v>
      </c>
      <c r="H147" s="20">
        <f t="shared" si="4"/>
        <v>-1.5335999999999785</v>
      </c>
    </row>
    <row r="148" spans="1:8" ht="13" x14ac:dyDescent="0.15">
      <c r="A148" s="12">
        <v>45713</v>
      </c>
      <c r="B148" s="13" t="s">
        <v>3</v>
      </c>
      <c r="C148" s="14">
        <v>0.93600000000000005</v>
      </c>
      <c r="D148" s="16">
        <v>567</v>
      </c>
      <c r="E148" s="17">
        <f t="shared" si="9"/>
        <v>36.288000000000011</v>
      </c>
      <c r="F148" s="18">
        <f t="shared" si="1"/>
        <v>1995.8400000000006</v>
      </c>
      <c r="G148" s="19">
        <f t="shared" si="6"/>
        <v>28.350000000000023</v>
      </c>
      <c r="H148" s="20">
        <f t="shared" si="4"/>
        <v>-7.9379999999999882</v>
      </c>
    </row>
    <row r="149" spans="1:8" ht="13" x14ac:dyDescent="0.15">
      <c r="A149" s="12">
        <v>45714</v>
      </c>
      <c r="B149" s="13" t="s">
        <v>4</v>
      </c>
      <c r="C149" s="14">
        <v>0.91979999999999995</v>
      </c>
      <c r="D149" s="16">
        <v>571</v>
      </c>
      <c r="E149" s="17">
        <f t="shared" si="9"/>
        <v>45.794200000000046</v>
      </c>
      <c r="F149" s="18">
        <f t="shared" si="1"/>
        <v>2518.6810000000023</v>
      </c>
      <c r="G149" s="19">
        <f t="shared" si="6"/>
        <v>28.550000000000068</v>
      </c>
      <c r="H149" s="20">
        <f t="shared" si="4"/>
        <v>-17.244199999999978</v>
      </c>
    </row>
    <row r="150" spans="1:8" ht="13" x14ac:dyDescent="0.15">
      <c r="A150" s="12">
        <v>45715</v>
      </c>
      <c r="B150" s="13" t="s">
        <v>5</v>
      </c>
      <c r="C150" s="14">
        <v>0.91759999999999997</v>
      </c>
      <c r="D150" s="16">
        <v>571</v>
      </c>
      <c r="E150" s="17">
        <f t="shared" si="9"/>
        <v>47.050399999999968</v>
      </c>
      <c r="F150" s="18">
        <f t="shared" si="1"/>
        <v>2587.7719999999981</v>
      </c>
      <c r="G150" s="19">
        <f t="shared" si="6"/>
        <v>28.550000000000068</v>
      </c>
      <c r="H150" s="20">
        <f t="shared" si="4"/>
        <v>-18.5003999999999</v>
      </c>
    </row>
    <row r="151" spans="1:8" ht="13" x14ac:dyDescent="0.15">
      <c r="A151" s="12">
        <v>45716</v>
      </c>
      <c r="B151" s="13" t="s">
        <v>6</v>
      </c>
      <c r="C151" s="14">
        <v>0.92869999999999997</v>
      </c>
      <c r="D151" s="16">
        <v>571</v>
      </c>
      <c r="E151" s="17">
        <f t="shared" si="9"/>
        <v>40.712300000000027</v>
      </c>
      <c r="F151" s="18">
        <f t="shared" si="1"/>
        <v>2239.1765000000014</v>
      </c>
      <c r="G151" s="19">
        <f t="shared" si="6"/>
        <v>28.550000000000068</v>
      </c>
      <c r="H151" s="20">
        <f t="shared" si="4"/>
        <v>-12.162299999999959</v>
      </c>
    </row>
    <row r="152" spans="1:8" ht="13" x14ac:dyDescent="0.15">
      <c r="A152" s="12">
        <v>45719</v>
      </c>
      <c r="B152" s="13" t="s">
        <v>2</v>
      </c>
      <c r="C152" s="14">
        <v>0.91110000000000002</v>
      </c>
      <c r="D152" s="16">
        <v>572</v>
      </c>
      <c r="E152" s="17">
        <f t="shared" si="9"/>
        <v>50.850799999999936</v>
      </c>
      <c r="F152" s="18">
        <f t="shared" si="1"/>
        <v>2796.7939999999962</v>
      </c>
      <c r="G152" s="19">
        <f t="shared" si="6"/>
        <v>28.600000000000023</v>
      </c>
      <c r="H152" s="20">
        <f t="shared" si="4"/>
        <v>-22.250799999999913</v>
      </c>
    </row>
    <row r="153" spans="1:8" ht="13" x14ac:dyDescent="0.15">
      <c r="A153" s="12">
        <v>45720</v>
      </c>
      <c r="B153" s="13" t="s">
        <v>3</v>
      </c>
      <c r="C153" s="14">
        <v>0.79139999999999999</v>
      </c>
      <c r="D153" s="16">
        <v>572</v>
      </c>
      <c r="E153" s="17">
        <f t="shared" si="9"/>
        <v>119.31920000000002</v>
      </c>
      <c r="F153" s="18">
        <f t="shared" si="1"/>
        <v>6562.5560000000014</v>
      </c>
      <c r="G153" s="19">
        <f t="shared" si="6"/>
        <v>28.600000000000023</v>
      </c>
      <c r="H153" s="20">
        <f t="shared" si="4"/>
        <v>-90.719200000000001</v>
      </c>
    </row>
    <row r="154" spans="1:8" ht="13" x14ac:dyDescent="0.15">
      <c r="A154" s="12">
        <v>45721</v>
      </c>
      <c r="B154" s="13" t="s">
        <v>4</v>
      </c>
      <c r="C154" s="14">
        <v>0.91090000000000004</v>
      </c>
      <c r="D154" s="16">
        <v>571</v>
      </c>
      <c r="E154" s="17">
        <f t="shared" si="9"/>
        <v>50.876099999999951</v>
      </c>
      <c r="F154" s="18">
        <f t="shared" si="1"/>
        <v>2798.1854999999973</v>
      </c>
      <c r="G154" s="19">
        <f t="shared" si="6"/>
        <v>28.550000000000068</v>
      </c>
      <c r="H154" s="20">
        <f t="shared" si="4"/>
        <v>-22.326099999999883</v>
      </c>
    </row>
    <row r="155" spans="1:8" ht="13" x14ac:dyDescent="0.15">
      <c r="A155" s="12">
        <v>45722</v>
      </c>
      <c r="B155" s="13" t="s">
        <v>5</v>
      </c>
      <c r="C155" s="14">
        <v>0.92320000000000002</v>
      </c>
      <c r="D155" s="16">
        <v>571</v>
      </c>
      <c r="E155" s="17">
        <f t="shared" si="9"/>
        <v>43.852800000000002</v>
      </c>
      <c r="F155" s="18">
        <f t="shared" si="1"/>
        <v>2411.904</v>
      </c>
      <c r="G155" s="19">
        <f>D155-(D155*G$3)</f>
        <v>28.550000000000068</v>
      </c>
      <c r="H155" s="20">
        <f t="shared" si="4"/>
        <v>-15.302799999999934</v>
      </c>
    </row>
    <row r="156" spans="1:8" ht="13" x14ac:dyDescent="0.15">
      <c r="A156" s="12">
        <v>45723</v>
      </c>
      <c r="B156" s="13" t="s">
        <v>6</v>
      </c>
      <c r="C156" s="14">
        <v>0.88639999999999997</v>
      </c>
      <c r="D156" s="16">
        <v>571</v>
      </c>
      <c r="E156" s="17">
        <f t="shared" si="9"/>
        <v>64.865600000000029</v>
      </c>
      <c r="F156" s="18">
        <f t="shared" si="1"/>
        <v>3567.6080000000015</v>
      </c>
      <c r="G156" s="19">
        <f t="shared" si="6"/>
        <v>28.550000000000068</v>
      </c>
      <c r="H156" s="20">
        <f t="shared" si="4"/>
        <v>-36.315599999999961</v>
      </c>
    </row>
    <row r="157" spans="1:8" ht="13" x14ac:dyDescent="0.15">
      <c r="A157" s="34">
        <v>45726</v>
      </c>
      <c r="B157" s="35" t="s">
        <v>2</v>
      </c>
      <c r="C157" s="14">
        <v>0.87009999999999998</v>
      </c>
      <c r="D157" s="16">
        <v>573</v>
      </c>
      <c r="E157" s="17">
        <f t="shared" si="9"/>
        <v>74.432700000000011</v>
      </c>
      <c r="F157" s="18">
        <f t="shared" si="1"/>
        <v>4093.7985000000008</v>
      </c>
      <c r="G157" s="19">
        <f t="shared" si="6"/>
        <v>28.649999999999977</v>
      </c>
      <c r="H157" s="20">
        <f t="shared" si="4"/>
        <v>-45.782700000000034</v>
      </c>
    </row>
    <row r="158" spans="1:8" ht="15.75" customHeight="1" x14ac:dyDescent="0.15">
      <c r="A158" s="34">
        <v>45727</v>
      </c>
      <c r="B158" s="35" t="s">
        <v>3</v>
      </c>
      <c r="C158" s="79">
        <v>0.91120000000000001</v>
      </c>
      <c r="D158" s="81">
        <v>573</v>
      </c>
      <c r="E158" s="17">
        <f t="shared" si="9"/>
        <v>50.882399999999961</v>
      </c>
      <c r="F158" s="18">
        <f t="shared" si="1"/>
        <v>2798.5319999999979</v>
      </c>
      <c r="G158" s="19">
        <f t="shared" si="6"/>
        <v>28.649999999999977</v>
      </c>
      <c r="H158" s="20">
        <f t="shared" si="4"/>
        <v>-22.232399999999984</v>
      </c>
    </row>
    <row r="159" spans="1:8" ht="15.75" customHeight="1" x14ac:dyDescent="0.15">
      <c r="A159" s="34">
        <v>45728</v>
      </c>
      <c r="B159" s="35" t="s">
        <v>4</v>
      </c>
      <c r="C159" s="79">
        <v>0.90229999999999999</v>
      </c>
      <c r="D159" s="81">
        <v>573</v>
      </c>
      <c r="E159" s="17">
        <f t="shared" si="9"/>
        <v>55.982100000000059</v>
      </c>
      <c r="F159" s="18">
        <f t="shared" ref="F159:F181" si="10">E159*$E$5</f>
        <v>3079.0155000000032</v>
      </c>
      <c r="G159" s="19">
        <f t="shared" ref="G159:G181" si="11">D159-(D159*G$3)</f>
        <v>28.649999999999977</v>
      </c>
      <c r="H159" s="20">
        <f t="shared" ref="H159:H181" si="12">G159-E159</f>
        <v>-27.332100000000082</v>
      </c>
    </row>
    <row r="160" spans="1:8" ht="15.75" customHeight="1" x14ac:dyDescent="0.15">
      <c r="A160" s="34">
        <v>45729</v>
      </c>
      <c r="B160" s="35" t="s">
        <v>5</v>
      </c>
      <c r="C160" s="79">
        <v>0.90459999999999996</v>
      </c>
      <c r="D160" s="81">
        <v>573</v>
      </c>
      <c r="E160" s="17">
        <f t="shared" si="9"/>
        <v>54.664200000000051</v>
      </c>
      <c r="F160" s="18">
        <f t="shared" si="10"/>
        <v>3006.5310000000027</v>
      </c>
      <c r="G160" s="19">
        <f t="shared" si="11"/>
        <v>28.649999999999977</v>
      </c>
      <c r="H160" s="20">
        <f t="shared" si="12"/>
        <v>-26.014200000000073</v>
      </c>
    </row>
    <row r="161" spans="1:8" ht="15.75" customHeight="1" x14ac:dyDescent="0.15">
      <c r="A161" s="34">
        <v>45730</v>
      </c>
      <c r="B161" s="35" t="s">
        <v>6</v>
      </c>
      <c r="C161" s="79">
        <v>0.9022</v>
      </c>
      <c r="D161" s="81">
        <v>573</v>
      </c>
      <c r="E161" s="17">
        <f t="shared" si="9"/>
        <v>56.039400000000001</v>
      </c>
      <c r="F161" s="18">
        <f t="shared" si="10"/>
        <v>3082.1669999999999</v>
      </c>
      <c r="G161" s="19">
        <f t="shared" si="11"/>
        <v>28.649999999999977</v>
      </c>
      <c r="H161" s="20">
        <f t="shared" si="12"/>
        <v>-27.389400000000023</v>
      </c>
    </row>
    <row r="162" spans="1:8" ht="15.75" customHeight="1" x14ac:dyDescent="0.15">
      <c r="A162" s="21">
        <v>45733</v>
      </c>
      <c r="B162" s="22" t="s">
        <v>2</v>
      </c>
      <c r="C162" s="80"/>
      <c r="D162" s="82"/>
      <c r="E162" s="17">
        <f t="shared" si="9"/>
        <v>0</v>
      </c>
      <c r="F162" s="18">
        <f t="shared" si="10"/>
        <v>0</v>
      </c>
      <c r="G162" s="19">
        <f t="shared" si="11"/>
        <v>0</v>
      </c>
      <c r="H162" s="20">
        <f t="shared" si="12"/>
        <v>0</v>
      </c>
    </row>
    <row r="163" spans="1:8" ht="15.75" customHeight="1" x14ac:dyDescent="0.15">
      <c r="A163" s="21">
        <v>45734</v>
      </c>
      <c r="B163" s="22" t="s">
        <v>3</v>
      </c>
      <c r="C163" s="80"/>
      <c r="D163" s="82"/>
      <c r="E163" s="17">
        <f t="shared" si="9"/>
        <v>0</v>
      </c>
      <c r="F163" s="18">
        <f t="shared" si="10"/>
        <v>0</v>
      </c>
      <c r="G163" s="19">
        <f t="shared" si="11"/>
        <v>0</v>
      </c>
      <c r="H163" s="20">
        <f t="shared" si="12"/>
        <v>0</v>
      </c>
    </row>
    <row r="164" spans="1:8" ht="15.75" customHeight="1" x14ac:dyDescent="0.15">
      <c r="A164" s="21">
        <v>45735</v>
      </c>
      <c r="B164" s="22" t="s">
        <v>4</v>
      </c>
      <c r="C164" s="80"/>
      <c r="D164" s="82"/>
      <c r="E164" s="17">
        <f t="shared" si="9"/>
        <v>0</v>
      </c>
      <c r="F164" s="18">
        <f t="shared" si="10"/>
        <v>0</v>
      </c>
      <c r="G164" s="19">
        <f t="shared" si="11"/>
        <v>0</v>
      </c>
      <c r="H164" s="20">
        <f t="shared" si="12"/>
        <v>0</v>
      </c>
    </row>
    <row r="165" spans="1:8" ht="15.75" customHeight="1" x14ac:dyDescent="0.15">
      <c r="A165" s="21">
        <v>45736</v>
      </c>
      <c r="B165" s="22" t="s">
        <v>5</v>
      </c>
      <c r="C165" s="80"/>
      <c r="D165" s="82"/>
      <c r="E165" s="17">
        <f t="shared" si="9"/>
        <v>0</v>
      </c>
      <c r="F165" s="18">
        <f t="shared" si="10"/>
        <v>0</v>
      </c>
      <c r="G165" s="19">
        <f t="shared" si="11"/>
        <v>0</v>
      </c>
      <c r="H165" s="20">
        <f t="shared" si="12"/>
        <v>0</v>
      </c>
    </row>
    <row r="166" spans="1:8" ht="15.75" customHeight="1" x14ac:dyDescent="0.15">
      <c r="A166" s="21">
        <v>45737</v>
      </c>
      <c r="B166" s="22" t="s">
        <v>6</v>
      </c>
      <c r="C166" s="80"/>
      <c r="D166" s="82"/>
      <c r="E166" s="17">
        <f t="shared" si="9"/>
        <v>0</v>
      </c>
      <c r="F166" s="18">
        <f t="shared" si="10"/>
        <v>0</v>
      </c>
      <c r="G166" s="19">
        <f t="shared" si="11"/>
        <v>0</v>
      </c>
      <c r="H166" s="20">
        <f t="shared" si="12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0.89890000000000003</v>
      </c>
      <c r="D167" s="81">
        <v>573</v>
      </c>
      <c r="E167" s="17">
        <f t="shared" si="9"/>
        <v>57.930299999999988</v>
      </c>
      <c r="F167" s="18">
        <f t="shared" si="10"/>
        <v>3186.1664999999994</v>
      </c>
      <c r="G167" s="19">
        <f t="shared" si="11"/>
        <v>28.649999999999977</v>
      </c>
      <c r="H167" s="20">
        <f t="shared" si="12"/>
        <v>-29.280300000000011</v>
      </c>
    </row>
    <row r="168" spans="1:8" ht="15.75" customHeight="1" x14ac:dyDescent="0.15">
      <c r="A168" s="12">
        <v>45741</v>
      </c>
      <c r="B168" s="13" t="s">
        <v>3</v>
      </c>
      <c r="C168" s="79">
        <v>0.94889999999999997</v>
      </c>
      <c r="D168" s="81">
        <v>573</v>
      </c>
      <c r="E168" s="17">
        <f t="shared" si="9"/>
        <v>29.280300000000011</v>
      </c>
      <c r="F168" s="18">
        <f t="shared" si="10"/>
        <v>1610.4165000000007</v>
      </c>
      <c r="G168" s="19">
        <f t="shared" si="11"/>
        <v>28.649999999999977</v>
      </c>
      <c r="H168" s="20">
        <f t="shared" si="12"/>
        <v>-0.63030000000003383</v>
      </c>
    </row>
    <row r="169" spans="1:8" ht="15.75" customHeight="1" x14ac:dyDescent="0.15">
      <c r="A169" s="12">
        <v>45742</v>
      </c>
      <c r="B169" s="13" t="s">
        <v>4</v>
      </c>
      <c r="C169" s="79">
        <v>0.95440000000000003</v>
      </c>
      <c r="D169" s="81">
        <v>573</v>
      </c>
      <c r="E169" s="17">
        <f t="shared" si="9"/>
        <v>26.128799999999956</v>
      </c>
      <c r="F169" s="18">
        <f t="shared" si="10"/>
        <v>1437.0839999999976</v>
      </c>
      <c r="G169" s="19">
        <f t="shared" si="11"/>
        <v>28.649999999999977</v>
      </c>
      <c r="H169" s="20">
        <f t="shared" si="12"/>
        <v>2.5212000000000216</v>
      </c>
    </row>
    <row r="170" spans="1:8" ht="15.75" customHeight="1" x14ac:dyDescent="0.15">
      <c r="A170" s="12">
        <v>45743</v>
      </c>
      <c r="B170" s="13" t="s">
        <v>5</v>
      </c>
      <c r="C170" s="79">
        <v>0.94</v>
      </c>
      <c r="D170" s="81">
        <v>573</v>
      </c>
      <c r="E170" s="17">
        <f t="shared" si="9"/>
        <v>34.379999999999995</v>
      </c>
      <c r="F170" s="18">
        <f t="shared" si="10"/>
        <v>1890.8999999999996</v>
      </c>
      <c r="G170" s="19">
        <f t="shared" si="11"/>
        <v>28.649999999999977</v>
      </c>
      <c r="H170" s="20">
        <f t="shared" si="12"/>
        <v>-5.7300000000000182</v>
      </c>
    </row>
    <row r="171" spans="1:8" ht="15.75" customHeight="1" x14ac:dyDescent="0.15">
      <c r="A171" s="12">
        <v>45744</v>
      </c>
      <c r="B171" s="13" t="s">
        <v>6</v>
      </c>
      <c r="C171" s="79">
        <v>0.92559999999999998</v>
      </c>
      <c r="D171" s="81">
        <v>573</v>
      </c>
      <c r="E171" s="17">
        <f t="shared" si="9"/>
        <v>42.631200000000035</v>
      </c>
      <c r="F171" s="18">
        <f t="shared" si="10"/>
        <v>2344.7160000000022</v>
      </c>
      <c r="G171" s="19">
        <f t="shared" si="11"/>
        <v>28.649999999999977</v>
      </c>
      <c r="H171" s="20">
        <f t="shared" si="12"/>
        <v>-13.981200000000058</v>
      </c>
    </row>
    <row r="172" spans="1:8" ht="15.75" customHeight="1" x14ac:dyDescent="0.15">
      <c r="A172" s="12">
        <v>45747</v>
      </c>
      <c r="B172" s="13" t="s">
        <v>2</v>
      </c>
      <c r="C172" s="79">
        <v>0.91890000000000005</v>
      </c>
      <c r="D172" s="81">
        <v>573</v>
      </c>
      <c r="E172" s="17">
        <f t="shared" si="9"/>
        <v>46.470299999999952</v>
      </c>
      <c r="F172" s="18">
        <f t="shared" si="10"/>
        <v>2555.8664999999974</v>
      </c>
      <c r="G172" s="19">
        <f t="shared" si="11"/>
        <v>28.649999999999977</v>
      </c>
      <c r="H172" s="20">
        <f t="shared" si="12"/>
        <v>-17.820299999999975</v>
      </c>
    </row>
    <row r="173" spans="1:8" ht="15.75" customHeight="1" x14ac:dyDescent="0.15">
      <c r="A173" s="12">
        <v>45748</v>
      </c>
      <c r="B173" s="13" t="s">
        <v>3</v>
      </c>
      <c r="C173" s="79">
        <v>0.93779999999999997</v>
      </c>
      <c r="D173" s="81">
        <v>573</v>
      </c>
      <c r="E173" s="17">
        <f t="shared" si="9"/>
        <v>35.640600000000063</v>
      </c>
      <c r="F173" s="18">
        <f t="shared" si="10"/>
        <v>1960.2330000000034</v>
      </c>
      <c r="G173" s="19">
        <f t="shared" si="11"/>
        <v>28.649999999999977</v>
      </c>
      <c r="H173" s="20">
        <f t="shared" si="12"/>
        <v>-6.9906000000000859</v>
      </c>
    </row>
    <row r="174" spans="1:8" ht="15.75" customHeight="1" x14ac:dyDescent="0.15">
      <c r="A174" s="12">
        <v>45749</v>
      </c>
      <c r="B174" s="13" t="s">
        <v>4</v>
      </c>
      <c r="C174" s="79">
        <v>0.92630000000000001</v>
      </c>
      <c r="D174" s="81">
        <v>570</v>
      </c>
      <c r="E174" s="17">
        <f t="shared" si="9"/>
        <v>42.009000000000015</v>
      </c>
      <c r="F174" s="18">
        <f t="shared" si="10"/>
        <v>2310.4950000000008</v>
      </c>
      <c r="G174" s="19">
        <f t="shared" si="11"/>
        <v>28.5</v>
      </c>
      <c r="H174" s="20">
        <f t="shared" si="12"/>
        <v>-13.509000000000015</v>
      </c>
    </row>
    <row r="175" spans="1:8" ht="15.75" customHeight="1" x14ac:dyDescent="0.15">
      <c r="A175" s="12">
        <v>45750</v>
      </c>
      <c r="B175" s="13" t="s">
        <v>5</v>
      </c>
      <c r="C175" s="79">
        <v>0.93520000000000003</v>
      </c>
      <c r="D175" s="81">
        <v>570</v>
      </c>
      <c r="E175" s="17">
        <f t="shared" si="9"/>
        <v>36.936000000000035</v>
      </c>
      <c r="F175" s="18">
        <f t="shared" si="10"/>
        <v>2031.4800000000018</v>
      </c>
      <c r="G175" s="19">
        <f t="shared" si="11"/>
        <v>28.5</v>
      </c>
      <c r="H175" s="20">
        <f t="shared" si="12"/>
        <v>-8.4360000000000355</v>
      </c>
    </row>
    <row r="176" spans="1:8" ht="15.75" customHeight="1" x14ac:dyDescent="0.15">
      <c r="A176" s="12">
        <v>45751</v>
      </c>
      <c r="B176" s="13" t="s">
        <v>6</v>
      </c>
      <c r="C176" s="79">
        <v>0.9274</v>
      </c>
      <c r="D176" s="81">
        <v>570</v>
      </c>
      <c r="E176" s="17">
        <f t="shared" si="9"/>
        <v>41.381999999999948</v>
      </c>
      <c r="F176" s="18">
        <f t="shared" si="10"/>
        <v>2276.009999999997</v>
      </c>
      <c r="G176" s="19">
        <f t="shared" si="11"/>
        <v>28.5</v>
      </c>
      <c r="H176" s="20">
        <f t="shared" si="12"/>
        <v>-12.881999999999948</v>
      </c>
    </row>
    <row r="177" spans="1:8" ht="15.75" customHeight="1" x14ac:dyDescent="0.15">
      <c r="A177" s="12">
        <v>45754</v>
      </c>
      <c r="B177" s="13" t="s">
        <v>2</v>
      </c>
      <c r="C177" s="79">
        <v>0.90739999999999998</v>
      </c>
      <c r="D177" s="81">
        <v>571</v>
      </c>
      <c r="E177" s="17">
        <f t="shared" si="9"/>
        <v>52.874599999999987</v>
      </c>
      <c r="F177" s="18">
        <f t="shared" si="10"/>
        <v>2908.1029999999992</v>
      </c>
      <c r="G177" s="19">
        <f t="shared" si="11"/>
        <v>28.550000000000068</v>
      </c>
      <c r="H177" s="20">
        <f t="shared" si="12"/>
        <v>-24.324599999999919</v>
      </c>
    </row>
    <row r="178" spans="1:8" ht="15.75" customHeight="1" x14ac:dyDescent="0.15">
      <c r="A178" s="12">
        <v>45755</v>
      </c>
      <c r="B178" s="13" t="s">
        <v>3</v>
      </c>
      <c r="C178" s="79">
        <v>0.91069999999999995</v>
      </c>
      <c r="D178" s="81">
        <v>571</v>
      </c>
      <c r="E178" s="17">
        <f t="shared" si="9"/>
        <v>50.990300000000047</v>
      </c>
      <c r="F178" s="18">
        <f t="shared" si="10"/>
        <v>2804.4665000000027</v>
      </c>
      <c r="G178" s="19">
        <f t="shared" si="11"/>
        <v>28.550000000000068</v>
      </c>
      <c r="H178" s="20">
        <f t="shared" si="12"/>
        <v>-22.440299999999979</v>
      </c>
    </row>
    <row r="179" spans="1:8" ht="15.75" customHeight="1" x14ac:dyDescent="0.15">
      <c r="A179" s="12">
        <v>45756</v>
      </c>
      <c r="B179" s="13" t="s">
        <v>4</v>
      </c>
      <c r="C179" s="79">
        <v>0.92179999999999995</v>
      </c>
      <c r="D179" s="81">
        <v>570</v>
      </c>
      <c r="E179" s="17">
        <f t="shared" si="9"/>
        <v>44.574000000000069</v>
      </c>
      <c r="F179" s="18">
        <f t="shared" si="10"/>
        <v>2451.5700000000038</v>
      </c>
      <c r="G179" s="19">
        <f t="shared" si="11"/>
        <v>28.5</v>
      </c>
      <c r="H179" s="20">
        <f t="shared" si="12"/>
        <v>-16.074000000000069</v>
      </c>
    </row>
    <row r="180" spans="1:8" ht="15.75" customHeight="1" x14ac:dyDescent="0.15">
      <c r="A180" s="12">
        <v>45757</v>
      </c>
      <c r="B180" s="13" t="s">
        <v>5</v>
      </c>
      <c r="C180" s="79">
        <v>0.91839999999999999</v>
      </c>
      <c r="D180" s="81">
        <v>570</v>
      </c>
      <c r="E180" s="17">
        <f t="shared" si="9"/>
        <v>46.512000000000057</v>
      </c>
      <c r="F180" s="18">
        <f t="shared" si="10"/>
        <v>2558.160000000003</v>
      </c>
      <c r="G180" s="19">
        <f t="shared" si="11"/>
        <v>28.5</v>
      </c>
      <c r="H180" s="20">
        <f t="shared" si="12"/>
        <v>-18.012000000000057</v>
      </c>
    </row>
    <row r="181" spans="1:8" ht="15.75" customHeight="1" x14ac:dyDescent="0.15">
      <c r="A181" s="12">
        <v>45758</v>
      </c>
      <c r="B181" s="13" t="s">
        <v>6</v>
      </c>
      <c r="C181" s="79">
        <v>0.92059999999999997</v>
      </c>
      <c r="D181" s="81">
        <v>570</v>
      </c>
      <c r="E181" s="17">
        <f t="shared" si="9"/>
        <v>45.258000000000038</v>
      </c>
      <c r="F181" s="18">
        <f t="shared" si="10"/>
        <v>2489.1900000000023</v>
      </c>
      <c r="G181" s="19">
        <f t="shared" si="11"/>
        <v>28.5</v>
      </c>
      <c r="H181" s="20">
        <f t="shared" si="12"/>
        <v>-16.758000000000038</v>
      </c>
    </row>
  </sheetData>
  <autoFilter ref="A6:F157" xr:uid="{00000000-0009-0000-0000-000002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:C157">
    <cfRule type="cellIs" dxfId="82" priority="4" operator="lessThan">
      <formula>"90%"</formula>
    </cfRule>
    <cfRule type="cellIs" dxfId="81" priority="5" operator="lessThan">
      <formula>"94%"</formula>
    </cfRule>
  </conditionalFormatting>
  <conditionalFormatting sqref="H1:H181">
    <cfRule type="cellIs" dxfId="80" priority="3" operator="lessThan">
      <formula>0</formula>
    </cfRule>
  </conditionalFormatting>
  <conditionalFormatting sqref="C158:C181">
    <cfRule type="cellIs" dxfId="34" priority="1" operator="lessThan">
      <formula>"90%"</formula>
    </cfRule>
    <cfRule type="cellIs" dxfId="33" priority="2" operator="lessThan">
      <formula>"94%"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</sheetPr>
  <dimension ref="A1:H183"/>
  <sheetViews>
    <sheetView zoomScale="75" zoomScaleNormal="100" workbookViewId="0">
      <pane ySplit="6" topLeftCell="A137" activePane="bottomLeft" state="frozen"/>
      <selection pane="bottomLeft" activeCell="L174" sqref="L174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17.5" customWidth="1"/>
  </cols>
  <sheetData>
    <row r="1" spans="1:8" ht="27" thickBot="1" x14ac:dyDescent="0.3">
      <c r="A1" s="1"/>
      <c r="B1" s="1"/>
      <c r="C1" s="1"/>
      <c r="D1" s="1"/>
      <c r="E1" s="2"/>
      <c r="F1" s="2"/>
      <c r="G1" s="3"/>
      <c r="H1" s="4">
        <f>SUM(H7:H158)</f>
        <v>-331.85029999999682</v>
      </c>
    </row>
    <row r="2" spans="1:8" ht="15.75" customHeight="1" thickTop="1" x14ac:dyDescent="0.2">
      <c r="A2" s="63" t="s">
        <v>21</v>
      </c>
      <c r="B2" s="64"/>
      <c r="C2" s="64"/>
      <c r="D2" s="64"/>
      <c r="E2" s="65" t="s">
        <v>0</v>
      </c>
      <c r="F2" s="66"/>
      <c r="G2" s="5" t="s">
        <v>8</v>
      </c>
      <c r="H2" s="58" t="s">
        <v>9</v>
      </c>
    </row>
    <row r="3" spans="1:8" ht="24" x14ac:dyDescent="0.25">
      <c r="A3" s="64"/>
      <c r="B3" s="64"/>
      <c r="C3" s="64"/>
      <c r="D3" s="64"/>
      <c r="E3" s="68">
        <f>SUM(F7:F128)</f>
        <v>158482.72550000003</v>
      </c>
      <c r="F3" s="66"/>
      <c r="G3" s="69">
        <v>0.95</v>
      </c>
      <c r="H3" s="59"/>
    </row>
    <row r="4" spans="1:8" ht="23.25" customHeight="1" x14ac:dyDescent="0.2">
      <c r="A4" s="64"/>
      <c r="B4" s="64"/>
      <c r="C4" s="64"/>
      <c r="D4" s="64"/>
      <c r="E4" s="71" t="s">
        <v>10</v>
      </c>
      <c r="F4" s="64"/>
      <c r="G4" s="70"/>
      <c r="H4" s="59"/>
    </row>
    <row r="5" spans="1:8" ht="32.25" customHeight="1" thickBot="1" x14ac:dyDescent="0.3">
      <c r="A5" s="64"/>
      <c r="B5" s="64"/>
      <c r="C5" s="64"/>
      <c r="D5" s="64"/>
      <c r="E5" s="72">
        <v>55</v>
      </c>
      <c r="F5" s="64"/>
      <c r="G5" s="70"/>
      <c r="H5" s="59"/>
    </row>
    <row r="6" spans="1:8" ht="36" thickTop="1" thickBot="1" x14ac:dyDescent="0.25">
      <c r="A6" s="51" t="s">
        <v>11</v>
      </c>
      <c r="B6" s="52" t="s">
        <v>12</v>
      </c>
      <c r="C6" s="53" t="s">
        <v>13</v>
      </c>
      <c r="D6" s="52" t="s">
        <v>14</v>
      </c>
      <c r="E6" s="54" t="s">
        <v>15</v>
      </c>
      <c r="F6" s="55" t="s">
        <v>16</v>
      </c>
      <c r="G6" s="56" t="s">
        <v>17</v>
      </c>
      <c r="H6" s="57" t="s">
        <v>38</v>
      </c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558</v>
      </c>
      <c r="E7" s="17">
        <f t="shared" ref="E7:E38" si="0">D7-(C7*D7)</f>
        <v>0</v>
      </c>
      <c r="F7" s="18">
        <f t="shared" ref="F7:F159" si="1">E7*$E$5</f>
        <v>0</v>
      </c>
      <c r="G7" s="60">
        <v>0</v>
      </c>
      <c r="H7" s="61">
        <f t="shared" ref="H7:H159" si="2">G7-E7</f>
        <v>0</v>
      </c>
    </row>
    <row r="8" spans="1:8" ht="13" x14ac:dyDescent="0.15">
      <c r="A8" s="12">
        <v>45517</v>
      </c>
      <c r="B8" s="13" t="s">
        <v>3</v>
      </c>
      <c r="C8" s="14">
        <v>0.98780000000000001</v>
      </c>
      <c r="D8" s="16">
        <v>572</v>
      </c>
      <c r="E8" s="17">
        <f t="shared" si="0"/>
        <v>6.9783999999999651</v>
      </c>
      <c r="F8" s="18">
        <f t="shared" si="1"/>
        <v>383.81199999999808</v>
      </c>
      <c r="G8" s="60">
        <f t="shared" ref="G8:G159" si="3">D8-(D8*G$3)</f>
        <v>28.600000000000023</v>
      </c>
      <c r="H8" s="61">
        <f t="shared" si="2"/>
        <v>21.621600000000058</v>
      </c>
    </row>
    <row r="9" spans="1:8" ht="13" x14ac:dyDescent="0.15">
      <c r="A9" s="12">
        <v>45518</v>
      </c>
      <c r="B9" s="13" t="s">
        <v>4</v>
      </c>
      <c r="C9" s="14">
        <v>0.97570000000000001</v>
      </c>
      <c r="D9" s="16">
        <v>577</v>
      </c>
      <c r="E9" s="17">
        <f t="shared" si="0"/>
        <v>14.021100000000047</v>
      </c>
      <c r="F9" s="18">
        <f t="shared" si="1"/>
        <v>771.16050000000257</v>
      </c>
      <c r="G9" s="60">
        <f t="shared" si="3"/>
        <v>28.850000000000023</v>
      </c>
      <c r="H9" s="61">
        <f t="shared" si="2"/>
        <v>14.828899999999976</v>
      </c>
    </row>
    <row r="10" spans="1:8" ht="13" x14ac:dyDescent="0.15">
      <c r="A10" s="12">
        <v>45519</v>
      </c>
      <c r="B10" s="13" t="s">
        <v>5</v>
      </c>
      <c r="C10" s="14">
        <v>0.97430000000000005</v>
      </c>
      <c r="D10" s="16">
        <v>583</v>
      </c>
      <c r="E10" s="17">
        <f t="shared" si="0"/>
        <v>14.983099999999922</v>
      </c>
      <c r="F10" s="18">
        <f t="shared" si="1"/>
        <v>824.07049999999572</v>
      </c>
      <c r="G10" s="60">
        <f t="shared" si="3"/>
        <v>29.149999999999977</v>
      </c>
      <c r="H10" s="61">
        <f t="shared" si="2"/>
        <v>14.166900000000055</v>
      </c>
    </row>
    <row r="11" spans="1:8" ht="13" x14ac:dyDescent="0.15">
      <c r="A11" s="12">
        <v>45520</v>
      </c>
      <c r="B11" s="13" t="s">
        <v>6</v>
      </c>
      <c r="C11" s="14">
        <v>0.97599999999999998</v>
      </c>
      <c r="D11" s="16">
        <v>583</v>
      </c>
      <c r="E11" s="17">
        <f t="shared" si="0"/>
        <v>13.991999999999962</v>
      </c>
      <c r="F11" s="18">
        <f t="shared" si="1"/>
        <v>769.5599999999979</v>
      </c>
      <c r="G11" s="60">
        <f t="shared" si="3"/>
        <v>29.149999999999977</v>
      </c>
      <c r="H11" s="61">
        <f t="shared" si="2"/>
        <v>15.158000000000015</v>
      </c>
    </row>
    <row r="12" spans="1:8" ht="13" x14ac:dyDescent="0.15">
      <c r="A12" s="12">
        <v>45523</v>
      </c>
      <c r="B12" s="13" t="s">
        <v>2</v>
      </c>
      <c r="C12" s="14">
        <v>0.95909999999999995</v>
      </c>
      <c r="D12" s="16">
        <v>587</v>
      </c>
      <c r="E12" s="17">
        <f t="shared" si="0"/>
        <v>24.008300000000077</v>
      </c>
      <c r="F12" s="18">
        <f t="shared" si="1"/>
        <v>1320.4565000000043</v>
      </c>
      <c r="G12" s="60">
        <f t="shared" si="3"/>
        <v>29.350000000000023</v>
      </c>
      <c r="H12" s="61">
        <f t="shared" si="2"/>
        <v>5.3416999999999462</v>
      </c>
    </row>
    <row r="13" spans="1:8" ht="13" x14ac:dyDescent="0.15">
      <c r="A13" s="12">
        <v>45524</v>
      </c>
      <c r="B13" s="13" t="s">
        <v>3</v>
      </c>
      <c r="C13" s="14">
        <v>0.94740000000000002</v>
      </c>
      <c r="D13" s="16">
        <v>589</v>
      </c>
      <c r="E13" s="17">
        <f t="shared" si="0"/>
        <v>30.981400000000008</v>
      </c>
      <c r="F13" s="18">
        <f t="shared" si="1"/>
        <v>1703.9770000000003</v>
      </c>
      <c r="G13" s="60">
        <f t="shared" si="3"/>
        <v>29.450000000000045</v>
      </c>
      <c r="H13" s="61">
        <f t="shared" si="2"/>
        <v>-1.5313999999999623</v>
      </c>
    </row>
    <row r="14" spans="1:8" ht="13" x14ac:dyDescent="0.15">
      <c r="A14" s="12">
        <v>45525</v>
      </c>
      <c r="B14" s="13" t="s">
        <v>4</v>
      </c>
      <c r="C14" s="14">
        <v>0.94920000000000004</v>
      </c>
      <c r="D14" s="16">
        <v>591</v>
      </c>
      <c r="E14" s="17">
        <f t="shared" si="0"/>
        <v>30.022799999999961</v>
      </c>
      <c r="F14" s="18">
        <f t="shared" si="1"/>
        <v>1651.2539999999979</v>
      </c>
      <c r="G14" s="60">
        <f t="shared" si="3"/>
        <v>29.550000000000068</v>
      </c>
      <c r="H14" s="61">
        <f t="shared" si="2"/>
        <v>-0.47279999999989286</v>
      </c>
    </row>
    <row r="15" spans="1:8" ht="13" x14ac:dyDescent="0.15">
      <c r="A15" s="12">
        <v>45526</v>
      </c>
      <c r="B15" s="13" t="s">
        <v>5</v>
      </c>
      <c r="C15" s="14">
        <v>0.97130000000000005</v>
      </c>
      <c r="D15" s="16">
        <v>592</v>
      </c>
      <c r="E15" s="17">
        <f t="shared" si="0"/>
        <v>16.990400000000022</v>
      </c>
      <c r="F15" s="18">
        <f t="shared" si="1"/>
        <v>934.47200000000123</v>
      </c>
      <c r="G15" s="60">
        <f t="shared" si="3"/>
        <v>29.600000000000023</v>
      </c>
      <c r="H15" s="61">
        <f t="shared" si="2"/>
        <v>12.6096</v>
      </c>
    </row>
    <row r="16" spans="1:8" ht="13" x14ac:dyDescent="0.15">
      <c r="A16" s="12">
        <v>45527</v>
      </c>
      <c r="B16" s="13" t="s">
        <v>6</v>
      </c>
      <c r="C16" s="14">
        <v>0.93559999999999999</v>
      </c>
      <c r="D16" s="16">
        <v>590</v>
      </c>
      <c r="E16" s="17">
        <f t="shared" si="0"/>
        <v>37.995999999999981</v>
      </c>
      <c r="F16" s="18">
        <f t="shared" si="1"/>
        <v>2089.7799999999988</v>
      </c>
      <c r="G16" s="60">
        <f t="shared" si="3"/>
        <v>29.5</v>
      </c>
      <c r="H16" s="61">
        <f t="shared" si="2"/>
        <v>-8.4959999999999809</v>
      </c>
    </row>
    <row r="17" spans="1:8" ht="13" x14ac:dyDescent="0.15">
      <c r="A17" s="12">
        <v>45530</v>
      </c>
      <c r="B17" s="13" t="s">
        <v>2</v>
      </c>
      <c r="C17" s="14">
        <v>0.93899999999999995</v>
      </c>
      <c r="D17" s="16">
        <v>590</v>
      </c>
      <c r="E17" s="17">
        <f t="shared" si="0"/>
        <v>35.990000000000009</v>
      </c>
      <c r="F17" s="18">
        <f t="shared" si="1"/>
        <v>1979.4500000000005</v>
      </c>
      <c r="G17" s="60">
        <f t="shared" si="3"/>
        <v>29.5</v>
      </c>
      <c r="H17" s="61">
        <f t="shared" si="2"/>
        <v>-6.4900000000000091</v>
      </c>
    </row>
    <row r="18" spans="1:8" ht="13" x14ac:dyDescent="0.15">
      <c r="A18" s="12">
        <v>45531</v>
      </c>
      <c r="B18" s="13" t="s">
        <v>3</v>
      </c>
      <c r="C18" s="14">
        <v>0.95950000000000002</v>
      </c>
      <c r="D18" s="16">
        <v>593</v>
      </c>
      <c r="E18" s="17">
        <f t="shared" si="0"/>
        <v>24.016499999999951</v>
      </c>
      <c r="F18" s="18">
        <f t="shared" si="1"/>
        <v>1320.9074999999973</v>
      </c>
      <c r="G18" s="60">
        <f t="shared" si="3"/>
        <v>29.649999999999977</v>
      </c>
      <c r="H18" s="61">
        <f t="shared" si="2"/>
        <v>5.6335000000000264</v>
      </c>
    </row>
    <row r="19" spans="1:8" ht="13" x14ac:dyDescent="0.15">
      <c r="A19" s="12">
        <v>45532</v>
      </c>
      <c r="B19" s="13" t="s">
        <v>4</v>
      </c>
      <c r="C19" s="14">
        <v>0.96120000000000005</v>
      </c>
      <c r="D19" s="16">
        <v>593</v>
      </c>
      <c r="E19" s="17">
        <f t="shared" si="0"/>
        <v>23.008399999999938</v>
      </c>
      <c r="F19" s="18">
        <f t="shared" si="1"/>
        <v>1265.4619999999966</v>
      </c>
      <c r="G19" s="60">
        <f t="shared" si="3"/>
        <v>29.649999999999977</v>
      </c>
      <c r="H19" s="61">
        <f t="shared" si="2"/>
        <v>6.6416000000000395</v>
      </c>
    </row>
    <row r="20" spans="1:8" ht="13" x14ac:dyDescent="0.15">
      <c r="A20" s="12">
        <v>45533</v>
      </c>
      <c r="B20" s="13" t="s">
        <v>5</v>
      </c>
      <c r="C20" s="14">
        <v>0.96460000000000001</v>
      </c>
      <c r="D20" s="16">
        <v>593</v>
      </c>
      <c r="E20" s="17">
        <f t="shared" si="0"/>
        <v>20.992200000000025</v>
      </c>
      <c r="F20" s="18">
        <f t="shared" si="1"/>
        <v>1154.5710000000013</v>
      </c>
      <c r="G20" s="60">
        <f t="shared" si="3"/>
        <v>29.649999999999977</v>
      </c>
      <c r="H20" s="61">
        <f t="shared" si="2"/>
        <v>8.657799999999952</v>
      </c>
    </row>
    <row r="21" spans="1:8" ht="13" x14ac:dyDescent="0.15">
      <c r="A21" s="12">
        <v>45534</v>
      </c>
      <c r="B21" s="13" t="s">
        <v>6</v>
      </c>
      <c r="C21" s="14">
        <v>0.93589999999999995</v>
      </c>
      <c r="D21" s="16">
        <v>593</v>
      </c>
      <c r="E21" s="17">
        <f t="shared" si="0"/>
        <v>38.011300000000006</v>
      </c>
      <c r="F21" s="18">
        <f t="shared" si="1"/>
        <v>2090.6215000000002</v>
      </c>
      <c r="G21" s="60">
        <f t="shared" si="3"/>
        <v>29.649999999999977</v>
      </c>
      <c r="H21" s="61">
        <f t="shared" si="2"/>
        <v>-8.3613000000000284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60">
        <f t="shared" si="3"/>
        <v>0</v>
      </c>
      <c r="H22" s="61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0.93269999999999997</v>
      </c>
      <c r="D23" s="16">
        <v>594</v>
      </c>
      <c r="E23" s="17">
        <f t="shared" si="0"/>
        <v>39.976200000000063</v>
      </c>
      <c r="F23" s="18">
        <f t="shared" si="1"/>
        <v>2198.6910000000034</v>
      </c>
      <c r="G23" s="60">
        <f t="shared" si="3"/>
        <v>29.700000000000045</v>
      </c>
      <c r="H23" s="61">
        <f t="shared" si="2"/>
        <v>-10.276200000000017</v>
      </c>
    </row>
    <row r="24" spans="1:8" ht="13" x14ac:dyDescent="0.15">
      <c r="A24" s="12">
        <v>45539</v>
      </c>
      <c r="B24" s="13" t="s">
        <v>4</v>
      </c>
      <c r="C24" s="14">
        <v>0.96130000000000004</v>
      </c>
      <c r="D24" s="16">
        <v>595</v>
      </c>
      <c r="E24" s="17">
        <f t="shared" si="0"/>
        <v>23.026499999999942</v>
      </c>
      <c r="F24" s="18">
        <f t="shared" si="1"/>
        <v>1266.4574999999968</v>
      </c>
      <c r="G24" s="60">
        <f t="shared" si="3"/>
        <v>29.75</v>
      </c>
      <c r="H24" s="61">
        <f t="shared" si="2"/>
        <v>6.7235000000000582</v>
      </c>
    </row>
    <row r="25" spans="1:8" ht="13" x14ac:dyDescent="0.15">
      <c r="A25" s="12">
        <v>45540</v>
      </c>
      <c r="B25" s="13" t="s">
        <v>5</v>
      </c>
      <c r="C25" s="14">
        <v>0.95620000000000005</v>
      </c>
      <c r="D25" s="16">
        <v>594</v>
      </c>
      <c r="E25" s="17">
        <f t="shared" si="0"/>
        <v>26.017200000000003</v>
      </c>
      <c r="F25" s="18">
        <f t="shared" si="1"/>
        <v>1430.9460000000001</v>
      </c>
      <c r="G25" s="60">
        <f t="shared" si="3"/>
        <v>29.700000000000045</v>
      </c>
      <c r="H25" s="61">
        <f t="shared" si="2"/>
        <v>3.6828000000000429</v>
      </c>
    </row>
    <row r="26" spans="1:8" ht="13" x14ac:dyDescent="0.15">
      <c r="A26" s="12">
        <v>45541</v>
      </c>
      <c r="B26" s="13" t="s">
        <v>6</v>
      </c>
      <c r="C26" s="14">
        <v>0.95279999999999998</v>
      </c>
      <c r="D26" s="16">
        <v>593</v>
      </c>
      <c r="E26" s="17">
        <f t="shared" si="0"/>
        <v>27.989599999999996</v>
      </c>
      <c r="F26" s="18">
        <f t="shared" si="1"/>
        <v>1539.4279999999999</v>
      </c>
      <c r="G26" s="60">
        <f t="shared" si="3"/>
        <v>29.649999999999977</v>
      </c>
      <c r="H26" s="61">
        <f t="shared" si="2"/>
        <v>1.6603999999999814</v>
      </c>
    </row>
    <row r="27" spans="1:8" ht="13" x14ac:dyDescent="0.15">
      <c r="A27" s="12">
        <v>45544</v>
      </c>
      <c r="B27" s="13" t="s">
        <v>2</v>
      </c>
      <c r="C27" s="14">
        <v>0.96950000000000003</v>
      </c>
      <c r="D27" s="16">
        <v>591</v>
      </c>
      <c r="E27" s="17">
        <f t="shared" si="0"/>
        <v>18.025499999999965</v>
      </c>
      <c r="F27" s="18">
        <f t="shared" si="1"/>
        <v>991.4024999999981</v>
      </c>
      <c r="G27" s="60">
        <f t="shared" si="3"/>
        <v>29.550000000000068</v>
      </c>
      <c r="H27" s="61">
        <f t="shared" si="2"/>
        <v>11.524500000000103</v>
      </c>
    </row>
    <row r="28" spans="1:8" ht="13" x14ac:dyDescent="0.15">
      <c r="A28" s="12">
        <v>45545</v>
      </c>
      <c r="B28" s="13" t="s">
        <v>3</v>
      </c>
      <c r="C28" s="14">
        <v>0.95420000000000005</v>
      </c>
      <c r="D28" s="16">
        <v>590</v>
      </c>
      <c r="E28" s="17">
        <f t="shared" si="0"/>
        <v>27.021999999999935</v>
      </c>
      <c r="F28" s="18">
        <f t="shared" si="1"/>
        <v>1486.2099999999964</v>
      </c>
      <c r="G28" s="60">
        <f t="shared" si="3"/>
        <v>29.5</v>
      </c>
      <c r="H28" s="61">
        <f t="shared" si="2"/>
        <v>2.4780000000000655</v>
      </c>
    </row>
    <row r="29" spans="1:8" ht="13" x14ac:dyDescent="0.15">
      <c r="A29" s="12">
        <v>45546</v>
      </c>
      <c r="B29" s="13" t="s">
        <v>4</v>
      </c>
      <c r="C29" s="14">
        <v>0.94920000000000004</v>
      </c>
      <c r="D29" s="16">
        <v>590</v>
      </c>
      <c r="E29" s="17">
        <f t="shared" si="0"/>
        <v>29.97199999999998</v>
      </c>
      <c r="F29" s="18">
        <f t="shared" si="1"/>
        <v>1648.4599999999989</v>
      </c>
      <c r="G29" s="60">
        <f t="shared" si="3"/>
        <v>29.5</v>
      </c>
      <c r="H29" s="61">
        <f t="shared" si="2"/>
        <v>-0.47199999999997999</v>
      </c>
    </row>
    <row r="30" spans="1:8" ht="13" x14ac:dyDescent="0.15">
      <c r="A30" s="12">
        <v>45547</v>
      </c>
      <c r="B30" s="13" t="s">
        <v>5</v>
      </c>
      <c r="C30" s="14">
        <v>0.96440000000000003</v>
      </c>
      <c r="D30" s="16">
        <v>590</v>
      </c>
      <c r="E30" s="17">
        <f t="shared" si="0"/>
        <v>21.004000000000019</v>
      </c>
      <c r="F30" s="18">
        <f t="shared" si="1"/>
        <v>1155.2200000000012</v>
      </c>
      <c r="G30" s="60">
        <f t="shared" si="3"/>
        <v>29.5</v>
      </c>
      <c r="H30" s="61">
        <f t="shared" si="2"/>
        <v>8.4959999999999809</v>
      </c>
    </row>
    <row r="31" spans="1:8" ht="13" x14ac:dyDescent="0.15">
      <c r="A31" s="12">
        <v>45548</v>
      </c>
      <c r="B31" s="13" t="s">
        <v>6</v>
      </c>
      <c r="C31" s="14">
        <v>0.94750000000000001</v>
      </c>
      <c r="D31" s="16">
        <v>590</v>
      </c>
      <c r="E31" s="17">
        <f t="shared" si="0"/>
        <v>30.975000000000023</v>
      </c>
      <c r="F31" s="18">
        <f t="shared" si="1"/>
        <v>1703.6250000000014</v>
      </c>
      <c r="G31" s="60">
        <f t="shared" si="3"/>
        <v>29.5</v>
      </c>
      <c r="H31" s="61">
        <f t="shared" si="2"/>
        <v>-1.4750000000000227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60">
        <f t="shared" si="3"/>
        <v>0</v>
      </c>
      <c r="H32" s="61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0.96099999999999997</v>
      </c>
      <c r="D33" s="16">
        <v>589</v>
      </c>
      <c r="E33" s="17">
        <f t="shared" si="0"/>
        <v>22.971000000000004</v>
      </c>
      <c r="F33" s="18">
        <f t="shared" si="1"/>
        <v>1263.4050000000002</v>
      </c>
      <c r="G33" s="60">
        <f t="shared" si="3"/>
        <v>29.450000000000045</v>
      </c>
      <c r="H33" s="61">
        <f t="shared" si="2"/>
        <v>6.4790000000000418</v>
      </c>
    </row>
    <row r="34" spans="1:8" ht="13" x14ac:dyDescent="0.15">
      <c r="A34" s="12">
        <v>45553</v>
      </c>
      <c r="B34" s="13" t="s">
        <v>4</v>
      </c>
      <c r="C34" s="14">
        <v>0.97450000000000003</v>
      </c>
      <c r="D34" s="16">
        <v>589</v>
      </c>
      <c r="E34" s="17">
        <f t="shared" si="0"/>
        <v>15.019499999999994</v>
      </c>
      <c r="F34" s="18">
        <f t="shared" si="1"/>
        <v>826.07249999999965</v>
      </c>
      <c r="G34" s="60">
        <f t="shared" si="3"/>
        <v>29.450000000000045</v>
      </c>
      <c r="H34" s="61">
        <f t="shared" si="2"/>
        <v>14.430500000000052</v>
      </c>
    </row>
    <row r="35" spans="1:8" ht="13" x14ac:dyDescent="0.15">
      <c r="A35" s="12">
        <v>45554</v>
      </c>
      <c r="B35" s="13" t="s">
        <v>5</v>
      </c>
      <c r="C35" s="14">
        <v>0.95930000000000004</v>
      </c>
      <c r="D35" s="16">
        <v>589</v>
      </c>
      <c r="E35" s="17">
        <f t="shared" si="0"/>
        <v>23.972300000000018</v>
      </c>
      <c r="F35" s="18">
        <f t="shared" si="1"/>
        <v>1318.4765000000011</v>
      </c>
      <c r="G35" s="60">
        <f t="shared" si="3"/>
        <v>29.450000000000045</v>
      </c>
      <c r="H35" s="61">
        <f t="shared" si="2"/>
        <v>5.4777000000000271</v>
      </c>
    </row>
    <row r="36" spans="1:8" ht="13" x14ac:dyDescent="0.15">
      <c r="A36" s="12">
        <v>45555</v>
      </c>
      <c r="B36" s="13" t="s">
        <v>6</v>
      </c>
      <c r="C36" s="14">
        <v>0.94399999999999995</v>
      </c>
      <c r="D36" s="16">
        <v>589</v>
      </c>
      <c r="E36" s="17">
        <f t="shared" si="0"/>
        <v>32.984000000000037</v>
      </c>
      <c r="F36" s="18">
        <f t="shared" si="1"/>
        <v>1814.1200000000022</v>
      </c>
      <c r="G36" s="60">
        <f t="shared" si="3"/>
        <v>29.450000000000045</v>
      </c>
      <c r="H36" s="61">
        <f t="shared" si="2"/>
        <v>-3.5339999999999918</v>
      </c>
    </row>
    <row r="37" spans="1:8" ht="13" x14ac:dyDescent="0.15">
      <c r="A37" s="12">
        <v>45558</v>
      </c>
      <c r="B37" s="13" t="s">
        <v>2</v>
      </c>
      <c r="C37" s="14">
        <v>0.95420000000000005</v>
      </c>
      <c r="D37" s="16">
        <v>590</v>
      </c>
      <c r="E37" s="17">
        <f t="shared" si="0"/>
        <v>27.021999999999935</v>
      </c>
      <c r="F37" s="18">
        <f t="shared" si="1"/>
        <v>1486.2099999999964</v>
      </c>
      <c r="G37" s="60">
        <f t="shared" si="3"/>
        <v>29.5</v>
      </c>
      <c r="H37" s="61">
        <f t="shared" si="2"/>
        <v>2.4780000000000655</v>
      </c>
    </row>
    <row r="38" spans="1:8" ht="13" x14ac:dyDescent="0.15">
      <c r="A38" s="12">
        <v>45559</v>
      </c>
      <c r="B38" s="13" t="s">
        <v>3</v>
      </c>
      <c r="C38" s="14">
        <v>0.96950000000000003</v>
      </c>
      <c r="D38" s="16">
        <v>590</v>
      </c>
      <c r="E38" s="17">
        <f t="shared" si="0"/>
        <v>17.995000000000005</v>
      </c>
      <c r="F38" s="18">
        <f t="shared" si="1"/>
        <v>989.72500000000025</v>
      </c>
      <c r="G38" s="60">
        <f t="shared" si="3"/>
        <v>29.5</v>
      </c>
      <c r="H38" s="61">
        <f t="shared" si="2"/>
        <v>11.504999999999995</v>
      </c>
    </row>
    <row r="39" spans="1:8" ht="13" x14ac:dyDescent="0.15">
      <c r="A39" s="12">
        <v>45560</v>
      </c>
      <c r="B39" s="13" t="s">
        <v>4</v>
      </c>
      <c r="C39" s="14">
        <v>0.96619999999999995</v>
      </c>
      <c r="D39" s="16">
        <v>592</v>
      </c>
      <c r="E39" s="17">
        <f t="shared" ref="E39:E70" si="4">D39-(C39*D39)</f>
        <v>20.009599999999978</v>
      </c>
      <c r="F39" s="18">
        <f t="shared" si="1"/>
        <v>1100.5279999999989</v>
      </c>
      <c r="G39" s="60">
        <f t="shared" si="3"/>
        <v>29.600000000000023</v>
      </c>
      <c r="H39" s="61">
        <f t="shared" si="2"/>
        <v>9.5904000000000451</v>
      </c>
    </row>
    <row r="40" spans="1:8" ht="13" x14ac:dyDescent="0.15">
      <c r="A40" s="12">
        <v>45561</v>
      </c>
      <c r="B40" s="13" t="s">
        <v>5</v>
      </c>
      <c r="C40" s="14">
        <v>0.97640000000000005</v>
      </c>
      <c r="D40" s="16">
        <v>592</v>
      </c>
      <c r="E40" s="17">
        <f t="shared" si="4"/>
        <v>13.971199999999953</v>
      </c>
      <c r="F40" s="18">
        <f t="shared" si="1"/>
        <v>768.41599999999744</v>
      </c>
      <c r="G40" s="60">
        <f t="shared" si="3"/>
        <v>29.600000000000023</v>
      </c>
      <c r="H40" s="61">
        <f t="shared" si="2"/>
        <v>15.628800000000069</v>
      </c>
    </row>
    <row r="41" spans="1:8" ht="13" x14ac:dyDescent="0.15">
      <c r="A41" s="12">
        <v>45562</v>
      </c>
      <c r="B41" s="13" t="s">
        <v>6</v>
      </c>
      <c r="C41" s="14">
        <v>0.94589999999999996</v>
      </c>
      <c r="D41" s="16">
        <v>592</v>
      </c>
      <c r="E41" s="17">
        <f t="shared" si="4"/>
        <v>32.027199999999993</v>
      </c>
      <c r="F41" s="18">
        <f t="shared" si="1"/>
        <v>1761.4959999999996</v>
      </c>
      <c r="G41" s="60">
        <f t="shared" si="3"/>
        <v>29.600000000000023</v>
      </c>
      <c r="H41" s="61">
        <f t="shared" si="2"/>
        <v>-2.4271999999999707</v>
      </c>
    </row>
    <row r="42" spans="1:8" ht="13" x14ac:dyDescent="0.15">
      <c r="A42" s="12">
        <v>45565</v>
      </c>
      <c r="B42" s="13" t="s">
        <v>2</v>
      </c>
      <c r="C42" s="14">
        <v>0.94589999999999996</v>
      </c>
      <c r="D42" s="16">
        <v>592</v>
      </c>
      <c r="E42" s="17">
        <f t="shared" si="4"/>
        <v>32.027199999999993</v>
      </c>
      <c r="F42" s="18">
        <f t="shared" si="1"/>
        <v>1761.4959999999996</v>
      </c>
      <c r="G42" s="60">
        <f t="shared" si="3"/>
        <v>29.600000000000023</v>
      </c>
      <c r="H42" s="61">
        <f t="shared" si="2"/>
        <v>-2.4271999999999707</v>
      </c>
    </row>
    <row r="43" spans="1:8" ht="13" x14ac:dyDescent="0.15">
      <c r="A43" s="12">
        <v>45566</v>
      </c>
      <c r="B43" s="13" t="s">
        <v>3</v>
      </c>
      <c r="C43" s="14">
        <v>0.95420000000000005</v>
      </c>
      <c r="D43" s="16">
        <v>592</v>
      </c>
      <c r="E43" s="17">
        <f t="shared" si="4"/>
        <v>27.113600000000019</v>
      </c>
      <c r="F43" s="18">
        <f t="shared" si="1"/>
        <v>1491.248000000001</v>
      </c>
      <c r="G43" s="60">
        <f t="shared" si="3"/>
        <v>29.600000000000023</v>
      </c>
      <c r="H43" s="61">
        <f t="shared" si="2"/>
        <v>2.4864000000000033</v>
      </c>
    </row>
    <row r="44" spans="1:8" ht="13" x14ac:dyDescent="0.15">
      <c r="A44" s="12">
        <v>45567</v>
      </c>
      <c r="B44" s="13" t="s">
        <v>4</v>
      </c>
      <c r="C44" s="14">
        <v>0.97789999999999999</v>
      </c>
      <c r="D44" s="16">
        <v>590</v>
      </c>
      <c r="E44" s="17">
        <f t="shared" si="4"/>
        <v>13.038999999999987</v>
      </c>
      <c r="F44" s="18">
        <f t="shared" si="1"/>
        <v>717.1449999999993</v>
      </c>
      <c r="G44" s="60">
        <f t="shared" si="3"/>
        <v>29.5</v>
      </c>
      <c r="H44" s="61">
        <f t="shared" si="2"/>
        <v>16.461000000000013</v>
      </c>
    </row>
    <row r="45" spans="1:8" ht="13" x14ac:dyDescent="0.15">
      <c r="A45" s="12">
        <v>45568</v>
      </c>
      <c r="B45" s="13" t="s">
        <v>5</v>
      </c>
      <c r="C45" s="14">
        <v>0.97789999999999999</v>
      </c>
      <c r="D45" s="16">
        <v>590</v>
      </c>
      <c r="E45" s="17">
        <f t="shared" si="4"/>
        <v>13.038999999999987</v>
      </c>
      <c r="F45" s="18">
        <f t="shared" si="1"/>
        <v>717.1449999999993</v>
      </c>
      <c r="G45" s="60">
        <f t="shared" si="3"/>
        <v>29.5</v>
      </c>
      <c r="H45" s="61">
        <f t="shared" si="2"/>
        <v>16.461000000000013</v>
      </c>
    </row>
    <row r="46" spans="1:8" ht="13" x14ac:dyDescent="0.15">
      <c r="A46" s="12">
        <v>45569</v>
      </c>
      <c r="B46" s="13" t="s">
        <v>6</v>
      </c>
      <c r="C46" s="14">
        <v>0.95930000000000004</v>
      </c>
      <c r="D46" s="16">
        <v>591</v>
      </c>
      <c r="E46" s="17">
        <f t="shared" si="4"/>
        <v>24.053699999999935</v>
      </c>
      <c r="F46" s="18">
        <f t="shared" si="1"/>
        <v>1322.9534999999964</v>
      </c>
      <c r="G46" s="60">
        <f t="shared" si="3"/>
        <v>29.550000000000068</v>
      </c>
      <c r="H46" s="61">
        <f t="shared" si="2"/>
        <v>5.496300000000133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60">
        <f t="shared" si="3"/>
        <v>0</v>
      </c>
      <c r="H47" s="61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60">
        <f t="shared" si="3"/>
        <v>0</v>
      </c>
      <c r="H48" s="61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60">
        <f t="shared" si="3"/>
        <v>0</v>
      </c>
      <c r="H49" s="61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60">
        <f t="shared" si="3"/>
        <v>0</v>
      </c>
      <c r="H50" s="61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60">
        <f t="shared" si="3"/>
        <v>0</v>
      </c>
      <c r="H51" s="61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0.9032</v>
      </c>
      <c r="D52" s="16">
        <v>590</v>
      </c>
      <c r="E52" s="17">
        <f t="shared" si="4"/>
        <v>57.111999999999966</v>
      </c>
      <c r="F52" s="18">
        <f t="shared" si="1"/>
        <v>3141.159999999998</v>
      </c>
      <c r="G52" s="60">
        <f t="shared" si="3"/>
        <v>29.5</v>
      </c>
      <c r="H52" s="61">
        <f t="shared" si="2"/>
        <v>-27.611999999999966</v>
      </c>
    </row>
    <row r="53" spans="1:8" ht="13" x14ac:dyDescent="0.15">
      <c r="A53" s="12">
        <v>45580</v>
      </c>
      <c r="B53" s="13" t="s">
        <v>3</v>
      </c>
      <c r="C53" s="14">
        <v>0.96760000000000002</v>
      </c>
      <c r="D53" s="16">
        <v>586</v>
      </c>
      <c r="E53" s="17">
        <f t="shared" si="4"/>
        <v>18.986400000000003</v>
      </c>
      <c r="F53" s="18">
        <f t="shared" si="1"/>
        <v>1044.2520000000002</v>
      </c>
      <c r="G53" s="60">
        <f t="shared" si="3"/>
        <v>29.300000000000068</v>
      </c>
      <c r="H53" s="61">
        <f t="shared" si="2"/>
        <v>10.313600000000065</v>
      </c>
    </row>
    <row r="54" spans="1:8" ht="13" x14ac:dyDescent="0.15">
      <c r="A54" s="12">
        <v>45581</v>
      </c>
      <c r="B54" s="13" t="s">
        <v>4</v>
      </c>
      <c r="C54" s="29">
        <v>0.96230000000000004</v>
      </c>
      <c r="D54" s="16">
        <v>584</v>
      </c>
      <c r="E54" s="17">
        <f t="shared" si="4"/>
        <v>22.016799999999989</v>
      </c>
      <c r="F54" s="18">
        <f t="shared" si="1"/>
        <v>1210.9239999999995</v>
      </c>
      <c r="G54" s="60">
        <f t="shared" si="3"/>
        <v>29.200000000000045</v>
      </c>
      <c r="H54" s="61">
        <f t="shared" si="2"/>
        <v>7.1832000000000562</v>
      </c>
    </row>
    <row r="55" spans="1:8" ht="13" x14ac:dyDescent="0.15">
      <c r="A55" s="12">
        <v>45582</v>
      </c>
      <c r="B55" s="13" t="s">
        <v>5</v>
      </c>
      <c r="C55" s="14">
        <v>0.93659999999999999</v>
      </c>
      <c r="D55" s="16">
        <v>584</v>
      </c>
      <c r="E55" s="17">
        <f t="shared" si="4"/>
        <v>37.025600000000054</v>
      </c>
      <c r="F55" s="18">
        <f t="shared" si="1"/>
        <v>2036.4080000000031</v>
      </c>
      <c r="G55" s="60">
        <f t="shared" si="3"/>
        <v>29.200000000000045</v>
      </c>
      <c r="H55" s="61">
        <f t="shared" si="2"/>
        <v>-7.8256000000000085</v>
      </c>
    </row>
    <row r="56" spans="1:8" ht="13" x14ac:dyDescent="0.15">
      <c r="A56" s="12">
        <v>45583</v>
      </c>
      <c r="B56" s="13" t="s">
        <v>6</v>
      </c>
      <c r="C56" s="14">
        <v>0.93320000000000003</v>
      </c>
      <c r="D56" s="16">
        <v>584</v>
      </c>
      <c r="E56" s="17">
        <f t="shared" si="4"/>
        <v>39.011200000000031</v>
      </c>
      <c r="F56" s="18">
        <f t="shared" si="1"/>
        <v>2145.6160000000018</v>
      </c>
      <c r="G56" s="60">
        <f t="shared" si="3"/>
        <v>29.200000000000045</v>
      </c>
      <c r="H56" s="61">
        <f t="shared" si="2"/>
        <v>-9.8111999999999853</v>
      </c>
    </row>
    <row r="57" spans="1:8" ht="13" x14ac:dyDescent="0.15">
      <c r="A57" s="12">
        <v>45586</v>
      </c>
      <c r="B57" s="13" t="s">
        <v>2</v>
      </c>
      <c r="C57" s="14">
        <v>0.94520000000000004</v>
      </c>
      <c r="D57" s="16">
        <v>584</v>
      </c>
      <c r="E57" s="17">
        <f t="shared" si="4"/>
        <v>32.003199999999993</v>
      </c>
      <c r="F57" s="18">
        <f t="shared" si="1"/>
        <v>1760.1759999999995</v>
      </c>
      <c r="G57" s="60">
        <f t="shared" si="3"/>
        <v>29.200000000000045</v>
      </c>
      <c r="H57" s="61">
        <f t="shared" si="2"/>
        <v>-2.8031999999999471</v>
      </c>
    </row>
    <row r="58" spans="1:8" ht="13" x14ac:dyDescent="0.15">
      <c r="A58" s="12">
        <v>45587</v>
      </c>
      <c r="B58" s="13" t="s">
        <v>3</v>
      </c>
      <c r="C58" s="14">
        <v>0.95899999999999996</v>
      </c>
      <c r="D58" s="16">
        <v>585</v>
      </c>
      <c r="E58" s="17">
        <f t="shared" si="4"/>
        <v>23.985000000000014</v>
      </c>
      <c r="F58" s="18">
        <f t="shared" si="1"/>
        <v>1319.1750000000006</v>
      </c>
      <c r="G58" s="60">
        <f t="shared" si="3"/>
        <v>29.25</v>
      </c>
      <c r="H58" s="61">
        <f t="shared" si="2"/>
        <v>5.2649999999999864</v>
      </c>
    </row>
    <row r="59" spans="1:8" ht="13" x14ac:dyDescent="0.15">
      <c r="A59" s="12">
        <v>45588</v>
      </c>
      <c r="B59" s="13" t="s">
        <v>4</v>
      </c>
      <c r="C59" s="14">
        <v>0.94530000000000003</v>
      </c>
      <c r="D59" s="16">
        <v>585</v>
      </c>
      <c r="E59" s="17">
        <f t="shared" si="4"/>
        <v>31.999500000000012</v>
      </c>
      <c r="F59" s="18">
        <f t="shared" si="1"/>
        <v>1759.9725000000008</v>
      </c>
      <c r="G59" s="60">
        <f t="shared" si="3"/>
        <v>29.25</v>
      </c>
      <c r="H59" s="61">
        <f t="shared" si="2"/>
        <v>-2.7495000000000118</v>
      </c>
    </row>
    <row r="60" spans="1:8" ht="13" x14ac:dyDescent="0.15">
      <c r="A60" s="12">
        <v>45589</v>
      </c>
      <c r="B60" s="13" t="s">
        <v>5</v>
      </c>
      <c r="C60" s="14">
        <v>0.95730000000000004</v>
      </c>
      <c r="D60" s="16">
        <v>585</v>
      </c>
      <c r="E60" s="17">
        <f t="shared" si="4"/>
        <v>24.97950000000003</v>
      </c>
      <c r="F60" s="18">
        <f t="shared" si="1"/>
        <v>1373.8725000000018</v>
      </c>
      <c r="G60" s="60">
        <f t="shared" si="3"/>
        <v>29.25</v>
      </c>
      <c r="H60" s="61">
        <f t="shared" si="2"/>
        <v>4.27049999999997</v>
      </c>
    </row>
    <row r="61" spans="1:8" ht="13" x14ac:dyDescent="0.15">
      <c r="A61" s="12">
        <v>45590</v>
      </c>
      <c r="B61" s="13" t="s">
        <v>6</v>
      </c>
      <c r="C61" s="14">
        <v>0.94189999999999996</v>
      </c>
      <c r="D61" s="16">
        <v>585</v>
      </c>
      <c r="E61" s="17">
        <f t="shared" si="4"/>
        <v>33.988500000000045</v>
      </c>
      <c r="F61" s="18">
        <f t="shared" si="1"/>
        <v>1869.3675000000026</v>
      </c>
      <c r="G61" s="60">
        <f t="shared" si="3"/>
        <v>29.25</v>
      </c>
      <c r="H61" s="61">
        <f t="shared" si="2"/>
        <v>-4.7385000000000446</v>
      </c>
    </row>
    <row r="62" spans="1:8" ht="13" x14ac:dyDescent="0.15">
      <c r="A62" s="12">
        <v>45593</v>
      </c>
      <c r="B62" s="13" t="s">
        <v>2</v>
      </c>
      <c r="C62" s="14">
        <v>0.95050000000000001</v>
      </c>
      <c r="D62" s="16">
        <v>587</v>
      </c>
      <c r="E62" s="17">
        <f t="shared" si="4"/>
        <v>29.056500000000028</v>
      </c>
      <c r="F62" s="18">
        <f t="shared" si="1"/>
        <v>1598.1075000000014</v>
      </c>
      <c r="G62" s="60">
        <f t="shared" si="3"/>
        <v>29.350000000000023</v>
      </c>
      <c r="H62" s="61">
        <f t="shared" si="2"/>
        <v>0.29349999999999454</v>
      </c>
    </row>
    <row r="63" spans="1:8" ht="13" x14ac:dyDescent="0.15">
      <c r="A63" s="12">
        <v>45594</v>
      </c>
      <c r="B63" s="13" t="s">
        <v>3</v>
      </c>
      <c r="C63" s="14">
        <v>0.95730000000000004</v>
      </c>
      <c r="D63" s="16">
        <v>586</v>
      </c>
      <c r="E63" s="17">
        <f t="shared" si="4"/>
        <v>25.022199999999998</v>
      </c>
      <c r="F63" s="18">
        <f t="shared" si="1"/>
        <v>1376.221</v>
      </c>
      <c r="G63" s="60">
        <f t="shared" si="3"/>
        <v>29.300000000000068</v>
      </c>
      <c r="H63" s="61">
        <f t="shared" si="2"/>
        <v>4.2778000000000702</v>
      </c>
    </row>
    <row r="64" spans="1:8" ht="13" x14ac:dyDescent="0.15">
      <c r="A64" s="12">
        <v>45595</v>
      </c>
      <c r="B64" s="13" t="s">
        <v>4</v>
      </c>
      <c r="C64" s="14">
        <v>0.94720000000000004</v>
      </c>
      <c r="D64" s="16">
        <v>587</v>
      </c>
      <c r="E64" s="17">
        <f t="shared" si="4"/>
        <v>30.993600000000015</v>
      </c>
      <c r="F64" s="18">
        <f t="shared" si="1"/>
        <v>1704.6480000000008</v>
      </c>
      <c r="G64" s="60">
        <f t="shared" si="3"/>
        <v>29.350000000000023</v>
      </c>
      <c r="H64" s="61">
        <f t="shared" si="2"/>
        <v>-1.6435999999999922</v>
      </c>
    </row>
    <row r="65" spans="1:8" ht="13" x14ac:dyDescent="0.15">
      <c r="A65" s="12">
        <v>45596</v>
      </c>
      <c r="B65" s="13" t="s">
        <v>5</v>
      </c>
      <c r="C65" s="14">
        <v>0.9506</v>
      </c>
      <c r="D65" s="16">
        <v>587</v>
      </c>
      <c r="E65" s="17">
        <f t="shared" si="4"/>
        <v>28.997799999999984</v>
      </c>
      <c r="F65" s="18">
        <f t="shared" si="1"/>
        <v>1594.878999999999</v>
      </c>
      <c r="G65" s="60">
        <f t="shared" si="3"/>
        <v>29.350000000000023</v>
      </c>
      <c r="H65" s="61">
        <f t="shared" si="2"/>
        <v>0.35220000000003893</v>
      </c>
    </row>
    <row r="66" spans="1:8" ht="13" x14ac:dyDescent="0.15">
      <c r="A66" s="12">
        <v>45597</v>
      </c>
      <c r="B66" s="13" t="s">
        <v>6</v>
      </c>
      <c r="C66" s="14">
        <v>0.84330000000000005</v>
      </c>
      <c r="D66" s="16">
        <v>587</v>
      </c>
      <c r="E66" s="17">
        <f t="shared" si="4"/>
        <v>91.982899999999972</v>
      </c>
      <c r="F66" s="18">
        <f t="shared" si="1"/>
        <v>5059.0594999999985</v>
      </c>
      <c r="G66" s="60">
        <f t="shared" si="3"/>
        <v>29.350000000000023</v>
      </c>
      <c r="H66" s="61">
        <f t="shared" si="2"/>
        <v>-62.63289999999995</v>
      </c>
    </row>
    <row r="67" spans="1:8" ht="13" x14ac:dyDescent="0.15">
      <c r="A67" s="30">
        <v>45600</v>
      </c>
      <c r="B67" s="31" t="s">
        <v>2</v>
      </c>
      <c r="C67" s="32">
        <v>0</v>
      </c>
      <c r="D67" s="33"/>
      <c r="E67" s="17">
        <f t="shared" si="4"/>
        <v>0</v>
      </c>
      <c r="F67" s="18">
        <f t="shared" si="1"/>
        <v>0</v>
      </c>
      <c r="G67" s="60">
        <f t="shared" si="3"/>
        <v>0</v>
      </c>
      <c r="H67" s="61">
        <f t="shared" si="2"/>
        <v>0</v>
      </c>
    </row>
    <row r="68" spans="1:8" ht="13" x14ac:dyDescent="0.15">
      <c r="A68" s="25">
        <v>45601</v>
      </c>
      <c r="B68" s="26" t="s">
        <v>3</v>
      </c>
      <c r="C68" s="27">
        <v>0</v>
      </c>
      <c r="D68" s="28"/>
      <c r="E68" s="17">
        <f t="shared" si="4"/>
        <v>0</v>
      </c>
      <c r="F68" s="18">
        <f t="shared" si="1"/>
        <v>0</v>
      </c>
      <c r="G68" s="60">
        <f t="shared" si="3"/>
        <v>0</v>
      </c>
      <c r="H68" s="61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0.9456</v>
      </c>
      <c r="D69" s="16">
        <v>588</v>
      </c>
      <c r="E69" s="17">
        <f t="shared" si="4"/>
        <v>31.98720000000003</v>
      </c>
      <c r="F69" s="18">
        <f t="shared" si="1"/>
        <v>1759.2960000000016</v>
      </c>
      <c r="G69" s="60">
        <f t="shared" si="3"/>
        <v>29.399999999999977</v>
      </c>
      <c r="H69" s="61">
        <f t="shared" si="2"/>
        <v>-2.5872000000000526</v>
      </c>
    </row>
    <row r="70" spans="1:8" ht="13" x14ac:dyDescent="0.15">
      <c r="A70" s="12">
        <v>45603</v>
      </c>
      <c r="B70" s="13" t="s">
        <v>5</v>
      </c>
      <c r="C70" s="14">
        <v>0.97450000000000003</v>
      </c>
      <c r="D70" s="16">
        <v>588</v>
      </c>
      <c r="E70" s="17">
        <f t="shared" si="4"/>
        <v>14.994000000000028</v>
      </c>
      <c r="F70" s="18">
        <f t="shared" si="1"/>
        <v>824.67000000000155</v>
      </c>
      <c r="G70" s="60">
        <f t="shared" si="3"/>
        <v>29.399999999999977</v>
      </c>
      <c r="H70" s="61">
        <f t="shared" si="2"/>
        <v>14.405999999999949</v>
      </c>
    </row>
    <row r="71" spans="1:8" ht="13" x14ac:dyDescent="0.15">
      <c r="A71" s="12">
        <v>45604</v>
      </c>
      <c r="B71" s="13" t="s">
        <v>6</v>
      </c>
      <c r="C71" s="14">
        <v>0.9677</v>
      </c>
      <c r="D71" s="16">
        <v>589</v>
      </c>
      <c r="E71" s="17">
        <f t="shared" ref="E71:E84" si="5">D71-(C71*D71)</f>
        <v>19.024700000000053</v>
      </c>
      <c r="F71" s="18">
        <f t="shared" si="1"/>
        <v>1046.358500000003</v>
      </c>
      <c r="G71" s="60">
        <f t="shared" si="3"/>
        <v>29.450000000000045</v>
      </c>
      <c r="H71" s="61">
        <f t="shared" si="2"/>
        <v>10.425299999999993</v>
      </c>
    </row>
    <row r="72" spans="1:8" ht="13" x14ac:dyDescent="0.15">
      <c r="A72" s="12">
        <v>45607</v>
      </c>
      <c r="B72" s="13" t="s">
        <v>2</v>
      </c>
      <c r="C72" s="14">
        <v>0.95430000000000004</v>
      </c>
      <c r="D72" s="16">
        <v>591</v>
      </c>
      <c r="E72" s="17">
        <f t="shared" si="5"/>
        <v>27.008699999999976</v>
      </c>
      <c r="F72" s="18">
        <f t="shared" si="1"/>
        <v>1485.4784999999988</v>
      </c>
      <c r="G72" s="60">
        <f t="shared" si="3"/>
        <v>29.550000000000068</v>
      </c>
      <c r="H72" s="61">
        <f t="shared" si="2"/>
        <v>2.541300000000092</v>
      </c>
    </row>
    <row r="73" spans="1:8" ht="13" x14ac:dyDescent="0.15">
      <c r="A73" s="12">
        <v>45608</v>
      </c>
      <c r="B73" s="13" t="s">
        <v>3</v>
      </c>
      <c r="C73" s="14">
        <v>0.95089999999999997</v>
      </c>
      <c r="D73" s="16">
        <v>591</v>
      </c>
      <c r="E73" s="17">
        <f t="shared" si="5"/>
        <v>29.018100000000004</v>
      </c>
      <c r="F73" s="18">
        <f t="shared" si="1"/>
        <v>1595.9955000000002</v>
      </c>
      <c r="G73" s="60">
        <f t="shared" si="3"/>
        <v>29.550000000000068</v>
      </c>
      <c r="H73" s="61">
        <f t="shared" si="2"/>
        <v>0.53190000000006421</v>
      </c>
    </row>
    <row r="74" spans="1:8" ht="13" x14ac:dyDescent="0.15">
      <c r="A74" s="12">
        <v>45609</v>
      </c>
      <c r="B74" s="13" t="s">
        <v>4</v>
      </c>
      <c r="C74" s="14">
        <v>0.95940000000000003</v>
      </c>
      <c r="D74" s="16">
        <v>591</v>
      </c>
      <c r="E74" s="17">
        <f t="shared" si="5"/>
        <v>23.994599999999991</v>
      </c>
      <c r="F74" s="18">
        <f t="shared" si="1"/>
        <v>1319.7029999999995</v>
      </c>
      <c r="G74" s="60">
        <f t="shared" si="3"/>
        <v>29.550000000000068</v>
      </c>
      <c r="H74" s="61">
        <f t="shared" si="2"/>
        <v>5.5554000000000769</v>
      </c>
    </row>
    <row r="75" spans="1:8" ht="13" x14ac:dyDescent="0.15">
      <c r="A75" s="12">
        <v>45610</v>
      </c>
      <c r="B75" s="13" t="s">
        <v>5</v>
      </c>
      <c r="C75" s="14">
        <v>0.92889999999999995</v>
      </c>
      <c r="D75" s="16">
        <v>591</v>
      </c>
      <c r="E75" s="17">
        <f t="shared" si="5"/>
        <v>42.02010000000007</v>
      </c>
      <c r="F75" s="18">
        <f t="shared" si="1"/>
        <v>2311.1055000000038</v>
      </c>
      <c r="G75" s="60">
        <f t="shared" si="3"/>
        <v>29.550000000000068</v>
      </c>
      <c r="H75" s="61">
        <f t="shared" si="2"/>
        <v>-12.470100000000002</v>
      </c>
    </row>
    <row r="76" spans="1:8" ht="13" x14ac:dyDescent="0.15">
      <c r="A76" s="12">
        <v>45611</v>
      </c>
      <c r="B76" s="13" t="s">
        <v>6</v>
      </c>
      <c r="C76" s="14">
        <v>0.89849999999999997</v>
      </c>
      <c r="D76" s="16">
        <v>591</v>
      </c>
      <c r="E76" s="17">
        <f t="shared" si="5"/>
        <v>59.986499999999978</v>
      </c>
      <c r="F76" s="18">
        <f t="shared" si="1"/>
        <v>3299.2574999999988</v>
      </c>
      <c r="G76" s="60">
        <f t="shared" si="3"/>
        <v>29.550000000000068</v>
      </c>
      <c r="H76" s="61">
        <f t="shared" si="2"/>
        <v>-30.43649999999991</v>
      </c>
    </row>
    <row r="77" spans="1:8" ht="13" x14ac:dyDescent="0.15">
      <c r="A77" s="12">
        <v>45614</v>
      </c>
      <c r="B77" s="13" t="s">
        <v>2</v>
      </c>
      <c r="C77" s="14">
        <v>0.93569999999999998</v>
      </c>
      <c r="D77" s="16">
        <v>591</v>
      </c>
      <c r="E77" s="17">
        <f t="shared" si="5"/>
        <v>38.001300000000015</v>
      </c>
      <c r="F77" s="18">
        <f t="shared" si="1"/>
        <v>2090.0715000000009</v>
      </c>
      <c r="G77" s="60">
        <f t="shared" si="3"/>
        <v>29.550000000000068</v>
      </c>
      <c r="H77" s="61">
        <f t="shared" si="2"/>
        <v>-8.4512999999999465</v>
      </c>
    </row>
    <row r="78" spans="1:8" ht="13" x14ac:dyDescent="0.15">
      <c r="A78" s="12">
        <v>45615</v>
      </c>
      <c r="B78" s="13" t="s">
        <v>3</v>
      </c>
      <c r="C78" s="14">
        <v>0.93569999999999998</v>
      </c>
      <c r="D78" s="16">
        <v>591</v>
      </c>
      <c r="E78" s="17">
        <f t="shared" si="5"/>
        <v>38.001300000000015</v>
      </c>
      <c r="F78" s="18">
        <f t="shared" si="1"/>
        <v>2090.0715000000009</v>
      </c>
      <c r="G78" s="60">
        <f t="shared" si="3"/>
        <v>29.550000000000068</v>
      </c>
      <c r="H78" s="61">
        <f t="shared" si="2"/>
        <v>-8.4512999999999465</v>
      </c>
    </row>
    <row r="79" spans="1:8" ht="13" x14ac:dyDescent="0.15">
      <c r="A79" s="12">
        <v>45616</v>
      </c>
      <c r="B79" s="13" t="s">
        <v>4</v>
      </c>
      <c r="C79" s="14">
        <v>0.96279999999999999</v>
      </c>
      <c r="D79" s="16">
        <v>591</v>
      </c>
      <c r="E79" s="17">
        <f t="shared" si="5"/>
        <v>21.985199999999963</v>
      </c>
      <c r="F79" s="18">
        <f t="shared" si="1"/>
        <v>1209.1859999999979</v>
      </c>
      <c r="G79" s="60">
        <f t="shared" si="3"/>
        <v>29.550000000000068</v>
      </c>
      <c r="H79" s="61">
        <f t="shared" si="2"/>
        <v>7.5648000000001048</v>
      </c>
    </row>
    <row r="80" spans="1:8" ht="13" x14ac:dyDescent="0.15">
      <c r="A80" s="12">
        <v>45617</v>
      </c>
      <c r="B80" s="13" t="s">
        <v>5</v>
      </c>
      <c r="C80" s="14">
        <v>0.94420000000000004</v>
      </c>
      <c r="D80" s="16">
        <v>591</v>
      </c>
      <c r="E80" s="17">
        <f t="shared" si="5"/>
        <v>32.977800000000002</v>
      </c>
      <c r="F80" s="18">
        <f t="shared" si="1"/>
        <v>1813.779</v>
      </c>
      <c r="G80" s="60">
        <f t="shared" si="3"/>
        <v>29.550000000000068</v>
      </c>
      <c r="H80" s="61">
        <f t="shared" si="2"/>
        <v>-3.4277999999999338</v>
      </c>
    </row>
    <row r="81" spans="1:8" ht="13" x14ac:dyDescent="0.15">
      <c r="A81" s="12">
        <v>45618</v>
      </c>
      <c r="B81" s="13" t="s">
        <v>6</v>
      </c>
      <c r="C81" s="14">
        <v>0.92220000000000002</v>
      </c>
      <c r="D81" s="16">
        <v>591</v>
      </c>
      <c r="E81" s="17">
        <f t="shared" si="5"/>
        <v>45.979799999999955</v>
      </c>
      <c r="F81" s="18">
        <f t="shared" si="1"/>
        <v>2528.8889999999974</v>
      </c>
      <c r="G81" s="60">
        <f t="shared" si="3"/>
        <v>29.550000000000068</v>
      </c>
      <c r="H81" s="61">
        <f t="shared" si="2"/>
        <v>-16.429799999999886</v>
      </c>
    </row>
    <row r="82" spans="1:8" ht="13" x14ac:dyDescent="0.15">
      <c r="A82" s="25">
        <v>45621</v>
      </c>
      <c r="B82" s="26" t="s">
        <v>2</v>
      </c>
      <c r="C82" s="27">
        <v>0</v>
      </c>
      <c r="D82" s="28"/>
      <c r="E82" s="17">
        <f t="shared" si="5"/>
        <v>0</v>
      </c>
      <c r="F82" s="18">
        <f t="shared" si="1"/>
        <v>0</v>
      </c>
      <c r="G82" s="60">
        <f t="shared" si="3"/>
        <v>0</v>
      </c>
      <c r="H82" s="61">
        <f t="shared" si="2"/>
        <v>0</v>
      </c>
    </row>
    <row r="83" spans="1:8" ht="13" x14ac:dyDescent="0.15">
      <c r="A83" s="25">
        <v>45622</v>
      </c>
      <c r="B83" s="26" t="s">
        <v>3</v>
      </c>
      <c r="C83" s="27">
        <v>0</v>
      </c>
      <c r="D83" s="28"/>
      <c r="E83" s="17">
        <f t="shared" si="5"/>
        <v>0</v>
      </c>
      <c r="F83" s="18">
        <f t="shared" si="1"/>
        <v>0</v>
      </c>
      <c r="G83" s="60">
        <f t="shared" si="3"/>
        <v>0</v>
      </c>
      <c r="H83" s="61">
        <f t="shared" si="2"/>
        <v>0</v>
      </c>
    </row>
    <row r="84" spans="1:8" ht="13" x14ac:dyDescent="0.15">
      <c r="A84" s="25">
        <v>45623</v>
      </c>
      <c r="B84" s="26" t="s">
        <v>4</v>
      </c>
      <c r="C84" s="27">
        <v>0</v>
      </c>
      <c r="D84" s="28"/>
      <c r="E84" s="17">
        <f t="shared" si="5"/>
        <v>0</v>
      </c>
      <c r="F84" s="18">
        <f t="shared" si="1"/>
        <v>0</v>
      </c>
      <c r="G84" s="60">
        <f t="shared" si="3"/>
        <v>0</v>
      </c>
      <c r="H84" s="61">
        <f t="shared" si="2"/>
        <v>0</v>
      </c>
    </row>
    <row r="85" spans="1:8" ht="13" x14ac:dyDescent="0.15">
      <c r="A85" s="25">
        <v>45624</v>
      </c>
      <c r="B85" s="26" t="s">
        <v>5</v>
      </c>
      <c r="C85" s="27">
        <v>0</v>
      </c>
      <c r="D85" s="28"/>
      <c r="E85" s="17">
        <f t="shared" ref="E85:E93" si="6">D85-(C86*D85)</f>
        <v>0</v>
      </c>
      <c r="F85" s="18">
        <f t="shared" si="1"/>
        <v>0</v>
      </c>
      <c r="G85" s="60">
        <f t="shared" si="3"/>
        <v>0</v>
      </c>
      <c r="H85" s="61">
        <f t="shared" si="2"/>
        <v>0</v>
      </c>
    </row>
    <row r="86" spans="1:8" ht="13" x14ac:dyDescent="0.15">
      <c r="A86" s="25">
        <v>45625</v>
      </c>
      <c r="B86" s="26" t="s">
        <v>6</v>
      </c>
      <c r="C86" s="27">
        <v>0</v>
      </c>
      <c r="D86" s="28"/>
      <c r="E86" s="17">
        <f t="shared" si="6"/>
        <v>0</v>
      </c>
      <c r="F86" s="18">
        <f t="shared" si="1"/>
        <v>0</v>
      </c>
      <c r="G86" s="60">
        <f t="shared" si="3"/>
        <v>0</v>
      </c>
      <c r="H86" s="61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0.94569999999999999</v>
      </c>
      <c r="D87" s="16">
        <v>589</v>
      </c>
      <c r="E87" s="17">
        <f t="shared" si="6"/>
        <v>27.918599999999969</v>
      </c>
      <c r="F87" s="18">
        <f t="shared" si="1"/>
        <v>1535.5229999999983</v>
      </c>
      <c r="G87" s="60">
        <f t="shared" si="3"/>
        <v>29.450000000000045</v>
      </c>
      <c r="H87" s="61">
        <f t="shared" si="2"/>
        <v>1.531400000000076</v>
      </c>
    </row>
    <row r="88" spans="1:8" ht="13" x14ac:dyDescent="0.15">
      <c r="A88" s="12">
        <v>45629</v>
      </c>
      <c r="B88" s="13" t="s">
        <v>3</v>
      </c>
      <c r="C88" s="14">
        <v>0.9526</v>
      </c>
      <c r="D88" s="16">
        <v>591</v>
      </c>
      <c r="E88" s="17">
        <f t="shared" si="6"/>
        <v>24.999299999999948</v>
      </c>
      <c r="F88" s="18">
        <f t="shared" si="1"/>
        <v>1374.9614999999972</v>
      </c>
      <c r="G88" s="60">
        <f t="shared" si="3"/>
        <v>29.550000000000068</v>
      </c>
      <c r="H88" s="61">
        <f t="shared" si="2"/>
        <v>4.5507000000001199</v>
      </c>
    </row>
    <row r="89" spans="1:8" ht="13" x14ac:dyDescent="0.15">
      <c r="A89" s="12">
        <v>45630</v>
      </c>
      <c r="B89" s="13" t="s">
        <v>4</v>
      </c>
      <c r="C89" s="14">
        <v>0.9577</v>
      </c>
      <c r="D89" s="16">
        <v>591</v>
      </c>
      <c r="E89" s="17">
        <f t="shared" si="6"/>
        <v>39.065100000000029</v>
      </c>
      <c r="F89" s="18">
        <f t="shared" si="1"/>
        <v>2148.5805000000018</v>
      </c>
      <c r="G89" s="60">
        <f t="shared" si="3"/>
        <v>29.550000000000068</v>
      </c>
      <c r="H89" s="61">
        <f t="shared" si="2"/>
        <v>-9.5150999999999613</v>
      </c>
    </row>
    <row r="90" spans="1:8" ht="13" x14ac:dyDescent="0.15">
      <c r="A90" s="12">
        <v>45631</v>
      </c>
      <c r="B90" s="13" t="s">
        <v>5</v>
      </c>
      <c r="C90" s="14">
        <v>0.93389999999999995</v>
      </c>
      <c r="D90" s="16">
        <v>590</v>
      </c>
      <c r="E90" s="17">
        <f t="shared" si="6"/>
        <v>34.986999999999966</v>
      </c>
      <c r="F90" s="18">
        <f t="shared" si="1"/>
        <v>1924.284999999998</v>
      </c>
      <c r="G90" s="60">
        <f t="shared" si="3"/>
        <v>29.5</v>
      </c>
      <c r="H90" s="61">
        <f t="shared" si="2"/>
        <v>-5.4869999999999663</v>
      </c>
    </row>
    <row r="91" spans="1:8" ht="13" x14ac:dyDescent="0.15">
      <c r="A91" s="12">
        <v>45632</v>
      </c>
      <c r="B91" s="13" t="s">
        <v>6</v>
      </c>
      <c r="C91" s="14">
        <v>0.94069999999999998</v>
      </c>
      <c r="D91" s="16">
        <v>590</v>
      </c>
      <c r="E91" s="17">
        <f t="shared" si="6"/>
        <v>42.008000000000038</v>
      </c>
      <c r="F91" s="18">
        <f t="shared" si="1"/>
        <v>2310.4400000000023</v>
      </c>
      <c r="G91" s="60">
        <f t="shared" si="3"/>
        <v>29.5</v>
      </c>
      <c r="H91" s="61">
        <f t="shared" si="2"/>
        <v>-12.508000000000038</v>
      </c>
    </row>
    <row r="92" spans="1:8" ht="13" x14ac:dyDescent="0.15">
      <c r="A92" s="12">
        <v>45635</v>
      </c>
      <c r="B92" s="13" t="s">
        <v>2</v>
      </c>
      <c r="C92" s="14">
        <v>0.92879999999999996</v>
      </c>
      <c r="D92" s="16">
        <v>590</v>
      </c>
      <c r="E92" s="17">
        <f t="shared" si="6"/>
        <v>23.009999999999991</v>
      </c>
      <c r="F92" s="18">
        <f t="shared" si="1"/>
        <v>1265.5499999999995</v>
      </c>
      <c r="G92" s="60">
        <f t="shared" si="3"/>
        <v>29.5</v>
      </c>
      <c r="H92" s="61">
        <f t="shared" si="2"/>
        <v>6.4900000000000091</v>
      </c>
    </row>
    <row r="93" spans="1:8" ht="13" x14ac:dyDescent="0.15">
      <c r="A93" s="12">
        <v>45636</v>
      </c>
      <c r="B93" s="13" t="s">
        <v>3</v>
      </c>
      <c r="C93" s="14">
        <v>0.96099999999999997</v>
      </c>
      <c r="D93" s="16">
        <v>590</v>
      </c>
      <c r="E93" s="17">
        <f t="shared" si="6"/>
        <v>25.015999999999963</v>
      </c>
      <c r="F93" s="18">
        <f t="shared" si="1"/>
        <v>1375.8799999999978</v>
      </c>
      <c r="G93" s="60">
        <f t="shared" si="3"/>
        <v>29.5</v>
      </c>
      <c r="H93" s="61">
        <f t="shared" si="2"/>
        <v>4.4840000000000373</v>
      </c>
    </row>
    <row r="94" spans="1:8" ht="13" x14ac:dyDescent="0.15">
      <c r="A94" s="12">
        <v>45637</v>
      </c>
      <c r="B94" s="13" t="s">
        <v>4</v>
      </c>
      <c r="C94" s="14">
        <v>0.95760000000000001</v>
      </c>
      <c r="D94" s="16">
        <v>590</v>
      </c>
      <c r="E94" s="17">
        <f t="shared" ref="E94:E125" si="7">D94-(C94*D94)</f>
        <v>25.015999999999963</v>
      </c>
      <c r="F94" s="18">
        <f t="shared" si="1"/>
        <v>1375.8799999999978</v>
      </c>
      <c r="G94" s="60">
        <f t="shared" si="3"/>
        <v>29.5</v>
      </c>
      <c r="H94" s="61">
        <f t="shared" si="2"/>
        <v>4.4840000000000373</v>
      </c>
    </row>
    <row r="95" spans="1:8" ht="13" x14ac:dyDescent="0.15">
      <c r="A95" s="12">
        <v>45638</v>
      </c>
      <c r="B95" s="13" t="s">
        <v>5</v>
      </c>
      <c r="C95" s="14">
        <v>0.94410000000000005</v>
      </c>
      <c r="D95" s="16">
        <v>592</v>
      </c>
      <c r="E95" s="17">
        <f t="shared" si="7"/>
        <v>33.092800000000011</v>
      </c>
      <c r="F95" s="18">
        <f t="shared" si="1"/>
        <v>1820.1040000000007</v>
      </c>
      <c r="G95" s="60">
        <f t="shared" si="3"/>
        <v>29.600000000000023</v>
      </c>
      <c r="H95" s="61">
        <f t="shared" si="2"/>
        <v>-3.4927999999999884</v>
      </c>
    </row>
    <row r="96" spans="1:8" ht="13" x14ac:dyDescent="0.15">
      <c r="A96" s="12">
        <v>45639</v>
      </c>
      <c r="B96" s="13" t="s">
        <v>6</v>
      </c>
      <c r="C96" s="14">
        <v>0.9274</v>
      </c>
      <c r="D96" s="16">
        <v>592</v>
      </c>
      <c r="E96" s="17">
        <f t="shared" si="7"/>
        <v>42.979199999999992</v>
      </c>
      <c r="F96" s="18">
        <f t="shared" si="1"/>
        <v>2363.8559999999998</v>
      </c>
      <c r="G96" s="60">
        <f t="shared" si="3"/>
        <v>29.600000000000023</v>
      </c>
      <c r="H96" s="61">
        <f t="shared" si="2"/>
        <v>-13.379199999999969</v>
      </c>
    </row>
    <row r="97" spans="1:8" ht="13" x14ac:dyDescent="0.15">
      <c r="A97" s="12">
        <v>45642</v>
      </c>
      <c r="B97" s="13" t="s">
        <v>2</v>
      </c>
      <c r="C97" s="14">
        <v>0.95440000000000003</v>
      </c>
      <c r="D97" s="16">
        <v>592</v>
      </c>
      <c r="E97" s="17">
        <f t="shared" si="7"/>
        <v>26.995199999999954</v>
      </c>
      <c r="F97" s="18">
        <f t="shared" si="1"/>
        <v>1484.7359999999976</v>
      </c>
      <c r="G97" s="60">
        <f t="shared" si="3"/>
        <v>29.600000000000023</v>
      </c>
      <c r="H97" s="61">
        <f t="shared" si="2"/>
        <v>2.6048000000000684</v>
      </c>
    </row>
    <row r="98" spans="1:8" ht="13" x14ac:dyDescent="0.15">
      <c r="A98" s="12">
        <v>45643</v>
      </c>
      <c r="B98" s="13" t="s">
        <v>3</v>
      </c>
      <c r="C98" s="14">
        <v>0.95779999999999998</v>
      </c>
      <c r="D98" s="16">
        <v>592</v>
      </c>
      <c r="E98" s="17">
        <f t="shared" si="7"/>
        <v>24.982399999999984</v>
      </c>
      <c r="F98" s="18">
        <f t="shared" si="1"/>
        <v>1374.0319999999992</v>
      </c>
      <c r="G98" s="60">
        <f t="shared" si="3"/>
        <v>29.600000000000023</v>
      </c>
      <c r="H98" s="61">
        <f t="shared" si="2"/>
        <v>4.6176000000000386</v>
      </c>
    </row>
    <row r="99" spans="1:8" ht="13" x14ac:dyDescent="0.15">
      <c r="A99" s="12">
        <v>45644</v>
      </c>
      <c r="B99" s="13" t="s">
        <v>4</v>
      </c>
      <c r="C99" s="14">
        <v>0.95950000000000002</v>
      </c>
      <c r="D99" s="16">
        <v>592</v>
      </c>
      <c r="E99" s="17">
        <f t="shared" si="7"/>
        <v>23.975999999999999</v>
      </c>
      <c r="F99" s="18">
        <f t="shared" si="1"/>
        <v>1318.6799999999998</v>
      </c>
      <c r="G99" s="60">
        <f t="shared" si="3"/>
        <v>29.600000000000023</v>
      </c>
      <c r="H99" s="61">
        <f t="shared" si="2"/>
        <v>5.6240000000000236</v>
      </c>
    </row>
    <row r="100" spans="1:8" ht="13" x14ac:dyDescent="0.15">
      <c r="A100" s="12">
        <v>45645</v>
      </c>
      <c r="B100" s="13" t="s">
        <v>5</v>
      </c>
      <c r="C100" s="14">
        <v>0.96450000000000002</v>
      </c>
      <c r="D100" s="16">
        <v>591</v>
      </c>
      <c r="E100" s="17">
        <f t="shared" si="7"/>
        <v>20.980500000000006</v>
      </c>
      <c r="F100" s="18">
        <f t="shared" si="1"/>
        <v>1153.9275000000002</v>
      </c>
      <c r="G100" s="60">
        <f t="shared" si="3"/>
        <v>29.550000000000068</v>
      </c>
      <c r="H100" s="61">
        <f t="shared" si="2"/>
        <v>8.5695000000000618</v>
      </c>
    </row>
    <row r="101" spans="1:8" ht="13" x14ac:dyDescent="0.15">
      <c r="A101" s="12">
        <v>45646</v>
      </c>
      <c r="B101" s="13" t="s">
        <v>6</v>
      </c>
      <c r="C101" s="14">
        <v>0.80369999999999997</v>
      </c>
      <c r="D101" s="16">
        <v>591</v>
      </c>
      <c r="E101" s="17">
        <f t="shared" si="7"/>
        <v>116.01330000000002</v>
      </c>
      <c r="F101" s="18">
        <f t="shared" si="1"/>
        <v>6380.7315000000008</v>
      </c>
      <c r="G101" s="60">
        <f t="shared" si="3"/>
        <v>29.550000000000068</v>
      </c>
      <c r="H101" s="61">
        <f t="shared" si="2"/>
        <v>-86.463299999999947</v>
      </c>
    </row>
    <row r="102" spans="1:8" ht="13" x14ac:dyDescent="0.15">
      <c r="A102" s="21">
        <v>45649</v>
      </c>
      <c r="B102" s="22" t="s">
        <v>2</v>
      </c>
      <c r="C102" s="23">
        <v>0</v>
      </c>
      <c r="D102" s="24"/>
      <c r="E102" s="17">
        <f t="shared" si="7"/>
        <v>0</v>
      </c>
      <c r="F102" s="18">
        <f t="shared" si="1"/>
        <v>0</v>
      </c>
      <c r="G102" s="60">
        <f t="shared" si="3"/>
        <v>0</v>
      </c>
      <c r="H102" s="61">
        <f t="shared" si="2"/>
        <v>0</v>
      </c>
    </row>
    <row r="103" spans="1:8" ht="13" x14ac:dyDescent="0.15">
      <c r="A103" s="21">
        <v>45650</v>
      </c>
      <c r="B103" s="22" t="s">
        <v>3</v>
      </c>
      <c r="C103" s="23">
        <v>0</v>
      </c>
      <c r="D103" s="24"/>
      <c r="E103" s="17">
        <f t="shared" si="7"/>
        <v>0</v>
      </c>
      <c r="F103" s="18">
        <f t="shared" si="1"/>
        <v>0</v>
      </c>
      <c r="G103" s="60">
        <f t="shared" si="3"/>
        <v>0</v>
      </c>
      <c r="H103" s="61">
        <f t="shared" si="2"/>
        <v>0</v>
      </c>
    </row>
    <row r="104" spans="1:8" ht="13" x14ac:dyDescent="0.15">
      <c r="A104" s="21">
        <v>45651</v>
      </c>
      <c r="B104" s="22" t="s">
        <v>4</v>
      </c>
      <c r="C104" s="23">
        <v>0</v>
      </c>
      <c r="D104" s="24"/>
      <c r="E104" s="17">
        <f t="shared" si="7"/>
        <v>0</v>
      </c>
      <c r="F104" s="18">
        <f t="shared" si="1"/>
        <v>0</v>
      </c>
      <c r="G104" s="60">
        <f t="shared" si="3"/>
        <v>0</v>
      </c>
      <c r="H104" s="61">
        <f t="shared" si="2"/>
        <v>0</v>
      </c>
    </row>
    <row r="105" spans="1:8" ht="13" x14ac:dyDescent="0.15">
      <c r="A105" s="21">
        <v>45652</v>
      </c>
      <c r="B105" s="22" t="s">
        <v>5</v>
      </c>
      <c r="C105" s="23">
        <v>0</v>
      </c>
      <c r="D105" s="24"/>
      <c r="E105" s="17">
        <f t="shared" si="7"/>
        <v>0</v>
      </c>
      <c r="F105" s="18">
        <f t="shared" si="1"/>
        <v>0</v>
      </c>
      <c r="G105" s="60">
        <f t="shared" si="3"/>
        <v>0</v>
      </c>
      <c r="H105" s="61">
        <f t="shared" si="2"/>
        <v>0</v>
      </c>
    </row>
    <row r="106" spans="1:8" ht="13" x14ac:dyDescent="0.15">
      <c r="A106" s="21">
        <v>45653</v>
      </c>
      <c r="B106" s="22" t="s">
        <v>6</v>
      </c>
      <c r="C106" s="23">
        <v>0</v>
      </c>
      <c r="D106" s="24"/>
      <c r="E106" s="17">
        <f t="shared" si="7"/>
        <v>0</v>
      </c>
      <c r="F106" s="18">
        <f t="shared" si="1"/>
        <v>0</v>
      </c>
      <c r="G106" s="60">
        <f t="shared" si="3"/>
        <v>0</v>
      </c>
      <c r="H106" s="61">
        <f t="shared" si="2"/>
        <v>0</v>
      </c>
    </row>
    <row r="107" spans="1:8" ht="13" x14ac:dyDescent="0.15">
      <c r="A107" s="21">
        <v>45656</v>
      </c>
      <c r="B107" s="22" t="s">
        <v>2</v>
      </c>
      <c r="C107" s="23">
        <v>0</v>
      </c>
      <c r="D107" s="24"/>
      <c r="E107" s="17">
        <f t="shared" si="7"/>
        <v>0</v>
      </c>
      <c r="F107" s="18">
        <f t="shared" si="1"/>
        <v>0</v>
      </c>
      <c r="G107" s="60">
        <f t="shared" si="3"/>
        <v>0</v>
      </c>
      <c r="H107" s="61">
        <f t="shared" si="2"/>
        <v>0</v>
      </c>
    </row>
    <row r="108" spans="1:8" ht="13" x14ac:dyDescent="0.15">
      <c r="A108" s="21">
        <v>45657</v>
      </c>
      <c r="B108" s="22" t="s">
        <v>3</v>
      </c>
      <c r="C108" s="23">
        <v>0</v>
      </c>
      <c r="D108" s="24"/>
      <c r="E108" s="17">
        <f t="shared" si="7"/>
        <v>0</v>
      </c>
      <c r="F108" s="18">
        <f t="shared" si="1"/>
        <v>0</v>
      </c>
      <c r="G108" s="60">
        <f t="shared" si="3"/>
        <v>0</v>
      </c>
      <c r="H108" s="61">
        <f t="shared" si="2"/>
        <v>0</v>
      </c>
    </row>
    <row r="109" spans="1:8" ht="13" x14ac:dyDescent="0.15">
      <c r="A109" s="21">
        <v>45658</v>
      </c>
      <c r="B109" s="22" t="s">
        <v>4</v>
      </c>
      <c r="C109" s="23">
        <v>0</v>
      </c>
      <c r="D109" s="24"/>
      <c r="E109" s="17">
        <f t="shared" si="7"/>
        <v>0</v>
      </c>
      <c r="F109" s="18">
        <f t="shared" si="1"/>
        <v>0</v>
      </c>
      <c r="G109" s="60">
        <f t="shared" si="3"/>
        <v>0</v>
      </c>
      <c r="H109" s="61">
        <f t="shared" si="2"/>
        <v>0</v>
      </c>
    </row>
    <row r="110" spans="1:8" ht="13" x14ac:dyDescent="0.15">
      <c r="A110" s="21">
        <v>45659</v>
      </c>
      <c r="B110" s="22" t="s">
        <v>5</v>
      </c>
      <c r="C110" s="23">
        <v>0</v>
      </c>
      <c r="D110" s="24"/>
      <c r="E110" s="17">
        <f t="shared" si="7"/>
        <v>0</v>
      </c>
      <c r="F110" s="18">
        <f t="shared" si="1"/>
        <v>0</v>
      </c>
      <c r="G110" s="60">
        <f t="shared" si="3"/>
        <v>0</v>
      </c>
      <c r="H110" s="61">
        <f t="shared" si="2"/>
        <v>0</v>
      </c>
    </row>
    <row r="111" spans="1:8" ht="13" x14ac:dyDescent="0.15">
      <c r="A111" s="21">
        <v>45660</v>
      </c>
      <c r="B111" s="22" t="s">
        <v>6</v>
      </c>
      <c r="C111" s="23">
        <v>0</v>
      </c>
      <c r="D111" s="24"/>
      <c r="E111" s="17">
        <f t="shared" si="7"/>
        <v>0</v>
      </c>
      <c r="F111" s="18">
        <f t="shared" si="1"/>
        <v>0</v>
      </c>
      <c r="G111" s="60">
        <f t="shared" si="3"/>
        <v>0</v>
      </c>
      <c r="H111" s="61">
        <f t="shared" si="2"/>
        <v>0</v>
      </c>
    </row>
    <row r="112" spans="1:8" ht="13" x14ac:dyDescent="0.15">
      <c r="A112" s="25">
        <v>45663</v>
      </c>
      <c r="B112" s="26" t="s">
        <v>2</v>
      </c>
      <c r="C112" s="23">
        <v>0</v>
      </c>
      <c r="D112" s="28"/>
      <c r="E112" s="17">
        <f t="shared" si="7"/>
        <v>0</v>
      </c>
      <c r="F112" s="18">
        <f t="shared" si="1"/>
        <v>0</v>
      </c>
      <c r="G112" s="60">
        <f t="shared" si="3"/>
        <v>0</v>
      </c>
      <c r="H112" s="61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7"/>
        <v>0</v>
      </c>
      <c r="F113" s="18">
        <f t="shared" si="1"/>
        <v>0</v>
      </c>
      <c r="G113" s="60">
        <f t="shared" si="3"/>
        <v>0</v>
      </c>
      <c r="H113" s="61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0.92369999999999997</v>
      </c>
      <c r="D114" s="16">
        <v>591</v>
      </c>
      <c r="E114" s="17">
        <f t="shared" si="7"/>
        <v>45.093299999999999</v>
      </c>
      <c r="F114" s="18">
        <f t="shared" si="1"/>
        <v>2480.1315</v>
      </c>
      <c r="G114" s="60">
        <f t="shared" si="3"/>
        <v>29.550000000000068</v>
      </c>
      <c r="H114" s="61">
        <f t="shared" si="2"/>
        <v>-15.543299999999931</v>
      </c>
    </row>
    <row r="115" spans="1:8" ht="13" x14ac:dyDescent="0.15">
      <c r="A115" s="12">
        <v>45666</v>
      </c>
      <c r="B115" s="13" t="s">
        <v>5</v>
      </c>
      <c r="C115" s="14">
        <v>0.91820000000000002</v>
      </c>
      <c r="D115" s="16">
        <v>587</v>
      </c>
      <c r="E115" s="17">
        <f t="shared" si="7"/>
        <v>48.016600000000039</v>
      </c>
      <c r="F115" s="18">
        <f t="shared" si="1"/>
        <v>2640.9130000000023</v>
      </c>
      <c r="G115" s="60">
        <f t="shared" si="3"/>
        <v>29.350000000000023</v>
      </c>
      <c r="H115" s="61">
        <f t="shared" si="2"/>
        <v>-18.666600000000017</v>
      </c>
    </row>
    <row r="116" spans="1:8" ht="13" x14ac:dyDescent="0.15">
      <c r="A116" s="12">
        <v>45667</v>
      </c>
      <c r="B116" s="13" t="s">
        <v>6</v>
      </c>
      <c r="C116" s="14">
        <v>0.91139999999999999</v>
      </c>
      <c r="D116" s="16">
        <v>587</v>
      </c>
      <c r="E116" s="17">
        <f t="shared" si="7"/>
        <v>52.008199999999988</v>
      </c>
      <c r="F116" s="18">
        <f t="shared" si="1"/>
        <v>2860.4509999999991</v>
      </c>
      <c r="G116" s="60">
        <f t="shared" si="3"/>
        <v>29.350000000000023</v>
      </c>
      <c r="H116" s="61">
        <f t="shared" si="2"/>
        <v>-22.658199999999965</v>
      </c>
    </row>
    <row r="117" spans="1:8" ht="13" x14ac:dyDescent="0.15">
      <c r="A117" s="12">
        <v>45670</v>
      </c>
      <c r="B117" s="13" t="s">
        <v>2</v>
      </c>
      <c r="C117" s="14">
        <v>0.9456</v>
      </c>
      <c r="D117" s="16">
        <v>588</v>
      </c>
      <c r="E117" s="17">
        <f t="shared" si="7"/>
        <v>31.98720000000003</v>
      </c>
      <c r="F117" s="18">
        <f t="shared" si="1"/>
        <v>1759.2960000000016</v>
      </c>
      <c r="G117" s="60">
        <f t="shared" si="3"/>
        <v>29.399999999999977</v>
      </c>
      <c r="H117" s="61">
        <f t="shared" si="2"/>
        <v>-2.5872000000000526</v>
      </c>
    </row>
    <row r="118" spans="1:8" ht="13" x14ac:dyDescent="0.15">
      <c r="A118" s="12">
        <v>45671</v>
      </c>
      <c r="B118" s="13" t="s">
        <v>3</v>
      </c>
      <c r="C118" s="14">
        <v>0.94740000000000002</v>
      </c>
      <c r="D118" s="16">
        <v>589</v>
      </c>
      <c r="E118" s="17">
        <f t="shared" si="7"/>
        <v>30.981400000000008</v>
      </c>
      <c r="F118" s="18">
        <f t="shared" si="1"/>
        <v>1703.9770000000003</v>
      </c>
      <c r="G118" s="60">
        <f t="shared" si="3"/>
        <v>29.450000000000045</v>
      </c>
      <c r="H118" s="61">
        <f t="shared" si="2"/>
        <v>-1.5313999999999623</v>
      </c>
    </row>
    <row r="119" spans="1:8" ht="13" x14ac:dyDescent="0.15">
      <c r="A119" s="12">
        <v>45672</v>
      </c>
      <c r="B119" s="13" t="s">
        <v>4</v>
      </c>
      <c r="C119" s="14">
        <v>0.95760000000000001</v>
      </c>
      <c r="D119" s="16">
        <v>589</v>
      </c>
      <c r="E119" s="17">
        <f t="shared" si="7"/>
        <v>24.973600000000033</v>
      </c>
      <c r="F119" s="18">
        <f t="shared" si="1"/>
        <v>1373.5480000000018</v>
      </c>
      <c r="G119" s="60">
        <f t="shared" si="3"/>
        <v>29.450000000000045</v>
      </c>
      <c r="H119" s="61">
        <f t="shared" si="2"/>
        <v>4.4764000000000124</v>
      </c>
    </row>
    <row r="120" spans="1:8" ht="13" x14ac:dyDescent="0.15">
      <c r="A120" s="12">
        <v>45673</v>
      </c>
      <c r="B120" s="13" t="s">
        <v>5</v>
      </c>
      <c r="C120" s="14">
        <v>0.95420000000000005</v>
      </c>
      <c r="D120" s="16">
        <v>589</v>
      </c>
      <c r="E120" s="17">
        <f t="shared" si="7"/>
        <v>26.976199999999949</v>
      </c>
      <c r="F120" s="18">
        <f t="shared" si="1"/>
        <v>1483.6909999999971</v>
      </c>
      <c r="G120" s="60">
        <f t="shared" si="3"/>
        <v>29.450000000000045</v>
      </c>
      <c r="H120" s="61">
        <f t="shared" si="2"/>
        <v>2.4738000000000966</v>
      </c>
    </row>
    <row r="121" spans="1:8" ht="13" x14ac:dyDescent="0.15">
      <c r="A121" s="12">
        <v>45674</v>
      </c>
      <c r="B121" s="13" t="s">
        <v>6</v>
      </c>
      <c r="C121" s="14">
        <v>0.94740000000000002</v>
      </c>
      <c r="D121" s="16">
        <v>589</v>
      </c>
      <c r="E121" s="17">
        <f t="shared" si="7"/>
        <v>30.981400000000008</v>
      </c>
      <c r="F121" s="18">
        <f t="shared" si="1"/>
        <v>1703.9770000000003</v>
      </c>
      <c r="G121" s="60">
        <f t="shared" si="3"/>
        <v>29.450000000000045</v>
      </c>
      <c r="H121" s="61">
        <f t="shared" si="2"/>
        <v>-1.5313999999999623</v>
      </c>
    </row>
    <row r="122" spans="1:8" ht="13" x14ac:dyDescent="0.15">
      <c r="A122" s="21">
        <v>45677</v>
      </c>
      <c r="B122" s="22" t="s">
        <v>2</v>
      </c>
      <c r="C122" s="23">
        <v>0</v>
      </c>
      <c r="D122" s="24"/>
      <c r="E122" s="17">
        <f t="shared" si="7"/>
        <v>0</v>
      </c>
      <c r="F122" s="18">
        <f t="shared" si="1"/>
        <v>0</v>
      </c>
      <c r="G122" s="60">
        <f t="shared" si="3"/>
        <v>0</v>
      </c>
      <c r="H122" s="61">
        <f t="shared" si="2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7"/>
        <v>0</v>
      </c>
      <c r="F123" s="18">
        <f t="shared" si="1"/>
        <v>0</v>
      </c>
      <c r="G123" s="60">
        <f t="shared" si="3"/>
        <v>0</v>
      </c>
      <c r="H123" s="61">
        <f t="shared" si="2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7"/>
        <v>0</v>
      </c>
      <c r="F124" s="18">
        <f t="shared" si="1"/>
        <v>0</v>
      </c>
      <c r="G124" s="60">
        <f t="shared" si="3"/>
        <v>0</v>
      </c>
      <c r="H124" s="61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0.81830000000000003</v>
      </c>
      <c r="D125" s="16">
        <v>589</v>
      </c>
      <c r="E125" s="17">
        <f t="shared" si="7"/>
        <v>107.0213</v>
      </c>
      <c r="F125" s="18">
        <f t="shared" si="1"/>
        <v>5886.1714999999995</v>
      </c>
      <c r="G125" s="60">
        <f t="shared" si="3"/>
        <v>29.450000000000045</v>
      </c>
      <c r="H125" s="61">
        <f t="shared" si="2"/>
        <v>-77.571299999999951</v>
      </c>
    </row>
    <row r="126" spans="1:8" ht="13" x14ac:dyDescent="0.15">
      <c r="A126" s="12">
        <v>45681</v>
      </c>
      <c r="B126" s="13" t="s">
        <v>6</v>
      </c>
      <c r="C126" s="14">
        <v>0.89129999999999998</v>
      </c>
      <c r="D126" s="16">
        <v>589</v>
      </c>
      <c r="E126" s="17">
        <f t="shared" ref="E126:E157" si="8">D126-(C126*D126)</f>
        <v>64.024300000000039</v>
      </c>
      <c r="F126" s="18">
        <f t="shared" si="1"/>
        <v>3521.3365000000022</v>
      </c>
      <c r="G126" s="60">
        <f t="shared" si="3"/>
        <v>29.450000000000045</v>
      </c>
      <c r="H126" s="61">
        <f t="shared" si="2"/>
        <v>-34.574299999999994</v>
      </c>
    </row>
    <row r="127" spans="1:8" ht="13" x14ac:dyDescent="0.15">
      <c r="A127" s="12">
        <v>45684</v>
      </c>
      <c r="B127" s="13" t="s">
        <v>2</v>
      </c>
      <c r="C127" s="14">
        <v>0.95930000000000004</v>
      </c>
      <c r="D127" s="16">
        <v>590</v>
      </c>
      <c r="E127" s="17">
        <f t="shared" si="8"/>
        <v>24.01299999999992</v>
      </c>
      <c r="F127" s="18">
        <f t="shared" si="1"/>
        <v>1320.7149999999956</v>
      </c>
      <c r="G127" s="60">
        <f t="shared" si="3"/>
        <v>29.5</v>
      </c>
      <c r="H127" s="61">
        <f t="shared" si="2"/>
        <v>5.48700000000008</v>
      </c>
    </row>
    <row r="128" spans="1:8" ht="13" x14ac:dyDescent="0.15">
      <c r="A128" s="12">
        <v>45685</v>
      </c>
      <c r="B128" s="13" t="s">
        <v>3</v>
      </c>
      <c r="C128" s="14">
        <v>0.96440000000000003</v>
      </c>
      <c r="D128" s="16">
        <v>590</v>
      </c>
      <c r="E128" s="17">
        <f t="shared" si="8"/>
        <v>21.004000000000019</v>
      </c>
      <c r="F128" s="18">
        <f t="shared" si="1"/>
        <v>1155.2200000000012</v>
      </c>
      <c r="G128" s="60">
        <f t="shared" si="3"/>
        <v>29.5</v>
      </c>
      <c r="H128" s="61">
        <f t="shared" si="2"/>
        <v>8.4959999999999809</v>
      </c>
    </row>
    <row r="129" spans="1:8" ht="13" x14ac:dyDescent="0.15">
      <c r="A129" s="12">
        <v>45686</v>
      </c>
      <c r="B129" s="13" t="s">
        <v>4</v>
      </c>
      <c r="C129" s="14">
        <v>0.93240000000000001</v>
      </c>
      <c r="D129" s="16">
        <v>592</v>
      </c>
      <c r="E129" s="17">
        <f t="shared" si="8"/>
        <v>40.019199999999955</v>
      </c>
      <c r="F129" s="18">
        <f t="shared" si="1"/>
        <v>2201.0559999999978</v>
      </c>
      <c r="G129" s="60">
        <f t="shared" si="3"/>
        <v>29.600000000000023</v>
      </c>
      <c r="H129" s="61">
        <f t="shared" si="2"/>
        <v>-10.419199999999933</v>
      </c>
    </row>
    <row r="130" spans="1:8" ht="13" x14ac:dyDescent="0.15">
      <c r="A130" s="12">
        <v>45687</v>
      </c>
      <c r="B130" s="13" t="s">
        <v>5</v>
      </c>
      <c r="C130" s="14">
        <v>0.9375</v>
      </c>
      <c r="D130" s="16">
        <v>592</v>
      </c>
      <c r="E130" s="17">
        <f t="shared" si="8"/>
        <v>37</v>
      </c>
      <c r="F130" s="18">
        <f t="shared" si="1"/>
        <v>2035</v>
      </c>
      <c r="G130" s="60">
        <f t="shared" si="3"/>
        <v>29.600000000000023</v>
      </c>
      <c r="H130" s="61">
        <f t="shared" si="2"/>
        <v>-7.3999999999999773</v>
      </c>
    </row>
    <row r="131" spans="1:8" ht="13" x14ac:dyDescent="0.15">
      <c r="A131" s="12">
        <v>45688</v>
      </c>
      <c r="B131" s="13" t="s">
        <v>6</v>
      </c>
      <c r="C131" s="14">
        <v>0.91549999999999998</v>
      </c>
      <c r="D131" s="16">
        <v>592</v>
      </c>
      <c r="E131" s="17">
        <f t="shared" si="8"/>
        <v>50.024000000000001</v>
      </c>
      <c r="F131" s="18">
        <f t="shared" si="1"/>
        <v>2751.32</v>
      </c>
      <c r="G131" s="60">
        <f t="shared" si="3"/>
        <v>29.600000000000023</v>
      </c>
      <c r="H131" s="61">
        <f t="shared" si="2"/>
        <v>-20.423999999999978</v>
      </c>
    </row>
    <row r="132" spans="1:8" ht="13" x14ac:dyDescent="0.15">
      <c r="A132" s="12">
        <v>45691</v>
      </c>
      <c r="B132" s="13" t="s">
        <v>2</v>
      </c>
      <c r="C132" s="14">
        <v>0.80910000000000004</v>
      </c>
      <c r="D132" s="16">
        <v>592</v>
      </c>
      <c r="E132" s="17">
        <f t="shared" si="8"/>
        <v>113.01279999999997</v>
      </c>
      <c r="F132" s="18">
        <f t="shared" si="1"/>
        <v>6215.7039999999979</v>
      </c>
      <c r="G132" s="60">
        <f t="shared" si="3"/>
        <v>29.600000000000023</v>
      </c>
      <c r="H132" s="61">
        <f t="shared" si="2"/>
        <v>-83.412799999999947</v>
      </c>
    </row>
    <row r="133" spans="1:8" ht="13" x14ac:dyDescent="0.15">
      <c r="A133" s="12">
        <v>45692</v>
      </c>
      <c r="B133" s="13" t="s">
        <v>3</v>
      </c>
      <c r="C133" s="14">
        <v>0.9375</v>
      </c>
      <c r="D133" s="16">
        <v>592</v>
      </c>
      <c r="E133" s="17">
        <f t="shared" si="8"/>
        <v>37</v>
      </c>
      <c r="F133" s="18">
        <f t="shared" si="1"/>
        <v>2035</v>
      </c>
      <c r="G133" s="60">
        <f t="shared" si="3"/>
        <v>29.600000000000023</v>
      </c>
      <c r="H133" s="61">
        <f t="shared" si="2"/>
        <v>-7.3999999999999773</v>
      </c>
    </row>
    <row r="134" spans="1:8" ht="13" x14ac:dyDescent="0.15">
      <c r="A134" s="12">
        <v>45693</v>
      </c>
      <c r="B134" s="13" t="s">
        <v>4</v>
      </c>
      <c r="C134" s="14">
        <v>0.93579999999999997</v>
      </c>
      <c r="D134" s="16">
        <v>592</v>
      </c>
      <c r="E134" s="17">
        <f t="shared" si="8"/>
        <v>38.006399999999985</v>
      </c>
      <c r="F134" s="18">
        <f t="shared" si="1"/>
        <v>2090.351999999999</v>
      </c>
      <c r="G134" s="60">
        <f t="shared" si="3"/>
        <v>29.600000000000023</v>
      </c>
      <c r="H134" s="61">
        <f t="shared" si="2"/>
        <v>-8.4063999999999623</v>
      </c>
    </row>
    <row r="135" spans="1:8" ht="13" x14ac:dyDescent="0.15">
      <c r="A135" s="12">
        <v>45694</v>
      </c>
      <c r="B135" s="13" t="s">
        <v>5</v>
      </c>
      <c r="C135" s="14">
        <v>0.95099999999999996</v>
      </c>
      <c r="D135" s="16">
        <v>592</v>
      </c>
      <c r="E135" s="17">
        <f t="shared" si="8"/>
        <v>29.008000000000038</v>
      </c>
      <c r="F135" s="18">
        <f t="shared" si="1"/>
        <v>1595.4400000000021</v>
      </c>
      <c r="G135" s="60">
        <f t="shared" si="3"/>
        <v>29.600000000000023</v>
      </c>
      <c r="H135" s="61">
        <f t="shared" si="2"/>
        <v>0.59199999999998454</v>
      </c>
    </row>
    <row r="136" spans="1:8" ht="13" x14ac:dyDescent="0.15">
      <c r="A136" s="12">
        <v>45695</v>
      </c>
      <c r="B136" s="13" t="s">
        <v>6</v>
      </c>
      <c r="C136" s="14">
        <v>0.91220000000000001</v>
      </c>
      <c r="D136" s="16">
        <v>592</v>
      </c>
      <c r="E136" s="17">
        <f t="shared" si="8"/>
        <v>51.977599999999939</v>
      </c>
      <c r="F136" s="18">
        <f t="shared" si="1"/>
        <v>2858.7679999999964</v>
      </c>
      <c r="G136" s="60">
        <f t="shared" si="3"/>
        <v>29.600000000000023</v>
      </c>
      <c r="H136" s="61">
        <f t="shared" si="2"/>
        <v>-22.377599999999916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8"/>
        <v>0</v>
      </c>
      <c r="F137" s="18">
        <f t="shared" si="1"/>
        <v>0</v>
      </c>
      <c r="G137" s="60">
        <f t="shared" si="3"/>
        <v>0</v>
      </c>
      <c r="H137" s="61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8"/>
        <v>0</v>
      </c>
      <c r="F138" s="18">
        <f t="shared" si="1"/>
        <v>0</v>
      </c>
      <c r="G138" s="60">
        <f t="shared" si="3"/>
        <v>0</v>
      </c>
      <c r="H138" s="61">
        <f t="shared" si="2"/>
        <v>0</v>
      </c>
    </row>
    <row r="139" spans="1:8" ht="13" x14ac:dyDescent="0.15">
      <c r="A139" s="12">
        <v>45700</v>
      </c>
      <c r="B139" s="13" t="s">
        <v>4</v>
      </c>
      <c r="C139" s="14">
        <v>0.94430000000000003</v>
      </c>
      <c r="D139" s="16">
        <v>592</v>
      </c>
      <c r="E139" s="17">
        <f t="shared" si="8"/>
        <v>32.974399999999946</v>
      </c>
      <c r="F139" s="18">
        <f t="shared" si="1"/>
        <v>1813.5919999999969</v>
      </c>
      <c r="G139" s="60">
        <f t="shared" si="3"/>
        <v>29.600000000000023</v>
      </c>
      <c r="H139" s="61">
        <f t="shared" si="2"/>
        <v>-3.3743999999999232</v>
      </c>
    </row>
    <row r="140" spans="1:8" ht="13" x14ac:dyDescent="0.15">
      <c r="A140" s="12">
        <v>45701</v>
      </c>
      <c r="B140" s="13" t="s">
        <v>5</v>
      </c>
      <c r="C140" s="14">
        <v>0.95950000000000002</v>
      </c>
      <c r="D140" s="16">
        <v>592</v>
      </c>
      <c r="E140" s="17">
        <f t="shared" si="8"/>
        <v>23.975999999999999</v>
      </c>
      <c r="F140" s="18">
        <f t="shared" si="1"/>
        <v>1318.6799999999998</v>
      </c>
      <c r="G140" s="60">
        <f t="shared" si="3"/>
        <v>29.600000000000023</v>
      </c>
      <c r="H140" s="61">
        <f t="shared" si="2"/>
        <v>5.6240000000000236</v>
      </c>
    </row>
    <row r="141" spans="1:8" ht="13" x14ac:dyDescent="0.15">
      <c r="A141" s="12">
        <v>45702</v>
      </c>
      <c r="B141" s="13" t="s">
        <v>6</v>
      </c>
      <c r="C141" s="14">
        <v>0.96960000000000002</v>
      </c>
      <c r="D141" s="16">
        <v>592</v>
      </c>
      <c r="E141" s="17">
        <f t="shared" si="8"/>
        <v>17.996800000000007</v>
      </c>
      <c r="F141" s="18">
        <f t="shared" si="1"/>
        <v>989.82400000000041</v>
      </c>
      <c r="G141" s="60">
        <f t="shared" si="3"/>
        <v>29.600000000000023</v>
      </c>
      <c r="H141" s="61">
        <f t="shared" si="2"/>
        <v>11.603200000000015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8"/>
        <v>0</v>
      </c>
      <c r="F142" s="18">
        <f t="shared" si="1"/>
        <v>0</v>
      </c>
      <c r="G142" s="60">
        <f t="shared" si="3"/>
        <v>0</v>
      </c>
      <c r="H142" s="61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0.95250000000000001</v>
      </c>
      <c r="D143" s="16">
        <v>590</v>
      </c>
      <c r="E143" s="17">
        <f t="shared" si="8"/>
        <v>28.024999999999977</v>
      </c>
      <c r="F143" s="18">
        <f t="shared" si="1"/>
        <v>1541.3749999999986</v>
      </c>
      <c r="G143" s="60">
        <f t="shared" si="3"/>
        <v>29.5</v>
      </c>
      <c r="H143" s="61">
        <f t="shared" si="2"/>
        <v>1.4750000000000227</v>
      </c>
    </row>
    <row r="144" spans="1:8" ht="13" x14ac:dyDescent="0.15">
      <c r="A144" s="12">
        <v>45707</v>
      </c>
      <c r="B144" s="13" t="s">
        <v>4</v>
      </c>
      <c r="C144" s="14">
        <v>0.96779999999999999</v>
      </c>
      <c r="D144" s="16">
        <v>590</v>
      </c>
      <c r="E144" s="17">
        <f t="shared" si="8"/>
        <v>18.998000000000047</v>
      </c>
      <c r="F144" s="18">
        <f t="shared" si="1"/>
        <v>1044.8900000000026</v>
      </c>
      <c r="G144" s="60">
        <f t="shared" si="3"/>
        <v>29.5</v>
      </c>
      <c r="H144" s="61">
        <f t="shared" si="2"/>
        <v>10.501999999999953</v>
      </c>
    </row>
    <row r="145" spans="1:8" ht="13" x14ac:dyDescent="0.15">
      <c r="A145" s="12">
        <v>45708</v>
      </c>
      <c r="B145" s="13" t="s">
        <v>5</v>
      </c>
      <c r="C145" s="14">
        <v>0.92030000000000001</v>
      </c>
      <c r="D145" s="16">
        <v>590</v>
      </c>
      <c r="E145" s="17">
        <f t="shared" si="8"/>
        <v>47.023000000000025</v>
      </c>
      <c r="F145" s="18">
        <f t="shared" si="1"/>
        <v>2586.2650000000012</v>
      </c>
      <c r="G145" s="60">
        <f t="shared" si="3"/>
        <v>29.5</v>
      </c>
      <c r="H145" s="61">
        <f t="shared" si="2"/>
        <v>-17.523000000000025</v>
      </c>
    </row>
    <row r="146" spans="1:8" ht="13" x14ac:dyDescent="0.15">
      <c r="A146" s="12">
        <v>45709</v>
      </c>
      <c r="B146" s="13" t="s">
        <v>6</v>
      </c>
      <c r="C146" s="14">
        <v>0.95420000000000005</v>
      </c>
      <c r="D146" s="16">
        <v>590</v>
      </c>
      <c r="E146" s="17">
        <f t="shared" si="8"/>
        <v>27.021999999999935</v>
      </c>
      <c r="F146" s="18">
        <f t="shared" si="1"/>
        <v>1486.2099999999964</v>
      </c>
      <c r="G146" s="60">
        <f t="shared" si="3"/>
        <v>29.5</v>
      </c>
      <c r="H146" s="61">
        <f t="shared" si="2"/>
        <v>2.4780000000000655</v>
      </c>
    </row>
    <row r="147" spans="1:8" ht="13" x14ac:dyDescent="0.15">
      <c r="A147" s="12">
        <v>45712</v>
      </c>
      <c r="B147" s="13" t="s">
        <v>2</v>
      </c>
      <c r="C147" s="14">
        <v>0.9254</v>
      </c>
      <c r="D147" s="16">
        <v>590</v>
      </c>
      <c r="E147" s="17">
        <f t="shared" si="8"/>
        <v>44.01400000000001</v>
      </c>
      <c r="F147" s="18">
        <f t="shared" si="1"/>
        <v>2420.7700000000004</v>
      </c>
      <c r="G147" s="60">
        <f t="shared" si="3"/>
        <v>29.5</v>
      </c>
      <c r="H147" s="61">
        <f t="shared" si="2"/>
        <v>-14.51400000000001</v>
      </c>
    </row>
    <row r="148" spans="1:8" ht="13" x14ac:dyDescent="0.15">
      <c r="A148" s="12">
        <v>45713</v>
      </c>
      <c r="B148" s="13" t="s">
        <v>3</v>
      </c>
      <c r="C148" s="14">
        <v>0.96609999999999996</v>
      </c>
      <c r="D148" s="16">
        <v>590</v>
      </c>
      <c r="E148" s="17">
        <f t="shared" si="8"/>
        <v>20.000999999999976</v>
      </c>
      <c r="F148" s="18">
        <f t="shared" si="1"/>
        <v>1100.0549999999987</v>
      </c>
      <c r="G148" s="60">
        <f t="shared" si="3"/>
        <v>29.5</v>
      </c>
      <c r="H148" s="61">
        <f t="shared" si="2"/>
        <v>9.4990000000000236</v>
      </c>
    </row>
    <row r="149" spans="1:8" ht="13" x14ac:dyDescent="0.15">
      <c r="A149" s="12">
        <v>45714</v>
      </c>
      <c r="B149" s="13" t="s">
        <v>4</v>
      </c>
      <c r="C149" s="14">
        <v>0.95750000000000002</v>
      </c>
      <c r="D149" s="16">
        <v>588</v>
      </c>
      <c r="E149" s="17">
        <f t="shared" si="8"/>
        <v>24.990000000000009</v>
      </c>
      <c r="F149" s="18">
        <f t="shared" si="1"/>
        <v>1374.4500000000005</v>
      </c>
      <c r="G149" s="60">
        <f t="shared" si="3"/>
        <v>29.399999999999977</v>
      </c>
      <c r="H149" s="61">
        <f t="shared" si="2"/>
        <v>4.4099999999999682</v>
      </c>
    </row>
    <row r="150" spans="1:8" ht="13" x14ac:dyDescent="0.15">
      <c r="A150" s="12">
        <v>45715</v>
      </c>
      <c r="B150" s="13" t="s">
        <v>5</v>
      </c>
      <c r="C150" s="14">
        <v>0.95079999999999998</v>
      </c>
      <c r="D150" s="16">
        <v>590</v>
      </c>
      <c r="E150" s="17">
        <f t="shared" si="8"/>
        <v>29.02800000000002</v>
      </c>
      <c r="F150" s="18">
        <f t="shared" si="1"/>
        <v>1596.5400000000011</v>
      </c>
      <c r="G150" s="60">
        <f t="shared" si="3"/>
        <v>29.5</v>
      </c>
      <c r="H150" s="61">
        <f t="shared" si="2"/>
        <v>0.47199999999997999</v>
      </c>
    </row>
    <row r="151" spans="1:8" ht="13" x14ac:dyDescent="0.15">
      <c r="A151" s="12">
        <v>45716</v>
      </c>
      <c r="B151" s="13" t="s">
        <v>6</v>
      </c>
      <c r="C151" s="14">
        <v>0.94069999999999998</v>
      </c>
      <c r="D151" s="16">
        <v>590</v>
      </c>
      <c r="E151" s="17">
        <f t="shared" si="8"/>
        <v>34.986999999999966</v>
      </c>
      <c r="F151" s="18">
        <f t="shared" si="1"/>
        <v>1924.284999999998</v>
      </c>
      <c r="G151" s="60">
        <f t="shared" si="3"/>
        <v>29.5</v>
      </c>
      <c r="H151" s="61">
        <f t="shared" si="2"/>
        <v>-5.4869999999999663</v>
      </c>
    </row>
    <row r="152" spans="1:8" ht="13" x14ac:dyDescent="0.15">
      <c r="A152" s="12">
        <v>45719</v>
      </c>
      <c r="B152" s="13" t="s">
        <v>2</v>
      </c>
      <c r="C152" s="14">
        <v>0.93369999999999997</v>
      </c>
      <c r="D152" s="16">
        <v>588</v>
      </c>
      <c r="E152" s="17">
        <f t="shared" si="8"/>
        <v>38.984400000000051</v>
      </c>
      <c r="F152" s="18">
        <f t="shared" si="1"/>
        <v>2144.1420000000026</v>
      </c>
      <c r="G152" s="60">
        <f t="shared" si="3"/>
        <v>29.399999999999977</v>
      </c>
      <c r="H152" s="61">
        <f t="shared" si="2"/>
        <v>-9.5844000000000733</v>
      </c>
    </row>
    <row r="153" spans="1:8" ht="13" x14ac:dyDescent="0.15">
      <c r="A153" s="12">
        <v>45720</v>
      </c>
      <c r="B153" s="13" t="s">
        <v>3</v>
      </c>
      <c r="C153" s="14">
        <v>0.96430000000000005</v>
      </c>
      <c r="D153" s="16">
        <v>588</v>
      </c>
      <c r="E153" s="17">
        <f t="shared" si="8"/>
        <v>20.991599999999949</v>
      </c>
      <c r="F153" s="18">
        <f t="shared" si="1"/>
        <v>1154.5379999999973</v>
      </c>
      <c r="G153" s="60">
        <f t="shared" si="3"/>
        <v>29.399999999999977</v>
      </c>
      <c r="H153" s="61">
        <f t="shared" si="2"/>
        <v>8.4084000000000287</v>
      </c>
    </row>
    <row r="154" spans="1:8" ht="13" x14ac:dyDescent="0.15">
      <c r="A154" s="12">
        <v>45721</v>
      </c>
      <c r="B154" s="13" t="s">
        <v>4</v>
      </c>
      <c r="C154" s="14">
        <v>0.96599999999999997</v>
      </c>
      <c r="D154" s="16">
        <v>588</v>
      </c>
      <c r="E154" s="17">
        <f t="shared" si="8"/>
        <v>19.991999999999962</v>
      </c>
      <c r="F154" s="18">
        <f t="shared" si="1"/>
        <v>1099.5599999999979</v>
      </c>
      <c r="G154" s="60">
        <f t="shared" si="3"/>
        <v>29.399999999999977</v>
      </c>
      <c r="H154" s="61">
        <f t="shared" si="2"/>
        <v>9.4080000000000155</v>
      </c>
    </row>
    <row r="155" spans="1:8" ht="13" x14ac:dyDescent="0.15">
      <c r="A155" s="12">
        <v>45722</v>
      </c>
      <c r="B155" s="13" t="s">
        <v>5</v>
      </c>
      <c r="C155" s="14">
        <v>0.95760000000000001</v>
      </c>
      <c r="D155" s="16">
        <v>590</v>
      </c>
      <c r="E155" s="17">
        <f t="shared" si="8"/>
        <v>25.015999999999963</v>
      </c>
      <c r="F155" s="18">
        <f t="shared" si="1"/>
        <v>1375.8799999999978</v>
      </c>
      <c r="G155" s="60">
        <f t="shared" si="3"/>
        <v>29.5</v>
      </c>
      <c r="H155" s="61">
        <f t="shared" si="2"/>
        <v>4.4840000000000373</v>
      </c>
    </row>
    <row r="156" spans="1:8" ht="13" x14ac:dyDescent="0.15">
      <c r="A156" s="12">
        <v>45723</v>
      </c>
      <c r="B156" s="13" t="s">
        <v>6</v>
      </c>
      <c r="C156" s="14">
        <v>0.93730000000000002</v>
      </c>
      <c r="D156" s="16">
        <v>590</v>
      </c>
      <c r="E156" s="17">
        <f t="shared" si="8"/>
        <v>36.992999999999938</v>
      </c>
      <c r="F156" s="18">
        <f t="shared" si="1"/>
        <v>2034.6149999999966</v>
      </c>
      <c r="G156" s="60">
        <f t="shared" si="3"/>
        <v>29.5</v>
      </c>
      <c r="H156" s="61">
        <f t="shared" si="2"/>
        <v>-7.4929999999999382</v>
      </c>
    </row>
    <row r="157" spans="1:8" ht="13" x14ac:dyDescent="0.15">
      <c r="A157" s="34">
        <v>45726</v>
      </c>
      <c r="B157" s="35" t="s">
        <v>2</v>
      </c>
      <c r="C157" s="14">
        <v>0.91859999999999997</v>
      </c>
      <c r="D157" s="16">
        <v>590</v>
      </c>
      <c r="E157" s="17">
        <f t="shared" si="8"/>
        <v>48.026000000000067</v>
      </c>
      <c r="F157" s="18">
        <f t="shared" si="1"/>
        <v>2641.4300000000039</v>
      </c>
      <c r="G157" s="60">
        <f t="shared" si="3"/>
        <v>29.5</v>
      </c>
      <c r="H157" s="61">
        <f t="shared" si="2"/>
        <v>-18.526000000000067</v>
      </c>
    </row>
    <row r="158" spans="1:8" ht="13" x14ac:dyDescent="0.15">
      <c r="A158" s="34">
        <v>45727</v>
      </c>
      <c r="B158" s="35" t="s">
        <v>3</v>
      </c>
      <c r="C158" s="14">
        <v>0.96099999999999997</v>
      </c>
      <c r="D158" s="16">
        <v>590</v>
      </c>
      <c r="E158" s="17">
        <f t="shared" ref="E158:E182" si="9">D158-(C158*D158)</f>
        <v>23.009999999999991</v>
      </c>
      <c r="F158" s="18">
        <f t="shared" si="1"/>
        <v>1265.5499999999995</v>
      </c>
      <c r="G158" s="60">
        <f t="shared" si="3"/>
        <v>29.5</v>
      </c>
      <c r="H158" s="61">
        <f t="shared" si="2"/>
        <v>6.4900000000000091</v>
      </c>
    </row>
    <row r="159" spans="1:8" ht="15.75" customHeight="1" x14ac:dyDescent="0.15">
      <c r="A159" s="34">
        <v>45727</v>
      </c>
      <c r="B159" s="35" t="s">
        <v>3</v>
      </c>
      <c r="C159" s="79">
        <v>0.96099999999999997</v>
      </c>
      <c r="D159" s="81">
        <v>590</v>
      </c>
      <c r="E159" s="17">
        <f t="shared" si="9"/>
        <v>23.009999999999991</v>
      </c>
      <c r="F159" s="18">
        <f t="shared" si="1"/>
        <v>1265.5499999999995</v>
      </c>
      <c r="G159" s="60">
        <f t="shared" si="3"/>
        <v>29.5</v>
      </c>
      <c r="H159" s="61">
        <f t="shared" si="2"/>
        <v>6.4900000000000091</v>
      </c>
    </row>
    <row r="160" spans="1:8" ht="15.75" customHeight="1" x14ac:dyDescent="0.15">
      <c r="A160" s="34">
        <v>45728</v>
      </c>
      <c r="B160" s="35" t="s">
        <v>4</v>
      </c>
      <c r="C160" s="79">
        <v>0.95250000000000001</v>
      </c>
      <c r="D160" s="81">
        <v>590</v>
      </c>
      <c r="E160" s="17">
        <f t="shared" si="9"/>
        <v>28.024999999999977</v>
      </c>
      <c r="F160" s="18">
        <f t="shared" ref="F160:F182" si="10">E160*$E$5</f>
        <v>1541.3749999999986</v>
      </c>
      <c r="G160" s="60">
        <f t="shared" ref="G160:G182" si="11">D160-(D160*G$3)</f>
        <v>29.5</v>
      </c>
      <c r="H160" s="61">
        <f t="shared" ref="H160:H183" si="12">G160-E160</f>
        <v>1.4750000000000227</v>
      </c>
    </row>
    <row r="161" spans="1:8" ht="15.75" customHeight="1" x14ac:dyDescent="0.15">
      <c r="A161" s="34">
        <v>45729</v>
      </c>
      <c r="B161" s="35" t="s">
        <v>5</v>
      </c>
      <c r="C161" s="79">
        <v>0.93910000000000005</v>
      </c>
      <c r="D161" s="81">
        <v>591</v>
      </c>
      <c r="E161" s="17">
        <f t="shared" si="9"/>
        <v>35.991899999999987</v>
      </c>
      <c r="F161" s="18">
        <f t="shared" si="10"/>
        <v>1979.5544999999993</v>
      </c>
      <c r="G161" s="60">
        <f t="shared" si="11"/>
        <v>29.550000000000068</v>
      </c>
      <c r="H161" s="61">
        <f t="shared" si="12"/>
        <v>-6.4418999999999187</v>
      </c>
    </row>
    <row r="162" spans="1:8" ht="15.75" customHeight="1" x14ac:dyDescent="0.15">
      <c r="A162" s="34">
        <v>45730</v>
      </c>
      <c r="B162" s="35" t="s">
        <v>6</v>
      </c>
      <c r="C162" s="79">
        <v>0.91369999999999996</v>
      </c>
      <c r="D162" s="81">
        <v>591</v>
      </c>
      <c r="E162" s="17">
        <f t="shared" si="9"/>
        <v>51.003300000000081</v>
      </c>
      <c r="F162" s="18">
        <f t="shared" si="10"/>
        <v>2805.1815000000042</v>
      </c>
      <c r="G162" s="60">
        <f t="shared" si="11"/>
        <v>29.550000000000068</v>
      </c>
      <c r="H162" s="61">
        <f t="shared" si="12"/>
        <v>-21.453300000000013</v>
      </c>
    </row>
    <row r="163" spans="1:8" ht="15.75" customHeight="1" x14ac:dyDescent="0.15">
      <c r="A163" s="21">
        <v>45733</v>
      </c>
      <c r="B163" s="22" t="s">
        <v>2</v>
      </c>
      <c r="C163" s="80"/>
      <c r="D163" s="82"/>
      <c r="E163" s="17">
        <f t="shared" si="9"/>
        <v>0</v>
      </c>
      <c r="F163" s="18">
        <f t="shared" si="10"/>
        <v>0</v>
      </c>
      <c r="G163" s="60">
        <f t="shared" si="11"/>
        <v>0</v>
      </c>
      <c r="H163" s="61">
        <f t="shared" si="12"/>
        <v>0</v>
      </c>
    </row>
    <row r="164" spans="1:8" ht="15.75" customHeight="1" x14ac:dyDescent="0.15">
      <c r="A164" s="21">
        <v>45734</v>
      </c>
      <c r="B164" s="22" t="s">
        <v>3</v>
      </c>
      <c r="C164" s="80"/>
      <c r="D164" s="82"/>
      <c r="E164" s="17">
        <f t="shared" si="9"/>
        <v>0</v>
      </c>
      <c r="F164" s="18">
        <f t="shared" si="10"/>
        <v>0</v>
      </c>
      <c r="G164" s="60">
        <f t="shared" si="11"/>
        <v>0</v>
      </c>
      <c r="H164" s="61">
        <f t="shared" si="12"/>
        <v>0</v>
      </c>
    </row>
    <row r="165" spans="1:8" ht="15.75" customHeight="1" x14ac:dyDescent="0.15">
      <c r="A165" s="21">
        <v>45735</v>
      </c>
      <c r="B165" s="22" t="s">
        <v>4</v>
      </c>
      <c r="C165" s="80"/>
      <c r="D165" s="82"/>
      <c r="E165" s="17">
        <f t="shared" si="9"/>
        <v>0</v>
      </c>
      <c r="F165" s="18">
        <f t="shared" si="10"/>
        <v>0</v>
      </c>
      <c r="G165" s="60">
        <f t="shared" si="11"/>
        <v>0</v>
      </c>
      <c r="H165" s="61">
        <f t="shared" si="12"/>
        <v>0</v>
      </c>
    </row>
    <row r="166" spans="1:8" ht="15.75" customHeight="1" x14ac:dyDescent="0.15">
      <c r="A166" s="21">
        <v>45736</v>
      </c>
      <c r="B166" s="22" t="s">
        <v>5</v>
      </c>
      <c r="C166" s="80"/>
      <c r="D166" s="82"/>
      <c r="E166" s="17">
        <f t="shared" si="9"/>
        <v>0</v>
      </c>
      <c r="F166" s="18">
        <f t="shared" si="10"/>
        <v>0</v>
      </c>
      <c r="G166" s="60">
        <f t="shared" si="11"/>
        <v>0</v>
      </c>
      <c r="H166" s="61">
        <f t="shared" si="12"/>
        <v>0</v>
      </c>
    </row>
    <row r="167" spans="1:8" ht="15.75" customHeight="1" x14ac:dyDescent="0.15">
      <c r="A167" s="21">
        <v>45737</v>
      </c>
      <c r="B167" s="22" t="s">
        <v>6</v>
      </c>
      <c r="C167" s="80"/>
      <c r="D167" s="82"/>
      <c r="E167" s="17">
        <f t="shared" si="9"/>
        <v>0</v>
      </c>
      <c r="F167" s="18">
        <f t="shared" si="10"/>
        <v>0</v>
      </c>
      <c r="G167" s="60">
        <f t="shared" si="11"/>
        <v>0</v>
      </c>
      <c r="H167" s="61">
        <f t="shared" si="12"/>
        <v>0</v>
      </c>
    </row>
    <row r="168" spans="1:8" ht="15.75" customHeight="1" x14ac:dyDescent="0.15">
      <c r="A168" s="12">
        <v>45740</v>
      </c>
      <c r="B168" s="13" t="s">
        <v>2</v>
      </c>
      <c r="C168" s="79">
        <v>0.90690000000000004</v>
      </c>
      <c r="D168" s="81">
        <v>591</v>
      </c>
      <c r="E168" s="17">
        <f t="shared" si="9"/>
        <v>55.022100000000023</v>
      </c>
      <c r="F168" s="18">
        <f t="shared" si="10"/>
        <v>3026.2155000000012</v>
      </c>
      <c r="G168" s="60">
        <f t="shared" si="11"/>
        <v>29.550000000000068</v>
      </c>
      <c r="H168" s="61">
        <f t="shared" si="12"/>
        <v>-25.472099999999955</v>
      </c>
    </row>
    <row r="169" spans="1:8" ht="15.75" customHeight="1" x14ac:dyDescent="0.15">
      <c r="A169" s="12">
        <v>45741</v>
      </c>
      <c r="B169" s="13" t="s">
        <v>3</v>
      </c>
      <c r="C169" s="79">
        <v>0.9677</v>
      </c>
      <c r="D169" s="81">
        <v>589</v>
      </c>
      <c r="E169" s="17">
        <f t="shared" si="9"/>
        <v>19.024700000000053</v>
      </c>
      <c r="F169" s="18">
        <f t="shared" si="10"/>
        <v>1046.358500000003</v>
      </c>
      <c r="G169" s="60">
        <f t="shared" si="11"/>
        <v>29.450000000000045</v>
      </c>
      <c r="H169" s="61">
        <f t="shared" si="12"/>
        <v>10.425299999999993</v>
      </c>
    </row>
    <row r="170" spans="1:8" ht="15.75" customHeight="1" x14ac:dyDescent="0.15">
      <c r="A170" s="12">
        <v>45742</v>
      </c>
      <c r="B170" s="13" t="s">
        <v>4</v>
      </c>
      <c r="C170" s="79">
        <v>0.97109999999999996</v>
      </c>
      <c r="D170" s="81">
        <v>589</v>
      </c>
      <c r="E170" s="17">
        <f t="shared" si="9"/>
        <v>17.022100000000023</v>
      </c>
      <c r="F170" s="18">
        <f t="shared" si="10"/>
        <v>936.21550000000127</v>
      </c>
      <c r="G170" s="60">
        <f t="shared" si="11"/>
        <v>29.450000000000045</v>
      </c>
      <c r="H170" s="61">
        <f t="shared" si="12"/>
        <v>12.427900000000022</v>
      </c>
    </row>
    <row r="171" spans="1:8" ht="15.75" customHeight="1" x14ac:dyDescent="0.15">
      <c r="A171" s="12">
        <v>45743</v>
      </c>
      <c r="B171" s="13" t="s">
        <v>5</v>
      </c>
      <c r="C171" s="79">
        <v>0.96940000000000004</v>
      </c>
      <c r="D171" s="81">
        <v>589</v>
      </c>
      <c r="E171" s="17">
        <f t="shared" si="9"/>
        <v>18.023399999999924</v>
      </c>
      <c r="F171" s="18">
        <f t="shared" si="10"/>
        <v>991.28699999999583</v>
      </c>
      <c r="G171" s="60">
        <f t="shared" si="11"/>
        <v>29.450000000000045</v>
      </c>
      <c r="H171" s="61">
        <f t="shared" si="12"/>
        <v>11.426600000000121</v>
      </c>
    </row>
    <row r="172" spans="1:8" ht="15.75" customHeight="1" x14ac:dyDescent="0.15">
      <c r="A172" s="12">
        <v>45744</v>
      </c>
      <c r="B172" s="13" t="s">
        <v>6</v>
      </c>
      <c r="C172" s="79">
        <v>0.95420000000000005</v>
      </c>
      <c r="D172" s="81">
        <v>589</v>
      </c>
      <c r="E172" s="17">
        <f t="shared" si="9"/>
        <v>26.976199999999949</v>
      </c>
      <c r="F172" s="18">
        <f t="shared" si="10"/>
        <v>1483.6909999999971</v>
      </c>
      <c r="G172" s="60">
        <f t="shared" si="11"/>
        <v>29.450000000000045</v>
      </c>
      <c r="H172" s="61">
        <f t="shared" si="12"/>
        <v>2.4738000000000966</v>
      </c>
    </row>
    <row r="173" spans="1:8" ht="15.75" customHeight="1" x14ac:dyDescent="0.15">
      <c r="A173" s="12">
        <v>45747</v>
      </c>
      <c r="B173" s="13" t="s">
        <v>2</v>
      </c>
      <c r="C173" s="79">
        <v>0.94910000000000005</v>
      </c>
      <c r="D173" s="81">
        <v>589</v>
      </c>
      <c r="E173" s="17">
        <f t="shared" si="9"/>
        <v>29.980099999999993</v>
      </c>
      <c r="F173" s="18">
        <f t="shared" si="10"/>
        <v>1648.9054999999996</v>
      </c>
      <c r="G173" s="60">
        <f t="shared" si="11"/>
        <v>29.450000000000045</v>
      </c>
      <c r="H173" s="61">
        <f t="shared" si="12"/>
        <v>-0.53009999999994761</v>
      </c>
    </row>
    <row r="174" spans="1:8" ht="15.75" customHeight="1" x14ac:dyDescent="0.15">
      <c r="A174" s="12">
        <v>45748</v>
      </c>
      <c r="B174" s="13" t="s">
        <v>3</v>
      </c>
      <c r="C174" s="79">
        <v>0.9728</v>
      </c>
      <c r="D174" s="81">
        <v>589</v>
      </c>
      <c r="E174" s="17">
        <f t="shared" si="9"/>
        <v>16.020800000000008</v>
      </c>
      <c r="F174" s="18">
        <f t="shared" si="10"/>
        <v>881.14400000000046</v>
      </c>
      <c r="G174" s="60">
        <f t="shared" si="11"/>
        <v>29.450000000000045</v>
      </c>
      <c r="H174" s="61">
        <f t="shared" si="12"/>
        <v>13.429200000000037</v>
      </c>
    </row>
    <row r="175" spans="1:8" ht="15.75" customHeight="1" x14ac:dyDescent="0.15">
      <c r="A175" s="12">
        <v>45749</v>
      </c>
      <c r="B175" s="13" t="s">
        <v>4</v>
      </c>
      <c r="C175" s="79">
        <v>0.95420000000000005</v>
      </c>
      <c r="D175" s="81">
        <v>589</v>
      </c>
      <c r="E175" s="17">
        <f t="shared" si="9"/>
        <v>26.976199999999949</v>
      </c>
      <c r="F175" s="18">
        <f t="shared" si="10"/>
        <v>1483.6909999999971</v>
      </c>
      <c r="G175" s="60">
        <f t="shared" si="11"/>
        <v>29.450000000000045</v>
      </c>
      <c r="H175" s="61">
        <f t="shared" si="12"/>
        <v>2.4738000000000966</v>
      </c>
    </row>
    <row r="176" spans="1:8" ht="15.75" customHeight="1" x14ac:dyDescent="0.15">
      <c r="A176" s="12">
        <v>45750</v>
      </c>
      <c r="B176" s="13" t="s">
        <v>5</v>
      </c>
      <c r="C176" s="79">
        <v>0.96099999999999997</v>
      </c>
      <c r="D176" s="81">
        <v>589</v>
      </c>
      <c r="E176" s="17">
        <f t="shared" si="9"/>
        <v>22.971000000000004</v>
      </c>
      <c r="F176" s="18">
        <f t="shared" si="10"/>
        <v>1263.4050000000002</v>
      </c>
      <c r="G176" s="60">
        <f t="shared" si="11"/>
        <v>29.450000000000045</v>
      </c>
      <c r="H176" s="61">
        <f t="shared" si="12"/>
        <v>6.4790000000000418</v>
      </c>
    </row>
    <row r="177" spans="1:8" ht="15.75" customHeight="1" x14ac:dyDescent="0.15">
      <c r="A177" s="12">
        <v>45751</v>
      </c>
      <c r="B177" s="13" t="s">
        <v>6</v>
      </c>
      <c r="C177" s="79">
        <v>0.93889999999999996</v>
      </c>
      <c r="D177" s="81">
        <v>589</v>
      </c>
      <c r="E177" s="17">
        <f t="shared" si="9"/>
        <v>35.987900000000081</v>
      </c>
      <c r="F177" s="18">
        <f t="shared" si="10"/>
        <v>1979.3345000000045</v>
      </c>
      <c r="G177" s="60">
        <f t="shared" si="11"/>
        <v>29.450000000000045</v>
      </c>
      <c r="H177" s="61">
        <f t="shared" si="12"/>
        <v>-6.537900000000036</v>
      </c>
    </row>
    <row r="178" spans="1:8" ht="15.75" customHeight="1" x14ac:dyDescent="0.15">
      <c r="A178" s="12">
        <v>45754</v>
      </c>
      <c r="B178" s="13" t="s">
        <v>2</v>
      </c>
      <c r="C178" s="79">
        <v>0.97619999999999996</v>
      </c>
      <c r="D178" s="81">
        <v>589</v>
      </c>
      <c r="E178" s="17">
        <f t="shared" si="9"/>
        <v>14.018199999999979</v>
      </c>
      <c r="F178" s="18">
        <f t="shared" si="10"/>
        <v>771.00099999999884</v>
      </c>
      <c r="G178" s="60">
        <f t="shared" si="11"/>
        <v>29.450000000000045</v>
      </c>
      <c r="H178" s="61">
        <f t="shared" si="12"/>
        <v>15.431800000000067</v>
      </c>
    </row>
    <row r="179" spans="1:8" ht="15.75" customHeight="1" x14ac:dyDescent="0.15">
      <c r="A179" s="12">
        <v>45755</v>
      </c>
      <c r="B179" s="13" t="s">
        <v>3</v>
      </c>
      <c r="C179" s="79">
        <v>0.97609999999999997</v>
      </c>
      <c r="D179" s="81">
        <v>586</v>
      </c>
      <c r="E179" s="17">
        <f t="shared" si="9"/>
        <v>14.005400000000009</v>
      </c>
      <c r="F179" s="18">
        <f t="shared" si="10"/>
        <v>770.29700000000048</v>
      </c>
      <c r="G179" s="60">
        <f t="shared" si="11"/>
        <v>29.300000000000068</v>
      </c>
      <c r="H179" s="61">
        <f t="shared" si="12"/>
        <v>15.294600000000059</v>
      </c>
    </row>
    <row r="180" spans="1:8" ht="15.75" customHeight="1" x14ac:dyDescent="0.15">
      <c r="A180" s="12">
        <v>45756</v>
      </c>
      <c r="B180" s="13" t="s">
        <v>4</v>
      </c>
      <c r="C180" s="79">
        <v>0.94869999999999999</v>
      </c>
      <c r="D180" s="81">
        <v>585</v>
      </c>
      <c r="E180" s="17">
        <f t="shared" si="9"/>
        <v>30.010499999999979</v>
      </c>
      <c r="F180" s="18">
        <f t="shared" si="10"/>
        <v>1650.577499999999</v>
      </c>
      <c r="G180" s="60">
        <f t="shared" si="11"/>
        <v>29.25</v>
      </c>
      <c r="H180" s="61">
        <f t="shared" si="12"/>
        <v>-0.76049999999997908</v>
      </c>
    </row>
    <row r="181" spans="1:8" ht="15.75" customHeight="1" x14ac:dyDescent="0.15">
      <c r="A181" s="12">
        <v>45757</v>
      </c>
      <c r="B181" s="13" t="s">
        <v>5</v>
      </c>
      <c r="C181" s="79">
        <v>0.95899999999999996</v>
      </c>
      <c r="D181" s="81">
        <v>585</v>
      </c>
      <c r="E181" s="17">
        <f t="shared" si="9"/>
        <v>23.985000000000014</v>
      </c>
      <c r="F181" s="18">
        <f t="shared" si="10"/>
        <v>1319.1750000000006</v>
      </c>
      <c r="G181" s="60">
        <f t="shared" si="11"/>
        <v>29.25</v>
      </c>
      <c r="H181" s="61">
        <f t="shared" si="12"/>
        <v>5.2649999999999864</v>
      </c>
    </row>
    <row r="182" spans="1:8" ht="15.75" customHeight="1" x14ac:dyDescent="0.15">
      <c r="A182" s="12">
        <v>45758</v>
      </c>
      <c r="B182" s="13" t="s">
        <v>6</v>
      </c>
      <c r="C182" s="79">
        <v>0.95730000000000004</v>
      </c>
      <c r="D182" s="81">
        <v>585</v>
      </c>
      <c r="E182" s="17">
        <f t="shared" si="9"/>
        <v>24.97950000000003</v>
      </c>
      <c r="F182" s="18">
        <f t="shared" si="10"/>
        <v>1373.8725000000018</v>
      </c>
      <c r="G182" s="60">
        <f t="shared" si="11"/>
        <v>29.25</v>
      </c>
      <c r="H182" s="61">
        <f t="shared" si="12"/>
        <v>4.27049999999997</v>
      </c>
    </row>
    <row r="183" spans="1:8" ht="15.75" customHeight="1" x14ac:dyDescent="0.15">
      <c r="H183" s="61">
        <f t="shared" si="12"/>
        <v>0</v>
      </c>
    </row>
  </sheetData>
  <autoFilter ref="A6:F158" xr:uid="{00000000-0009-0000-0000-000004000000}"/>
  <mergeCells count="6">
    <mergeCell ref="A2:D5"/>
    <mergeCell ref="E2:F2"/>
    <mergeCell ref="E3:F3"/>
    <mergeCell ref="G3:G5"/>
    <mergeCell ref="E4:F4"/>
    <mergeCell ref="E5:F5"/>
  </mergeCells>
  <conditionalFormatting sqref="C6:C158">
    <cfRule type="cellIs" dxfId="79" priority="7" operator="lessThan">
      <formula>"92%"</formula>
    </cfRule>
  </conditionalFormatting>
  <conditionalFormatting sqref="C7:C158">
    <cfRule type="cellIs" dxfId="78" priority="4" operator="lessThan">
      <formula>"90%"</formula>
    </cfRule>
    <cfRule type="cellIs" dxfId="77" priority="5" operator="lessThan">
      <formula>"94%"</formula>
    </cfRule>
  </conditionalFormatting>
  <conditionalFormatting sqref="H1:H2 H6:H183">
    <cfRule type="cellIs" dxfId="76" priority="6" operator="lessThan">
      <formula>0</formula>
    </cfRule>
  </conditionalFormatting>
  <conditionalFormatting sqref="C159:C182">
    <cfRule type="cellIs" dxfId="32" priority="3" operator="lessThan">
      <formula>"92%"</formula>
    </cfRule>
  </conditionalFormatting>
  <conditionalFormatting sqref="C159:C182">
    <cfRule type="cellIs" dxfId="31" priority="1" operator="lessThan">
      <formula>"90%"</formula>
    </cfRule>
    <cfRule type="cellIs" dxfId="30" priority="2" operator="lessThan">
      <formula>"94%"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outlinePr summaryBelow="0" summaryRight="0"/>
    <pageSetUpPr fitToPage="1"/>
  </sheetPr>
  <dimension ref="A1:H181"/>
  <sheetViews>
    <sheetView zoomScale="110" workbookViewId="0">
      <pane ySplit="6" topLeftCell="A150" activePane="bottomLeft" state="frozen"/>
      <selection pane="bottomLeft" activeCell="H172" sqref="H172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17.5" customWidth="1"/>
  </cols>
  <sheetData>
    <row r="1" spans="1:8" ht="27" thickBot="1" x14ac:dyDescent="0.3">
      <c r="A1" s="1"/>
      <c r="B1" s="1"/>
      <c r="C1" s="1"/>
      <c r="D1" s="1"/>
      <c r="E1" s="2"/>
      <c r="F1" s="2"/>
      <c r="G1" s="3"/>
      <c r="H1" s="37">
        <f>SUM(H10:H157)</f>
        <v>-4834.0719000000017</v>
      </c>
    </row>
    <row r="2" spans="1:8" ht="17" thickTop="1" x14ac:dyDescent="0.2">
      <c r="A2" s="63"/>
      <c r="B2" s="64"/>
      <c r="C2" s="64"/>
      <c r="D2" s="64"/>
      <c r="E2" s="65" t="s">
        <v>0</v>
      </c>
      <c r="F2" s="66"/>
      <c r="G2" s="5" t="s">
        <v>8</v>
      </c>
      <c r="H2" s="67" t="s">
        <v>22</v>
      </c>
    </row>
    <row r="3" spans="1:8" ht="24" x14ac:dyDescent="0.25">
      <c r="A3" s="64"/>
      <c r="B3" s="64"/>
      <c r="C3" s="64"/>
      <c r="D3" s="64"/>
      <c r="E3" s="68">
        <f>SUM(F7:F128)</f>
        <v>218997.97150000004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585</v>
      </c>
      <c r="E7" s="17">
        <f>D7-(C7*D7)</f>
        <v>0</v>
      </c>
      <c r="F7" s="18">
        <f t="shared" ref="F7:F158" si="0">E7*$E$5</f>
        <v>0</v>
      </c>
      <c r="G7" s="19">
        <v>0</v>
      </c>
      <c r="H7" s="20">
        <f t="shared" ref="H7:H124" si="1">G7-E7</f>
        <v>0</v>
      </c>
    </row>
    <row r="8" spans="1:8" ht="13" x14ac:dyDescent="0.15">
      <c r="A8" s="12">
        <v>45517</v>
      </c>
      <c r="B8" s="13" t="s">
        <v>3</v>
      </c>
      <c r="C8" s="14">
        <v>0.98129999999999995</v>
      </c>
      <c r="D8" s="16">
        <v>591</v>
      </c>
      <c r="E8" s="17">
        <f>D8-(C8*D8)</f>
        <v>11.051699999999983</v>
      </c>
      <c r="F8" s="18">
        <f t="shared" si="0"/>
        <v>607.84349999999904</v>
      </c>
      <c r="G8" s="19">
        <v>0</v>
      </c>
      <c r="H8" s="20">
        <f t="shared" si="1"/>
        <v>-11.051699999999983</v>
      </c>
    </row>
    <row r="9" spans="1:8" ht="13" x14ac:dyDescent="0.15">
      <c r="A9" s="12">
        <v>45518</v>
      </c>
      <c r="B9" s="13" t="s">
        <v>4</v>
      </c>
      <c r="C9" s="14">
        <v>0.98319999999999996</v>
      </c>
      <c r="D9" s="16">
        <v>599</v>
      </c>
      <c r="E9" s="17">
        <f>D9-(C9*D9)</f>
        <v>10.063200000000052</v>
      </c>
      <c r="F9" s="18">
        <f t="shared" si="0"/>
        <v>553.47600000000284</v>
      </c>
      <c r="G9" s="19">
        <v>0</v>
      </c>
      <c r="H9" s="20">
        <f t="shared" si="1"/>
        <v>-10.063200000000052</v>
      </c>
    </row>
    <row r="10" spans="1:8" ht="13" x14ac:dyDescent="0.15">
      <c r="A10" s="12">
        <v>45519</v>
      </c>
      <c r="B10" s="13" t="s">
        <v>5</v>
      </c>
      <c r="C10" s="14">
        <v>0.98499999999999999</v>
      </c>
      <c r="D10" s="16">
        <v>604</v>
      </c>
      <c r="E10" s="17">
        <f>D10-(C10*D10)</f>
        <v>9.0600000000000591</v>
      </c>
      <c r="F10" s="18">
        <f t="shared" si="0"/>
        <v>498.30000000000325</v>
      </c>
      <c r="G10" s="19">
        <v>0</v>
      </c>
      <c r="H10" s="20">
        <f t="shared" si="1"/>
        <v>-9.0600000000000591</v>
      </c>
    </row>
    <row r="11" spans="1:8" ht="13" x14ac:dyDescent="0.15">
      <c r="A11" s="12">
        <v>45520</v>
      </c>
      <c r="B11" s="13" t="s">
        <v>6</v>
      </c>
      <c r="C11" s="14">
        <v>0.97850000000000004</v>
      </c>
      <c r="D11" s="16">
        <v>608</v>
      </c>
      <c r="E11" s="17">
        <f>D11-(C11*D11)</f>
        <v>13.072000000000003</v>
      </c>
      <c r="F11" s="18">
        <f t="shared" si="0"/>
        <v>718.96000000000015</v>
      </c>
      <c r="G11" s="19">
        <v>0</v>
      </c>
      <c r="H11" s="20">
        <f t="shared" si="1"/>
        <v>-13.072000000000003</v>
      </c>
    </row>
    <row r="12" spans="1:8" ht="13" x14ac:dyDescent="0.15">
      <c r="A12" s="12">
        <v>45523</v>
      </c>
      <c r="B12" s="13" t="s">
        <v>2</v>
      </c>
      <c r="C12" s="14">
        <v>0.9446</v>
      </c>
      <c r="D12" s="16">
        <v>614</v>
      </c>
      <c r="E12" s="17">
        <f>D7-(C7*D7)</f>
        <v>0</v>
      </c>
      <c r="F12" s="18">
        <f t="shared" si="0"/>
        <v>0</v>
      </c>
      <c r="G12" s="19">
        <v>0</v>
      </c>
      <c r="H12" s="20">
        <f t="shared" si="1"/>
        <v>0</v>
      </c>
    </row>
    <row r="13" spans="1:8" ht="13" x14ac:dyDescent="0.15">
      <c r="A13" s="12">
        <v>45524</v>
      </c>
      <c r="B13" s="13" t="s">
        <v>3</v>
      </c>
      <c r="C13" s="14">
        <v>0.96419999999999995</v>
      </c>
      <c r="D13" s="16">
        <v>615</v>
      </c>
      <c r="E13" s="17">
        <f t="shared" ref="E13:E44" si="2">D13-(C13*D13)</f>
        <v>22.017000000000053</v>
      </c>
      <c r="F13" s="18">
        <f t="shared" si="0"/>
        <v>1210.9350000000029</v>
      </c>
      <c r="G13" s="19">
        <v>0</v>
      </c>
      <c r="H13" s="20">
        <f t="shared" si="1"/>
        <v>-22.017000000000053</v>
      </c>
    </row>
    <row r="14" spans="1:8" ht="13" x14ac:dyDescent="0.15">
      <c r="A14" s="12">
        <v>45525</v>
      </c>
      <c r="B14" s="13" t="s">
        <v>4</v>
      </c>
      <c r="C14" s="14">
        <v>0.97560000000000002</v>
      </c>
      <c r="D14" s="16">
        <v>616</v>
      </c>
      <c r="E14" s="17">
        <f t="shared" si="2"/>
        <v>15.030399999999986</v>
      </c>
      <c r="F14" s="18">
        <f t="shared" si="0"/>
        <v>826.67199999999923</v>
      </c>
      <c r="G14" s="19">
        <v>0</v>
      </c>
      <c r="H14" s="20">
        <f t="shared" si="1"/>
        <v>-15.030399999999986</v>
      </c>
    </row>
    <row r="15" spans="1:8" ht="13" x14ac:dyDescent="0.15">
      <c r="A15" s="12">
        <v>45526</v>
      </c>
      <c r="B15" s="13" t="s">
        <v>5</v>
      </c>
      <c r="C15" s="14">
        <v>0.96599999999999997</v>
      </c>
      <c r="D15" s="16">
        <v>618</v>
      </c>
      <c r="E15" s="17">
        <f t="shared" si="2"/>
        <v>21.012000000000057</v>
      </c>
      <c r="F15" s="18">
        <f t="shared" si="0"/>
        <v>1155.660000000003</v>
      </c>
      <c r="G15" s="19">
        <v>0</v>
      </c>
      <c r="H15" s="20">
        <f t="shared" si="1"/>
        <v>-21.012000000000057</v>
      </c>
    </row>
    <row r="16" spans="1:8" ht="13" x14ac:dyDescent="0.15">
      <c r="A16" s="12">
        <v>45527</v>
      </c>
      <c r="B16" s="13" t="s">
        <v>6</v>
      </c>
      <c r="C16" s="14">
        <v>0.96599999999999997</v>
      </c>
      <c r="D16" s="16">
        <v>619</v>
      </c>
      <c r="E16" s="17">
        <f t="shared" si="2"/>
        <v>21.046000000000049</v>
      </c>
      <c r="F16" s="18">
        <f t="shared" si="0"/>
        <v>1157.5300000000027</v>
      </c>
      <c r="G16" s="19">
        <v>0</v>
      </c>
      <c r="H16" s="20">
        <f t="shared" si="1"/>
        <v>-21.046000000000049</v>
      </c>
    </row>
    <row r="17" spans="1:8" ht="13" x14ac:dyDescent="0.15">
      <c r="A17" s="12">
        <v>45530</v>
      </c>
      <c r="B17" s="13" t="s">
        <v>2</v>
      </c>
      <c r="C17" s="14">
        <v>0.95150000000000001</v>
      </c>
      <c r="D17" s="16">
        <v>618</v>
      </c>
      <c r="E17" s="17">
        <f t="shared" si="2"/>
        <v>29.972999999999956</v>
      </c>
      <c r="F17" s="18">
        <f t="shared" si="0"/>
        <v>1648.5149999999976</v>
      </c>
      <c r="G17" s="19">
        <v>0</v>
      </c>
      <c r="H17" s="20">
        <f t="shared" si="1"/>
        <v>-29.972999999999956</v>
      </c>
    </row>
    <row r="18" spans="1:8" ht="13" x14ac:dyDescent="0.15">
      <c r="A18" s="12">
        <v>45531</v>
      </c>
      <c r="B18" s="13" t="s">
        <v>3</v>
      </c>
      <c r="C18" s="14">
        <v>0.97419999999999995</v>
      </c>
      <c r="D18" s="16">
        <v>619</v>
      </c>
      <c r="E18" s="17">
        <f t="shared" si="2"/>
        <v>15.970199999999977</v>
      </c>
      <c r="F18" s="18">
        <f t="shared" si="0"/>
        <v>878.36099999999874</v>
      </c>
      <c r="G18" s="19">
        <v>0</v>
      </c>
      <c r="H18" s="20">
        <f t="shared" si="1"/>
        <v>-15.970199999999977</v>
      </c>
    </row>
    <row r="19" spans="1:8" ht="13" x14ac:dyDescent="0.15">
      <c r="A19" s="12">
        <v>45532</v>
      </c>
      <c r="B19" s="13" t="s">
        <v>4</v>
      </c>
      <c r="C19" s="14">
        <v>0.96260000000000001</v>
      </c>
      <c r="D19" s="16">
        <v>620</v>
      </c>
      <c r="E19" s="17">
        <f t="shared" si="2"/>
        <v>23.187999999999988</v>
      </c>
      <c r="F19" s="18">
        <f t="shared" si="0"/>
        <v>1275.3399999999992</v>
      </c>
      <c r="G19" s="19">
        <v>0</v>
      </c>
      <c r="H19" s="20">
        <f t="shared" si="1"/>
        <v>-23.187999999999988</v>
      </c>
    </row>
    <row r="20" spans="1:8" ht="13" x14ac:dyDescent="0.15">
      <c r="A20" s="12">
        <v>45533</v>
      </c>
      <c r="B20" s="13" t="s">
        <v>5</v>
      </c>
      <c r="C20" s="14">
        <v>0.98550000000000004</v>
      </c>
      <c r="D20" s="16">
        <v>620</v>
      </c>
      <c r="E20" s="17">
        <f t="shared" si="2"/>
        <v>8.9900000000000091</v>
      </c>
      <c r="F20" s="18">
        <f t="shared" si="0"/>
        <v>494.4500000000005</v>
      </c>
      <c r="G20" s="19">
        <v>0</v>
      </c>
      <c r="H20" s="20">
        <f t="shared" si="1"/>
        <v>-8.9900000000000091</v>
      </c>
    </row>
    <row r="21" spans="1:8" ht="13" x14ac:dyDescent="0.15">
      <c r="A21" s="12">
        <v>45534</v>
      </c>
      <c r="B21" s="13" t="s">
        <v>6</v>
      </c>
      <c r="C21" s="14">
        <v>0.94679999999999997</v>
      </c>
      <c r="D21" s="16">
        <v>620</v>
      </c>
      <c r="E21" s="17">
        <f t="shared" si="2"/>
        <v>32.984000000000037</v>
      </c>
      <c r="F21" s="18">
        <f t="shared" si="0"/>
        <v>1814.1200000000022</v>
      </c>
      <c r="G21" s="19">
        <v>0</v>
      </c>
      <c r="H21" s="20">
        <f t="shared" si="1"/>
        <v>-32.984000000000037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2"/>
        <v>0</v>
      </c>
      <c r="F22" s="18">
        <f t="shared" si="0"/>
        <v>0</v>
      </c>
      <c r="G22" s="19">
        <v>0</v>
      </c>
      <c r="H22" s="20">
        <f t="shared" si="1"/>
        <v>0</v>
      </c>
    </row>
    <row r="23" spans="1:8" ht="13" x14ac:dyDescent="0.15">
      <c r="A23" s="12">
        <v>45538</v>
      </c>
      <c r="B23" s="13" t="s">
        <v>3</v>
      </c>
      <c r="C23" s="14">
        <v>0.95830000000000004</v>
      </c>
      <c r="D23" s="16">
        <v>624</v>
      </c>
      <c r="E23" s="17">
        <f t="shared" si="2"/>
        <v>26.020800000000008</v>
      </c>
      <c r="F23" s="18">
        <f t="shared" si="0"/>
        <v>1431.1440000000005</v>
      </c>
      <c r="G23" s="19">
        <v>0</v>
      </c>
      <c r="H23" s="20">
        <f t="shared" si="1"/>
        <v>-26.020800000000008</v>
      </c>
    </row>
    <row r="24" spans="1:8" ht="13" x14ac:dyDescent="0.15">
      <c r="A24" s="12">
        <v>45539</v>
      </c>
      <c r="B24" s="13" t="s">
        <v>4</v>
      </c>
      <c r="C24" s="14">
        <v>0.97109999999999996</v>
      </c>
      <c r="D24" s="16">
        <v>622</v>
      </c>
      <c r="E24" s="17">
        <f t="shared" si="2"/>
        <v>17.975800000000049</v>
      </c>
      <c r="F24" s="18">
        <f t="shared" si="0"/>
        <v>988.66900000000271</v>
      </c>
      <c r="G24" s="19">
        <v>0</v>
      </c>
      <c r="H24" s="20">
        <f t="shared" si="1"/>
        <v>-17.975800000000049</v>
      </c>
    </row>
    <row r="25" spans="1:8" ht="13" x14ac:dyDescent="0.15">
      <c r="A25" s="12">
        <v>45540</v>
      </c>
      <c r="B25" s="13" t="s">
        <v>5</v>
      </c>
      <c r="C25" s="14">
        <v>0.97270000000000001</v>
      </c>
      <c r="D25" s="16">
        <v>622</v>
      </c>
      <c r="E25" s="17">
        <f t="shared" si="2"/>
        <v>16.980599999999981</v>
      </c>
      <c r="F25" s="18">
        <f t="shared" si="0"/>
        <v>933.93299999999897</v>
      </c>
      <c r="G25" s="19">
        <v>0</v>
      </c>
      <c r="H25" s="20">
        <f t="shared" si="1"/>
        <v>-16.980599999999981</v>
      </c>
    </row>
    <row r="26" spans="1:8" ht="13" x14ac:dyDescent="0.15">
      <c r="A26" s="12">
        <v>45541</v>
      </c>
      <c r="B26" s="13" t="s">
        <v>6</v>
      </c>
      <c r="C26" s="14">
        <v>0.95150000000000001</v>
      </c>
      <c r="D26" s="16">
        <v>622</v>
      </c>
      <c r="E26" s="17">
        <f t="shared" si="2"/>
        <v>30.16700000000003</v>
      </c>
      <c r="F26" s="18">
        <f t="shared" si="0"/>
        <v>1659.1850000000018</v>
      </c>
      <c r="G26" s="19">
        <v>0</v>
      </c>
      <c r="H26" s="20">
        <f t="shared" si="1"/>
        <v>-30.16700000000003</v>
      </c>
    </row>
    <row r="27" spans="1:8" ht="13" x14ac:dyDescent="0.15">
      <c r="A27" s="12">
        <v>45544</v>
      </c>
      <c r="B27" s="13" t="s">
        <v>2</v>
      </c>
      <c r="C27" s="14">
        <v>0.95830000000000004</v>
      </c>
      <c r="D27" s="16">
        <v>623</v>
      </c>
      <c r="E27" s="17">
        <f t="shared" si="2"/>
        <v>25.979100000000017</v>
      </c>
      <c r="F27" s="18">
        <f t="shared" si="0"/>
        <v>1428.8505000000009</v>
      </c>
      <c r="G27" s="19">
        <v>0</v>
      </c>
      <c r="H27" s="20">
        <f t="shared" si="1"/>
        <v>-25.979100000000017</v>
      </c>
    </row>
    <row r="28" spans="1:8" ht="13" x14ac:dyDescent="0.15">
      <c r="A28" s="12">
        <v>45545</v>
      </c>
      <c r="B28" s="13" t="s">
        <v>3</v>
      </c>
      <c r="C28" s="14">
        <v>0.95850000000000002</v>
      </c>
      <c r="D28" s="16">
        <v>627</v>
      </c>
      <c r="E28" s="17">
        <f t="shared" si="2"/>
        <v>26.02049999999997</v>
      </c>
      <c r="F28" s="18">
        <f t="shared" si="0"/>
        <v>1431.1274999999982</v>
      </c>
      <c r="G28" s="19">
        <v>0</v>
      </c>
      <c r="H28" s="20">
        <f t="shared" si="1"/>
        <v>-26.02049999999997</v>
      </c>
    </row>
    <row r="29" spans="1:8" ht="13" x14ac:dyDescent="0.15">
      <c r="A29" s="12">
        <v>45546</v>
      </c>
      <c r="B29" s="13" t="s">
        <v>4</v>
      </c>
      <c r="C29" s="14">
        <v>0.95220000000000005</v>
      </c>
      <c r="D29" s="16">
        <v>627</v>
      </c>
      <c r="E29" s="17">
        <f t="shared" si="2"/>
        <v>29.97059999999999</v>
      </c>
      <c r="F29" s="18">
        <f t="shared" si="0"/>
        <v>1648.3829999999994</v>
      </c>
      <c r="G29" s="19">
        <v>0</v>
      </c>
      <c r="H29" s="20">
        <f t="shared" si="1"/>
        <v>-29.97059999999999</v>
      </c>
    </row>
    <row r="30" spans="1:8" ht="13" x14ac:dyDescent="0.15">
      <c r="A30" s="12">
        <v>45547</v>
      </c>
      <c r="B30" s="13" t="s">
        <v>5</v>
      </c>
      <c r="C30" s="14">
        <v>0.9617</v>
      </c>
      <c r="D30" s="16">
        <v>627</v>
      </c>
      <c r="E30" s="17">
        <f t="shared" si="2"/>
        <v>24.014099999999985</v>
      </c>
      <c r="F30" s="18">
        <f t="shared" si="0"/>
        <v>1320.7754999999993</v>
      </c>
      <c r="G30" s="19">
        <v>0</v>
      </c>
      <c r="H30" s="20">
        <f t="shared" si="1"/>
        <v>-24.014099999999985</v>
      </c>
    </row>
    <row r="31" spans="1:8" ht="13" x14ac:dyDescent="0.15">
      <c r="A31" s="12">
        <v>45548</v>
      </c>
      <c r="B31" s="13" t="s">
        <v>6</v>
      </c>
      <c r="C31" s="14">
        <v>0.96009999999999995</v>
      </c>
      <c r="D31" s="16">
        <v>626</v>
      </c>
      <c r="E31" s="17">
        <f t="shared" si="2"/>
        <v>24.977399999999989</v>
      </c>
      <c r="F31" s="18">
        <f t="shared" si="0"/>
        <v>1373.7569999999994</v>
      </c>
      <c r="G31" s="19">
        <v>0</v>
      </c>
      <c r="H31" s="20">
        <f t="shared" si="1"/>
        <v>-24.977399999999989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2"/>
        <v>0</v>
      </c>
      <c r="F32" s="18">
        <f t="shared" si="0"/>
        <v>0</v>
      </c>
      <c r="G32" s="19">
        <v>0</v>
      </c>
      <c r="H32" s="20">
        <f t="shared" si="1"/>
        <v>0</v>
      </c>
    </row>
    <row r="33" spans="1:8" ht="13" x14ac:dyDescent="0.15">
      <c r="A33" s="12">
        <v>45552</v>
      </c>
      <c r="B33" s="13" t="s">
        <v>3</v>
      </c>
      <c r="C33" s="14">
        <v>0.95709999999999995</v>
      </c>
      <c r="D33" s="16">
        <v>628</v>
      </c>
      <c r="E33" s="17">
        <f t="shared" si="2"/>
        <v>26.941199999999981</v>
      </c>
      <c r="F33" s="18">
        <f t="shared" si="0"/>
        <v>1481.7659999999989</v>
      </c>
      <c r="G33" s="19">
        <v>0</v>
      </c>
      <c r="H33" s="20">
        <f t="shared" si="1"/>
        <v>-26.941199999999981</v>
      </c>
    </row>
    <row r="34" spans="1:8" ht="13" x14ac:dyDescent="0.15">
      <c r="A34" s="12">
        <v>45553</v>
      </c>
      <c r="B34" s="13" t="s">
        <v>4</v>
      </c>
      <c r="C34" s="14">
        <v>0.96819999999999995</v>
      </c>
      <c r="D34" s="16">
        <v>628</v>
      </c>
      <c r="E34" s="17">
        <f t="shared" si="2"/>
        <v>19.970400000000041</v>
      </c>
      <c r="F34" s="18">
        <f t="shared" si="0"/>
        <v>1098.3720000000021</v>
      </c>
      <c r="G34" s="19">
        <v>0</v>
      </c>
      <c r="H34" s="20">
        <f t="shared" si="1"/>
        <v>-19.970400000000041</v>
      </c>
    </row>
    <row r="35" spans="1:8" ht="13" x14ac:dyDescent="0.15">
      <c r="A35" s="12">
        <v>45554</v>
      </c>
      <c r="B35" s="13" t="s">
        <v>5</v>
      </c>
      <c r="C35" s="14">
        <v>0.95550000000000002</v>
      </c>
      <c r="D35" s="16">
        <v>628</v>
      </c>
      <c r="E35" s="17">
        <f t="shared" si="2"/>
        <v>27.946000000000026</v>
      </c>
      <c r="F35" s="18">
        <f t="shared" si="0"/>
        <v>1537.0300000000016</v>
      </c>
      <c r="G35" s="19">
        <v>0</v>
      </c>
      <c r="H35" s="20">
        <f t="shared" si="1"/>
        <v>-27.946000000000026</v>
      </c>
    </row>
    <row r="36" spans="1:8" ht="13" x14ac:dyDescent="0.15">
      <c r="A36" s="12">
        <v>45555</v>
      </c>
      <c r="B36" s="13" t="s">
        <v>6</v>
      </c>
      <c r="C36" s="14">
        <v>0.94750000000000001</v>
      </c>
      <c r="D36" s="16">
        <v>628</v>
      </c>
      <c r="E36" s="17">
        <f t="shared" si="2"/>
        <v>32.970000000000027</v>
      </c>
      <c r="F36" s="18">
        <f t="shared" si="0"/>
        <v>1813.3500000000015</v>
      </c>
      <c r="G36" s="19">
        <v>0</v>
      </c>
      <c r="H36" s="20">
        <f t="shared" si="1"/>
        <v>-32.970000000000027</v>
      </c>
    </row>
    <row r="37" spans="1:8" ht="13" x14ac:dyDescent="0.15">
      <c r="A37" s="12">
        <v>45558</v>
      </c>
      <c r="B37" s="13" t="s">
        <v>2</v>
      </c>
      <c r="C37" s="14">
        <v>0.94750000000000001</v>
      </c>
      <c r="D37" s="16">
        <v>629</v>
      </c>
      <c r="E37" s="17">
        <f t="shared" si="2"/>
        <v>33.022500000000036</v>
      </c>
      <c r="F37" s="18">
        <f t="shared" si="0"/>
        <v>1816.237500000002</v>
      </c>
      <c r="G37" s="19">
        <v>0</v>
      </c>
      <c r="H37" s="20">
        <f t="shared" si="1"/>
        <v>-33.022500000000036</v>
      </c>
    </row>
    <row r="38" spans="1:8" ht="13" x14ac:dyDescent="0.15">
      <c r="A38" s="12">
        <v>45559</v>
      </c>
      <c r="B38" s="13" t="s">
        <v>3</v>
      </c>
      <c r="C38" s="14">
        <v>0.96020000000000005</v>
      </c>
      <c r="D38" s="16">
        <v>628</v>
      </c>
      <c r="E38" s="17">
        <f t="shared" si="2"/>
        <v>24.994399999999928</v>
      </c>
      <c r="F38" s="18">
        <f t="shared" si="0"/>
        <v>1374.6919999999959</v>
      </c>
      <c r="G38" s="19">
        <v>0</v>
      </c>
      <c r="H38" s="20">
        <f t="shared" si="1"/>
        <v>-24.994399999999928</v>
      </c>
    </row>
    <row r="39" spans="1:8" ht="13" x14ac:dyDescent="0.15">
      <c r="A39" s="12">
        <v>45560</v>
      </c>
      <c r="B39" s="13" t="s">
        <v>4</v>
      </c>
      <c r="C39" s="14">
        <v>0.97450000000000003</v>
      </c>
      <c r="D39" s="16">
        <v>628</v>
      </c>
      <c r="E39" s="17">
        <f t="shared" si="2"/>
        <v>16.01400000000001</v>
      </c>
      <c r="F39" s="18">
        <f t="shared" si="0"/>
        <v>880.77000000000055</v>
      </c>
      <c r="G39" s="19">
        <v>0</v>
      </c>
      <c r="H39" s="20">
        <f t="shared" si="1"/>
        <v>-16.01400000000001</v>
      </c>
    </row>
    <row r="40" spans="1:8" ht="13" x14ac:dyDescent="0.15">
      <c r="A40" s="12">
        <v>45561</v>
      </c>
      <c r="B40" s="13" t="s">
        <v>5</v>
      </c>
      <c r="C40" s="14">
        <v>0.96660000000000001</v>
      </c>
      <c r="D40" s="16">
        <v>628</v>
      </c>
      <c r="E40" s="17">
        <f t="shared" si="2"/>
        <v>20.975199999999973</v>
      </c>
      <c r="F40" s="18">
        <f t="shared" si="0"/>
        <v>1153.6359999999986</v>
      </c>
      <c r="G40" s="19">
        <v>0</v>
      </c>
      <c r="H40" s="20">
        <f t="shared" si="1"/>
        <v>-20.975199999999973</v>
      </c>
    </row>
    <row r="41" spans="1:8" ht="13" x14ac:dyDescent="0.15">
      <c r="A41" s="12">
        <v>45562</v>
      </c>
      <c r="B41" s="13" t="s">
        <v>6</v>
      </c>
      <c r="C41" s="14">
        <v>0.94430000000000003</v>
      </c>
      <c r="D41" s="16">
        <v>628</v>
      </c>
      <c r="E41" s="17">
        <f t="shared" si="2"/>
        <v>34.979600000000005</v>
      </c>
      <c r="F41" s="18">
        <f t="shared" si="0"/>
        <v>1923.8780000000002</v>
      </c>
      <c r="G41" s="19">
        <v>0</v>
      </c>
      <c r="H41" s="20">
        <f t="shared" si="1"/>
        <v>-34.979600000000005</v>
      </c>
    </row>
    <row r="42" spans="1:8" ht="13" x14ac:dyDescent="0.15">
      <c r="A42" s="12">
        <v>45565</v>
      </c>
      <c r="B42" s="13" t="s">
        <v>2</v>
      </c>
      <c r="C42" s="14">
        <v>0.94110000000000005</v>
      </c>
      <c r="D42" s="16">
        <v>628</v>
      </c>
      <c r="E42" s="17">
        <f t="shared" si="2"/>
        <v>36.989199999999983</v>
      </c>
      <c r="F42" s="18">
        <f t="shared" si="0"/>
        <v>2034.405999999999</v>
      </c>
      <c r="G42" s="19">
        <v>0</v>
      </c>
      <c r="H42" s="20">
        <f t="shared" si="1"/>
        <v>-36.989199999999983</v>
      </c>
    </row>
    <row r="43" spans="1:8" ht="13" x14ac:dyDescent="0.15">
      <c r="A43" s="12">
        <v>45566</v>
      </c>
      <c r="B43" s="13" t="s">
        <v>3</v>
      </c>
      <c r="C43" s="14">
        <v>0.95220000000000005</v>
      </c>
      <c r="D43" s="16">
        <v>627</v>
      </c>
      <c r="E43" s="17">
        <f t="shared" si="2"/>
        <v>29.97059999999999</v>
      </c>
      <c r="F43" s="18">
        <f t="shared" si="0"/>
        <v>1648.3829999999994</v>
      </c>
      <c r="G43" s="19">
        <v>0</v>
      </c>
      <c r="H43" s="20">
        <f t="shared" si="1"/>
        <v>-29.97059999999999</v>
      </c>
    </row>
    <row r="44" spans="1:8" ht="13" x14ac:dyDescent="0.15">
      <c r="A44" s="12">
        <v>45567</v>
      </c>
      <c r="B44" s="13" t="s">
        <v>4</v>
      </c>
      <c r="C44" s="14">
        <v>0.97130000000000005</v>
      </c>
      <c r="D44" s="16">
        <v>628</v>
      </c>
      <c r="E44" s="17">
        <f t="shared" si="2"/>
        <v>18.023599999999988</v>
      </c>
      <c r="F44" s="18">
        <f t="shared" si="0"/>
        <v>991.29799999999932</v>
      </c>
      <c r="G44" s="19">
        <v>0</v>
      </c>
      <c r="H44" s="20">
        <f t="shared" si="1"/>
        <v>-18.023599999999988</v>
      </c>
    </row>
    <row r="45" spans="1:8" ht="13" x14ac:dyDescent="0.15">
      <c r="A45" s="12">
        <v>45568</v>
      </c>
      <c r="B45" s="13" t="s">
        <v>5</v>
      </c>
      <c r="C45" s="14">
        <v>0.96970000000000001</v>
      </c>
      <c r="D45" s="16">
        <v>628</v>
      </c>
      <c r="E45" s="17">
        <f t="shared" ref="E45:E76" si="3">D45-(C45*D45)</f>
        <v>19.028400000000033</v>
      </c>
      <c r="F45" s="18">
        <f t="shared" si="0"/>
        <v>1046.5620000000017</v>
      </c>
      <c r="G45" s="19">
        <v>0</v>
      </c>
      <c r="H45" s="20">
        <f t="shared" si="1"/>
        <v>-19.028400000000033</v>
      </c>
    </row>
    <row r="46" spans="1:8" ht="13" x14ac:dyDescent="0.15">
      <c r="A46" s="12">
        <v>45569</v>
      </c>
      <c r="B46" s="13" t="s">
        <v>6</v>
      </c>
      <c r="C46" s="14">
        <v>0.91879999999999995</v>
      </c>
      <c r="D46" s="16">
        <v>628</v>
      </c>
      <c r="E46" s="17">
        <f t="shared" si="3"/>
        <v>50.993600000000015</v>
      </c>
      <c r="F46" s="18">
        <f t="shared" si="0"/>
        <v>2804.648000000001</v>
      </c>
      <c r="G46" s="19">
        <v>0</v>
      </c>
      <c r="H46" s="20">
        <f t="shared" si="1"/>
        <v>-50.993600000000015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3"/>
        <v>0</v>
      </c>
      <c r="F47" s="18">
        <f t="shared" si="0"/>
        <v>0</v>
      </c>
      <c r="G47" s="19">
        <v>0</v>
      </c>
      <c r="H47" s="20">
        <f t="shared" si="1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3"/>
        <v>0</v>
      </c>
      <c r="F48" s="18">
        <f t="shared" si="0"/>
        <v>0</v>
      </c>
      <c r="G48" s="19">
        <v>0</v>
      </c>
      <c r="H48" s="20">
        <f t="shared" si="1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3"/>
        <v>0</v>
      </c>
      <c r="F49" s="18">
        <f t="shared" si="0"/>
        <v>0</v>
      </c>
      <c r="G49" s="19">
        <v>0</v>
      </c>
      <c r="H49" s="20">
        <f t="shared" si="1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3"/>
        <v>0</v>
      </c>
      <c r="F50" s="18">
        <f t="shared" si="0"/>
        <v>0</v>
      </c>
      <c r="G50" s="19">
        <v>0</v>
      </c>
      <c r="H50" s="20">
        <f t="shared" si="1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3"/>
        <v>0</v>
      </c>
      <c r="F51" s="18">
        <f t="shared" si="0"/>
        <v>0</v>
      </c>
      <c r="G51" s="19">
        <v>0</v>
      </c>
      <c r="H51" s="20">
        <f t="shared" si="1"/>
        <v>0</v>
      </c>
    </row>
    <row r="52" spans="1:8" ht="13" x14ac:dyDescent="0.15">
      <c r="A52" s="12">
        <v>45579</v>
      </c>
      <c r="B52" s="13" t="s">
        <v>2</v>
      </c>
      <c r="C52" s="14">
        <v>0.92190000000000005</v>
      </c>
      <c r="D52" s="16">
        <v>625</v>
      </c>
      <c r="E52" s="17">
        <f t="shared" si="3"/>
        <v>48.8125</v>
      </c>
      <c r="F52" s="18">
        <f t="shared" si="0"/>
        <v>2684.6875</v>
      </c>
      <c r="G52" s="19">
        <v>0</v>
      </c>
      <c r="H52" s="20">
        <f t="shared" si="1"/>
        <v>-48.8125</v>
      </c>
    </row>
    <row r="53" spans="1:8" ht="13" x14ac:dyDescent="0.15">
      <c r="A53" s="12">
        <v>45580</v>
      </c>
      <c r="B53" s="13" t="s">
        <v>3</v>
      </c>
      <c r="C53" s="14">
        <v>0.9506</v>
      </c>
      <c r="D53" s="16">
        <v>626</v>
      </c>
      <c r="E53" s="17">
        <f t="shared" si="3"/>
        <v>30.924399999999991</v>
      </c>
      <c r="F53" s="18">
        <f t="shared" si="0"/>
        <v>1700.8419999999996</v>
      </c>
      <c r="G53" s="19">
        <v>0</v>
      </c>
      <c r="H53" s="20">
        <f t="shared" si="1"/>
        <v>-30.924399999999991</v>
      </c>
    </row>
    <row r="54" spans="1:8" ht="13" x14ac:dyDescent="0.15">
      <c r="A54" s="12">
        <v>45581</v>
      </c>
      <c r="B54" s="13" t="s">
        <v>4</v>
      </c>
      <c r="C54" s="29">
        <v>0.96009999999999995</v>
      </c>
      <c r="D54" s="16">
        <v>626</v>
      </c>
      <c r="E54" s="17">
        <f t="shared" si="3"/>
        <v>24.977399999999989</v>
      </c>
      <c r="F54" s="18">
        <f t="shared" si="0"/>
        <v>1373.7569999999994</v>
      </c>
      <c r="G54" s="19">
        <v>0</v>
      </c>
      <c r="H54" s="20">
        <f t="shared" si="1"/>
        <v>-24.977399999999989</v>
      </c>
    </row>
    <row r="55" spans="1:8" ht="13" x14ac:dyDescent="0.15">
      <c r="A55" s="12">
        <v>45582</v>
      </c>
      <c r="B55" s="13" t="s">
        <v>5</v>
      </c>
      <c r="C55" s="14">
        <v>0.9456</v>
      </c>
      <c r="D55" s="16">
        <v>625</v>
      </c>
      <c r="E55" s="17">
        <f t="shared" si="3"/>
        <v>34</v>
      </c>
      <c r="F55" s="18">
        <f t="shared" si="0"/>
        <v>1870</v>
      </c>
      <c r="G55" s="19">
        <v>0</v>
      </c>
      <c r="H55" s="20">
        <f t="shared" si="1"/>
        <v>-34</v>
      </c>
    </row>
    <row r="56" spans="1:8" ht="13" x14ac:dyDescent="0.15">
      <c r="A56" s="12">
        <v>45583</v>
      </c>
      <c r="B56" s="13" t="s">
        <v>6</v>
      </c>
      <c r="C56" s="14">
        <v>0.93959999999999999</v>
      </c>
      <c r="D56" s="16">
        <v>629</v>
      </c>
      <c r="E56" s="17">
        <f t="shared" si="3"/>
        <v>37.991600000000062</v>
      </c>
      <c r="F56" s="18">
        <f t="shared" si="0"/>
        <v>2089.5380000000032</v>
      </c>
      <c r="G56" s="19">
        <v>0</v>
      </c>
      <c r="H56" s="20">
        <f t="shared" si="1"/>
        <v>-37.991600000000062</v>
      </c>
    </row>
    <row r="57" spans="1:8" ht="13" x14ac:dyDescent="0.15">
      <c r="A57" s="12">
        <v>45586</v>
      </c>
      <c r="B57" s="13" t="s">
        <v>2</v>
      </c>
      <c r="C57" s="14">
        <v>0.9395</v>
      </c>
      <c r="D57" s="16">
        <v>628</v>
      </c>
      <c r="E57" s="17">
        <f t="shared" si="3"/>
        <v>37.994000000000028</v>
      </c>
      <c r="F57" s="18">
        <f t="shared" si="0"/>
        <v>2089.6700000000014</v>
      </c>
      <c r="G57" s="19">
        <v>0</v>
      </c>
      <c r="H57" s="20">
        <f t="shared" si="1"/>
        <v>-37.994000000000028</v>
      </c>
    </row>
    <row r="58" spans="1:8" ht="13" x14ac:dyDescent="0.15">
      <c r="A58" s="12">
        <v>45587</v>
      </c>
      <c r="B58" s="13" t="s">
        <v>3</v>
      </c>
      <c r="C58" s="14">
        <v>0.96499999999999997</v>
      </c>
      <c r="D58" s="16">
        <v>628</v>
      </c>
      <c r="E58" s="17">
        <f t="shared" si="3"/>
        <v>21.980000000000018</v>
      </c>
      <c r="F58" s="18">
        <f t="shared" si="0"/>
        <v>1208.900000000001</v>
      </c>
      <c r="G58" s="19">
        <v>0</v>
      </c>
      <c r="H58" s="20">
        <f t="shared" si="1"/>
        <v>-21.980000000000018</v>
      </c>
    </row>
    <row r="59" spans="1:8" ht="13" x14ac:dyDescent="0.15">
      <c r="A59" s="12">
        <v>45588</v>
      </c>
      <c r="B59" s="13" t="s">
        <v>4</v>
      </c>
      <c r="C59" s="14">
        <v>0.95540000000000003</v>
      </c>
      <c r="D59" s="16">
        <v>628</v>
      </c>
      <c r="E59" s="17">
        <f t="shared" si="3"/>
        <v>28.008799999999951</v>
      </c>
      <c r="F59" s="18">
        <f t="shared" si="0"/>
        <v>1540.4839999999972</v>
      </c>
      <c r="G59" s="19">
        <v>0</v>
      </c>
      <c r="H59" s="20">
        <f t="shared" si="1"/>
        <v>-28.008799999999951</v>
      </c>
    </row>
    <row r="60" spans="1:8" ht="13" x14ac:dyDescent="0.15">
      <c r="A60" s="12">
        <v>45589</v>
      </c>
      <c r="B60" s="13" t="s">
        <v>5</v>
      </c>
      <c r="C60" s="14">
        <v>0.96460000000000001</v>
      </c>
      <c r="D60" s="16">
        <v>622</v>
      </c>
      <c r="E60" s="17">
        <f t="shared" si="3"/>
        <v>22.018799999999942</v>
      </c>
      <c r="F60" s="18">
        <f t="shared" si="0"/>
        <v>1211.0339999999969</v>
      </c>
      <c r="G60" s="19">
        <v>0</v>
      </c>
      <c r="H60" s="20">
        <f t="shared" si="1"/>
        <v>-22.018799999999942</v>
      </c>
    </row>
    <row r="61" spans="1:8" ht="13" x14ac:dyDescent="0.15">
      <c r="A61" s="12">
        <v>45590</v>
      </c>
      <c r="B61" s="13" t="s">
        <v>6</v>
      </c>
      <c r="C61" s="14">
        <v>0.93889999999999996</v>
      </c>
      <c r="D61" s="16">
        <v>622</v>
      </c>
      <c r="E61" s="17">
        <f t="shared" si="3"/>
        <v>38.004200000000083</v>
      </c>
      <c r="F61" s="18">
        <f t="shared" si="0"/>
        <v>2090.2310000000043</v>
      </c>
      <c r="G61" s="19">
        <v>0</v>
      </c>
      <c r="H61" s="20">
        <f t="shared" si="1"/>
        <v>-38.004200000000083</v>
      </c>
    </row>
    <row r="62" spans="1:8" ht="13" x14ac:dyDescent="0.15">
      <c r="A62" s="12">
        <v>45593</v>
      </c>
      <c r="B62" s="13" t="s">
        <v>2</v>
      </c>
      <c r="C62" s="14">
        <v>0.93730000000000002</v>
      </c>
      <c r="D62" s="16">
        <v>621</v>
      </c>
      <c r="E62" s="17">
        <f t="shared" si="3"/>
        <v>38.936699999999973</v>
      </c>
      <c r="F62" s="18">
        <f t="shared" si="0"/>
        <v>2141.5184999999983</v>
      </c>
      <c r="G62" s="19">
        <v>0</v>
      </c>
      <c r="H62" s="20">
        <f t="shared" si="1"/>
        <v>-38.936699999999973</v>
      </c>
    </row>
    <row r="63" spans="1:8" ht="13" x14ac:dyDescent="0.15">
      <c r="A63" s="12">
        <v>45594</v>
      </c>
      <c r="B63" s="13" t="s">
        <v>3</v>
      </c>
      <c r="C63" s="14">
        <v>0.9758</v>
      </c>
      <c r="D63" s="16">
        <v>621</v>
      </c>
      <c r="E63" s="17">
        <f t="shared" si="3"/>
        <v>15.02819999999997</v>
      </c>
      <c r="F63" s="18">
        <f t="shared" si="0"/>
        <v>826.55099999999834</v>
      </c>
      <c r="G63" s="19">
        <v>0</v>
      </c>
      <c r="H63" s="20">
        <f t="shared" si="1"/>
        <v>-15.02819999999997</v>
      </c>
    </row>
    <row r="64" spans="1:8" ht="13" x14ac:dyDescent="0.15">
      <c r="A64" s="12">
        <v>45595</v>
      </c>
      <c r="B64" s="13" t="s">
        <v>4</v>
      </c>
      <c r="C64" s="14">
        <v>0.96299999999999997</v>
      </c>
      <c r="D64" s="16">
        <v>622</v>
      </c>
      <c r="E64" s="17">
        <f t="shared" si="3"/>
        <v>23.01400000000001</v>
      </c>
      <c r="F64" s="18">
        <f t="shared" si="0"/>
        <v>1265.7700000000004</v>
      </c>
      <c r="G64" s="19">
        <v>0</v>
      </c>
      <c r="H64" s="20">
        <f t="shared" si="1"/>
        <v>-23.01400000000001</v>
      </c>
    </row>
    <row r="65" spans="1:8" ht="13" x14ac:dyDescent="0.15">
      <c r="A65" s="12">
        <v>45596</v>
      </c>
      <c r="B65" s="13" t="s">
        <v>5</v>
      </c>
      <c r="C65" s="14">
        <v>0.96140000000000003</v>
      </c>
      <c r="D65" s="16">
        <v>622</v>
      </c>
      <c r="E65" s="17">
        <f t="shared" si="3"/>
        <v>24.009199999999964</v>
      </c>
      <c r="F65" s="18">
        <f t="shared" si="0"/>
        <v>1320.505999999998</v>
      </c>
      <c r="G65" s="19">
        <v>0</v>
      </c>
      <c r="H65" s="20">
        <f t="shared" si="1"/>
        <v>-24.009199999999964</v>
      </c>
    </row>
    <row r="66" spans="1:8" ht="13" x14ac:dyDescent="0.15">
      <c r="A66" s="12">
        <v>45597</v>
      </c>
      <c r="B66" s="13" t="s">
        <v>6</v>
      </c>
      <c r="C66" s="14">
        <v>0.91479999999999995</v>
      </c>
      <c r="D66" s="16">
        <v>622</v>
      </c>
      <c r="E66" s="17">
        <f t="shared" si="3"/>
        <v>52.994400000000041</v>
      </c>
      <c r="F66" s="18">
        <f t="shared" si="0"/>
        <v>2914.6920000000023</v>
      </c>
      <c r="G66" s="19">
        <v>0</v>
      </c>
      <c r="H66" s="20">
        <f t="shared" si="1"/>
        <v>-52.994400000000041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3"/>
        <v>0</v>
      </c>
      <c r="F67" s="18">
        <f t="shared" si="0"/>
        <v>0</v>
      </c>
      <c r="G67" s="19">
        <v>0</v>
      </c>
      <c r="H67" s="20">
        <f t="shared" si="1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3"/>
        <v>0</v>
      </c>
      <c r="F68" s="18">
        <f t="shared" si="0"/>
        <v>0</v>
      </c>
      <c r="G68" s="19">
        <v>0</v>
      </c>
      <c r="H68" s="20">
        <f t="shared" si="1"/>
        <v>0</v>
      </c>
    </row>
    <row r="69" spans="1:8" ht="13" x14ac:dyDescent="0.15">
      <c r="A69" s="12">
        <v>45602</v>
      </c>
      <c r="B69" s="13" t="s">
        <v>4</v>
      </c>
      <c r="C69" s="14">
        <v>0.94369999999999998</v>
      </c>
      <c r="D69" s="16">
        <v>622</v>
      </c>
      <c r="E69" s="17">
        <f t="shared" si="3"/>
        <v>35.018599999999992</v>
      </c>
      <c r="F69" s="18">
        <f t="shared" si="0"/>
        <v>1926.0229999999997</v>
      </c>
      <c r="G69" s="19">
        <v>0</v>
      </c>
      <c r="H69" s="20">
        <f t="shared" si="1"/>
        <v>-35.018599999999992</v>
      </c>
    </row>
    <row r="70" spans="1:8" ht="13" x14ac:dyDescent="0.15">
      <c r="A70" s="12">
        <v>45603</v>
      </c>
      <c r="B70" s="13" t="s">
        <v>5</v>
      </c>
      <c r="C70" s="14">
        <v>0.97270000000000001</v>
      </c>
      <c r="D70" s="16">
        <v>622</v>
      </c>
      <c r="E70" s="17">
        <f t="shared" si="3"/>
        <v>16.980599999999981</v>
      </c>
      <c r="F70" s="18">
        <f t="shared" si="0"/>
        <v>933.93299999999897</v>
      </c>
      <c r="G70" s="19">
        <v>0</v>
      </c>
      <c r="H70" s="20">
        <f t="shared" si="1"/>
        <v>-16.980599999999981</v>
      </c>
    </row>
    <row r="71" spans="1:8" ht="13" x14ac:dyDescent="0.15">
      <c r="A71" s="12">
        <v>45604</v>
      </c>
      <c r="B71" s="13" t="s">
        <v>6</v>
      </c>
      <c r="C71" s="14">
        <v>0.95509999999999995</v>
      </c>
      <c r="D71" s="16">
        <v>623</v>
      </c>
      <c r="E71" s="17">
        <f t="shared" si="3"/>
        <v>27.972700000000032</v>
      </c>
      <c r="F71" s="18">
        <f t="shared" si="0"/>
        <v>1538.4985000000017</v>
      </c>
      <c r="G71" s="19">
        <v>0</v>
      </c>
      <c r="H71" s="20">
        <f t="shared" si="1"/>
        <v>-27.972700000000032</v>
      </c>
    </row>
    <row r="72" spans="1:8" ht="13" x14ac:dyDescent="0.15">
      <c r="A72" s="12">
        <v>45607</v>
      </c>
      <c r="B72" s="13" t="s">
        <v>2</v>
      </c>
      <c r="C72" s="14">
        <v>0.93899999999999995</v>
      </c>
      <c r="D72" s="16">
        <v>622</v>
      </c>
      <c r="E72" s="17">
        <f t="shared" si="3"/>
        <v>37.942000000000007</v>
      </c>
      <c r="F72" s="18">
        <f t="shared" si="0"/>
        <v>2086.8100000000004</v>
      </c>
      <c r="G72" s="19">
        <v>0</v>
      </c>
      <c r="H72" s="20">
        <f t="shared" si="1"/>
        <v>-37.942000000000007</v>
      </c>
    </row>
    <row r="73" spans="1:8" ht="13" x14ac:dyDescent="0.15">
      <c r="A73" s="12">
        <v>45608</v>
      </c>
      <c r="B73" s="13" t="s">
        <v>3</v>
      </c>
      <c r="C73" s="14">
        <v>0.97270000000000001</v>
      </c>
      <c r="D73" s="16">
        <v>622</v>
      </c>
      <c r="E73" s="17">
        <f t="shared" si="3"/>
        <v>16.980599999999981</v>
      </c>
      <c r="F73" s="18">
        <f t="shared" si="0"/>
        <v>933.93299999999897</v>
      </c>
      <c r="G73" s="19">
        <v>0</v>
      </c>
      <c r="H73" s="20">
        <f t="shared" si="1"/>
        <v>-16.980599999999981</v>
      </c>
    </row>
    <row r="74" spans="1:8" ht="13" x14ac:dyDescent="0.15">
      <c r="A74" s="12">
        <v>45609</v>
      </c>
      <c r="B74" s="13" t="s">
        <v>4</v>
      </c>
      <c r="C74" s="14">
        <v>0.97260000000000002</v>
      </c>
      <c r="D74" s="16">
        <v>620</v>
      </c>
      <c r="E74" s="17">
        <f t="shared" si="3"/>
        <v>16.987999999999943</v>
      </c>
      <c r="F74" s="18">
        <f t="shared" si="0"/>
        <v>934.33999999999685</v>
      </c>
      <c r="G74" s="19">
        <v>0</v>
      </c>
      <c r="H74" s="20">
        <f t="shared" si="1"/>
        <v>-16.987999999999943</v>
      </c>
    </row>
    <row r="75" spans="1:8" ht="13" x14ac:dyDescent="0.15">
      <c r="A75" s="12">
        <v>45610</v>
      </c>
      <c r="B75" s="13" t="s">
        <v>5</v>
      </c>
      <c r="C75" s="14">
        <v>0.96299999999999997</v>
      </c>
      <c r="D75" s="16">
        <v>621</v>
      </c>
      <c r="E75" s="17">
        <f t="shared" si="3"/>
        <v>22.976999999999975</v>
      </c>
      <c r="F75" s="18">
        <f t="shared" si="0"/>
        <v>1263.7349999999988</v>
      </c>
      <c r="G75" s="19">
        <v>0</v>
      </c>
      <c r="H75" s="20">
        <f t="shared" si="1"/>
        <v>-22.976999999999975</v>
      </c>
    </row>
    <row r="76" spans="1:8" ht="13" x14ac:dyDescent="0.15">
      <c r="A76" s="12">
        <v>45611</v>
      </c>
      <c r="B76" s="13" t="s">
        <v>6</v>
      </c>
      <c r="C76" s="14">
        <v>0.92430000000000001</v>
      </c>
      <c r="D76" s="16">
        <v>621</v>
      </c>
      <c r="E76" s="17">
        <f t="shared" si="3"/>
        <v>47.009699999999953</v>
      </c>
      <c r="F76" s="18">
        <f t="shared" si="0"/>
        <v>2585.5334999999973</v>
      </c>
      <c r="G76" s="19">
        <v>0</v>
      </c>
      <c r="H76" s="20">
        <f t="shared" si="1"/>
        <v>-47.009699999999953</v>
      </c>
    </row>
    <row r="77" spans="1:8" ht="13" x14ac:dyDescent="0.15">
      <c r="A77" s="12">
        <v>45614</v>
      </c>
      <c r="B77" s="13" t="s">
        <v>2</v>
      </c>
      <c r="C77" s="14">
        <v>0.93400000000000005</v>
      </c>
      <c r="D77" s="16">
        <v>621</v>
      </c>
      <c r="E77" s="17">
        <f t="shared" ref="E77:E108" si="4">D77-(C77*D77)</f>
        <v>40.98599999999999</v>
      </c>
      <c r="F77" s="18">
        <f t="shared" si="0"/>
        <v>2254.2299999999996</v>
      </c>
      <c r="G77" s="19">
        <v>0</v>
      </c>
      <c r="H77" s="20">
        <f t="shared" si="1"/>
        <v>-40.98599999999999</v>
      </c>
    </row>
    <row r="78" spans="1:8" ht="13" x14ac:dyDescent="0.15">
      <c r="A78" s="12">
        <v>45615</v>
      </c>
      <c r="B78" s="13" t="s">
        <v>3</v>
      </c>
      <c r="C78" s="14">
        <v>0.93879999999999997</v>
      </c>
      <c r="D78" s="16">
        <v>621</v>
      </c>
      <c r="E78" s="17">
        <f t="shared" si="4"/>
        <v>38.005200000000059</v>
      </c>
      <c r="F78" s="18">
        <f t="shared" si="0"/>
        <v>2090.2860000000032</v>
      </c>
      <c r="G78" s="19">
        <v>0</v>
      </c>
      <c r="H78" s="20">
        <f t="shared" si="1"/>
        <v>-38.005200000000059</v>
      </c>
    </row>
    <row r="79" spans="1:8" ht="13" x14ac:dyDescent="0.15">
      <c r="A79" s="12">
        <v>45616</v>
      </c>
      <c r="B79" s="13" t="s">
        <v>4</v>
      </c>
      <c r="C79" s="14">
        <v>0.95830000000000004</v>
      </c>
      <c r="D79" s="16">
        <v>623</v>
      </c>
      <c r="E79" s="17">
        <f t="shared" si="4"/>
        <v>25.979100000000017</v>
      </c>
      <c r="F79" s="18">
        <f t="shared" si="0"/>
        <v>1428.8505000000009</v>
      </c>
      <c r="G79" s="19">
        <v>0</v>
      </c>
      <c r="H79" s="20">
        <f t="shared" si="1"/>
        <v>-25.979100000000017</v>
      </c>
    </row>
    <row r="80" spans="1:8" ht="13" x14ac:dyDescent="0.15">
      <c r="A80" s="12">
        <v>45617</v>
      </c>
      <c r="B80" s="13" t="s">
        <v>5</v>
      </c>
      <c r="C80" s="14">
        <v>0.95679999999999998</v>
      </c>
      <c r="D80" s="16">
        <v>625</v>
      </c>
      <c r="E80" s="17">
        <f t="shared" si="4"/>
        <v>27</v>
      </c>
      <c r="F80" s="18">
        <f t="shared" si="0"/>
        <v>1485</v>
      </c>
      <c r="G80" s="19">
        <v>0</v>
      </c>
      <c r="H80" s="20">
        <f t="shared" si="1"/>
        <v>-27</v>
      </c>
    </row>
    <row r="81" spans="1:8" ht="13" x14ac:dyDescent="0.15">
      <c r="A81" s="12">
        <v>45618</v>
      </c>
      <c r="B81" s="13" t="s">
        <v>6</v>
      </c>
      <c r="C81" s="14">
        <v>0.90880000000000005</v>
      </c>
      <c r="D81" s="16">
        <v>625</v>
      </c>
      <c r="E81" s="17">
        <f t="shared" si="4"/>
        <v>57</v>
      </c>
      <c r="F81" s="18">
        <f t="shared" si="0"/>
        <v>3135</v>
      </c>
      <c r="G81" s="19">
        <v>0</v>
      </c>
      <c r="H81" s="20">
        <f t="shared" si="1"/>
        <v>-57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4"/>
        <v>0</v>
      </c>
      <c r="F82" s="18">
        <f t="shared" si="0"/>
        <v>0</v>
      </c>
      <c r="G82" s="19">
        <v>0</v>
      </c>
      <c r="H82" s="20">
        <f t="shared" si="1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4"/>
        <v>0</v>
      </c>
      <c r="F83" s="18">
        <f t="shared" si="0"/>
        <v>0</v>
      </c>
      <c r="G83" s="19">
        <v>0</v>
      </c>
      <c r="H83" s="20">
        <f t="shared" si="1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4"/>
        <v>0</v>
      </c>
      <c r="F84" s="18">
        <f t="shared" si="0"/>
        <v>0</v>
      </c>
      <c r="G84" s="19">
        <v>0</v>
      </c>
      <c r="H84" s="20">
        <f t="shared" si="1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4"/>
        <v>0</v>
      </c>
      <c r="F85" s="18">
        <f t="shared" si="0"/>
        <v>0</v>
      </c>
      <c r="G85" s="19">
        <v>0</v>
      </c>
      <c r="H85" s="20">
        <f t="shared" si="1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4"/>
        <v>0</v>
      </c>
      <c r="F86" s="18">
        <f t="shared" si="0"/>
        <v>0</v>
      </c>
      <c r="G86" s="19">
        <v>0</v>
      </c>
      <c r="H86" s="20">
        <f t="shared" si="1"/>
        <v>0</v>
      </c>
    </row>
    <row r="87" spans="1:8" ht="13" x14ac:dyDescent="0.15">
      <c r="A87" s="12">
        <v>45628</v>
      </c>
      <c r="B87" s="13" t="s">
        <v>2</v>
      </c>
      <c r="C87" s="14">
        <v>0.94410000000000005</v>
      </c>
      <c r="D87" s="16">
        <v>626</v>
      </c>
      <c r="E87" s="17">
        <f t="shared" si="4"/>
        <v>34.993399999999951</v>
      </c>
      <c r="F87" s="18">
        <f t="shared" si="0"/>
        <v>1924.6369999999974</v>
      </c>
      <c r="G87" s="19">
        <v>0</v>
      </c>
      <c r="H87" s="20">
        <f t="shared" si="1"/>
        <v>-34.993399999999951</v>
      </c>
    </row>
    <row r="88" spans="1:8" ht="13" x14ac:dyDescent="0.15">
      <c r="A88" s="12">
        <v>45629</v>
      </c>
      <c r="B88" s="13" t="s">
        <v>3</v>
      </c>
      <c r="C88" s="14">
        <v>0.96330000000000005</v>
      </c>
      <c r="D88" s="16">
        <v>627</v>
      </c>
      <c r="E88" s="17">
        <f t="shared" si="4"/>
        <v>23.010899999999992</v>
      </c>
      <c r="F88" s="18">
        <f t="shared" si="0"/>
        <v>1265.5994999999996</v>
      </c>
      <c r="G88" s="19">
        <v>0</v>
      </c>
      <c r="H88" s="20">
        <f t="shared" si="1"/>
        <v>-23.010899999999992</v>
      </c>
    </row>
    <row r="89" spans="1:8" ht="13" x14ac:dyDescent="0.15">
      <c r="A89" s="12">
        <v>45630</v>
      </c>
      <c r="B89" s="13" t="s">
        <v>4</v>
      </c>
      <c r="C89" s="14">
        <v>0.96489999999999998</v>
      </c>
      <c r="D89" s="16">
        <v>624</v>
      </c>
      <c r="E89" s="17">
        <f t="shared" si="4"/>
        <v>21.902400000000057</v>
      </c>
      <c r="F89" s="18">
        <f t="shared" si="0"/>
        <v>1204.6320000000032</v>
      </c>
      <c r="G89" s="19">
        <v>0</v>
      </c>
      <c r="H89" s="20">
        <f t="shared" si="1"/>
        <v>-21.902400000000057</v>
      </c>
    </row>
    <row r="90" spans="1:8" ht="13" x14ac:dyDescent="0.15">
      <c r="A90" s="12">
        <v>45631</v>
      </c>
      <c r="B90" s="13" t="s">
        <v>5</v>
      </c>
      <c r="C90" s="14">
        <v>0.96960000000000002</v>
      </c>
      <c r="D90" s="16">
        <v>626</v>
      </c>
      <c r="E90" s="17">
        <f t="shared" si="4"/>
        <v>19.030399999999986</v>
      </c>
      <c r="F90" s="18">
        <f t="shared" si="0"/>
        <v>1046.6719999999991</v>
      </c>
      <c r="G90" s="19">
        <v>0</v>
      </c>
      <c r="H90" s="20">
        <f t="shared" si="1"/>
        <v>-19.030399999999986</v>
      </c>
    </row>
    <row r="91" spans="1:8" ht="13" x14ac:dyDescent="0.15">
      <c r="A91" s="12">
        <v>45632</v>
      </c>
      <c r="B91" s="13" t="s">
        <v>6</v>
      </c>
      <c r="C91" s="14">
        <v>0.93610000000000004</v>
      </c>
      <c r="D91" s="16">
        <v>626</v>
      </c>
      <c r="E91" s="17">
        <f t="shared" si="4"/>
        <v>40.00139999999999</v>
      </c>
      <c r="F91" s="18">
        <f t="shared" si="0"/>
        <v>2200.0769999999993</v>
      </c>
      <c r="G91" s="19">
        <v>0</v>
      </c>
      <c r="H91" s="20">
        <f t="shared" si="1"/>
        <v>-40.00139999999999</v>
      </c>
    </row>
    <row r="92" spans="1:8" ht="13" x14ac:dyDescent="0.15">
      <c r="A92" s="12">
        <v>45635</v>
      </c>
      <c r="B92" s="13" t="s">
        <v>2</v>
      </c>
      <c r="C92" s="14">
        <v>0.92810000000000004</v>
      </c>
      <c r="D92" s="16">
        <v>626</v>
      </c>
      <c r="E92" s="17">
        <f t="shared" si="4"/>
        <v>45.009400000000028</v>
      </c>
      <c r="F92" s="18">
        <f t="shared" si="0"/>
        <v>2475.5170000000016</v>
      </c>
      <c r="G92" s="19">
        <v>0</v>
      </c>
      <c r="H92" s="20">
        <f t="shared" si="1"/>
        <v>-45.009400000000028</v>
      </c>
    </row>
    <row r="93" spans="1:8" ht="13" x14ac:dyDescent="0.15">
      <c r="A93" s="12">
        <v>45636</v>
      </c>
      <c r="B93" s="13" t="s">
        <v>3</v>
      </c>
      <c r="C93" s="14">
        <v>0.95530000000000004</v>
      </c>
      <c r="D93" s="16">
        <v>627</v>
      </c>
      <c r="E93" s="17">
        <f t="shared" si="4"/>
        <v>28.026899999999955</v>
      </c>
      <c r="F93" s="18">
        <f t="shared" si="0"/>
        <v>1541.4794999999976</v>
      </c>
      <c r="G93" s="19">
        <v>0</v>
      </c>
      <c r="H93" s="20">
        <f t="shared" si="1"/>
        <v>-28.026899999999955</v>
      </c>
    </row>
    <row r="94" spans="1:8" ht="13" x14ac:dyDescent="0.15">
      <c r="A94" s="12">
        <v>45637</v>
      </c>
      <c r="B94" s="13" t="s">
        <v>4</v>
      </c>
      <c r="C94" s="14">
        <v>0.93620000000000003</v>
      </c>
      <c r="D94" s="16">
        <v>627</v>
      </c>
      <c r="E94" s="17">
        <f t="shared" si="4"/>
        <v>40.002600000000029</v>
      </c>
      <c r="F94" s="18">
        <f t="shared" si="0"/>
        <v>2200.1430000000018</v>
      </c>
      <c r="G94" s="19">
        <v>0</v>
      </c>
      <c r="H94" s="20">
        <f t="shared" si="1"/>
        <v>-40.002600000000029</v>
      </c>
    </row>
    <row r="95" spans="1:8" ht="13" x14ac:dyDescent="0.15">
      <c r="A95" s="12">
        <v>45638</v>
      </c>
      <c r="B95" s="13" t="s">
        <v>5</v>
      </c>
      <c r="C95" s="14">
        <v>0.97289999999999999</v>
      </c>
      <c r="D95" s="16">
        <v>627</v>
      </c>
      <c r="E95" s="17">
        <f t="shared" si="4"/>
        <v>16.991700000000037</v>
      </c>
      <c r="F95" s="18">
        <f t="shared" si="0"/>
        <v>934.54350000000204</v>
      </c>
      <c r="G95" s="19">
        <v>0</v>
      </c>
      <c r="H95" s="20">
        <f t="shared" si="1"/>
        <v>-16.991700000000037</v>
      </c>
    </row>
    <row r="96" spans="1:8" ht="13" x14ac:dyDescent="0.15">
      <c r="A96" s="12">
        <v>45639</v>
      </c>
      <c r="B96" s="13" t="s">
        <v>6</v>
      </c>
      <c r="C96" s="14">
        <v>0.94420000000000004</v>
      </c>
      <c r="D96" s="16">
        <v>627</v>
      </c>
      <c r="E96" s="17">
        <f t="shared" si="4"/>
        <v>34.986599999999953</v>
      </c>
      <c r="F96" s="18">
        <f t="shared" si="0"/>
        <v>1924.2629999999974</v>
      </c>
      <c r="G96" s="19">
        <v>0</v>
      </c>
      <c r="H96" s="20">
        <f t="shared" si="1"/>
        <v>-34.986599999999953</v>
      </c>
    </row>
    <row r="97" spans="1:8" ht="13" x14ac:dyDescent="0.15">
      <c r="A97" s="12">
        <v>45642</v>
      </c>
      <c r="B97" s="13" t="s">
        <v>2</v>
      </c>
      <c r="C97" s="14">
        <v>0.92820000000000003</v>
      </c>
      <c r="D97" s="16">
        <v>627</v>
      </c>
      <c r="E97" s="17">
        <f t="shared" si="4"/>
        <v>45.018599999999992</v>
      </c>
      <c r="F97" s="18">
        <f t="shared" si="0"/>
        <v>2476.0229999999997</v>
      </c>
      <c r="G97" s="19">
        <v>0</v>
      </c>
      <c r="H97" s="20">
        <f t="shared" si="1"/>
        <v>-45.018599999999992</v>
      </c>
    </row>
    <row r="98" spans="1:8" ht="13" x14ac:dyDescent="0.15">
      <c r="A98" s="12">
        <v>45643</v>
      </c>
      <c r="B98" s="13" t="s">
        <v>3</v>
      </c>
      <c r="C98" s="14">
        <v>0.98560000000000003</v>
      </c>
      <c r="D98" s="16">
        <v>626</v>
      </c>
      <c r="E98" s="17">
        <f t="shared" si="4"/>
        <v>9.0144000000000233</v>
      </c>
      <c r="F98" s="18">
        <f t="shared" si="0"/>
        <v>495.79200000000128</v>
      </c>
      <c r="G98" s="19">
        <v>0</v>
      </c>
      <c r="H98" s="20">
        <f t="shared" si="1"/>
        <v>-9.0144000000000233</v>
      </c>
    </row>
    <row r="99" spans="1:8" ht="13" x14ac:dyDescent="0.15">
      <c r="A99" s="12">
        <v>45644</v>
      </c>
      <c r="B99" s="13" t="s">
        <v>4</v>
      </c>
      <c r="C99" s="14">
        <v>0.96330000000000005</v>
      </c>
      <c r="D99" s="16">
        <v>626</v>
      </c>
      <c r="E99" s="17">
        <f t="shared" si="4"/>
        <v>22.974199999999996</v>
      </c>
      <c r="F99" s="18">
        <f t="shared" si="0"/>
        <v>1263.5809999999997</v>
      </c>
      <c r="G99" s="19">
        <v>0</v>
      </c>
      <c r="H99" s="20">
        <f t="shared" si="1"/>
        <v>-22.974199999999996</v>
      </c>
    </row>
    <row r="100" spans="1:8" ht="13" x14ac:dyDescent="0.15">
      <c r="A100" s="12">
        <v>45645</v>
      </c>
      <c r="B100" s="13" t="s">
        <v>5</v>
      </c>
      <c r="C100" s="14">
        <v>0.93140000000000001</v>
      </c>
      <c r="D100" s="16">
        <v>627</v>
      </c>
      <c r="E100" s="17">
        <f t="shared" si="4"/>
        <v>43.012200000000007</v>
      </c>
      <c r="F100" s="18">
        <f t="shared" si="0"/>
        <v>2365.6710000000003</v>
      </c>
      <c r="G100" s="19">
        <v>0</v>
      </c>
      <c r="H100" s="20">
        <f t="shared" si="1"/>
        <v>-43.012200000000007</v>
      </c>
    </row>
    <row r="101" spans="1:8" ht="13" x14ac:dyDescent="0.15">
      <c r="A101" s="12">
        <v>45646</v>
      </c>
      <c r="B101" s="13" t="s">
        <v>6</v>
      </c>
      <c r="C101" s="14">
        <v>0.9536</v>
      </c>
      <c r="D101" s="16">
        <v>625</v>
      </c>
      <c r="E101" s="17">
        <f t="shared" si="4"/>
        <v>29</v>
      </c>
      <c r="F101" s="18">
        <f t="shared" si="0"/>
        <v>1595</v>
      </c>
      <c r="G101" s="19">
        <v>0</v>
      </c>
      <c r="H101" s="20">
        <f t="shared" si="1"/>
        <v>-29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4"/>
        <v>0</v>
      </c>
      <c r="F102" s="18">
        <f t="shared" si="0"/>
        <v>0</v>
      </c>
      <c r="G102" s="19">
        <v>0</v>
      </c>
      <c r="H102" s="20">
        <f t="shared" si="1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si="4"/>
        <v>0</v>
      </c>
      <c r="F103" s="18">
        <f t="shared" si="0"/>
        <v>0</v>
      </c>
      <c r="G103" s="19">
        <v>0</v>
      </c>
      <c r="H103" s="20">
        <f t="shared" si="1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4"/>
        <v>0</v>
      </c>
      <c r="F104" s="18">
        <f t="shared" si="0"/>
        <v>0</v>
      </c>
      <c r="G104" s="19">
        <v>0</v>
      </c>
      <c r="H104" s="20">
        <f t="shared" si="1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4"/>
        <v>0</v>
      </c>
      <c r="F105" s="18">
        <f t="shared" si="0"/>
        <v>0</v>
      </c>
      <c r="G105" s="19">
        <v>0</v>
      </c>
      <c r="H105" s="20">
        <f t="shared" si="1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4"/>
        <v>0</v>
      </c>
      <c r="F106" s="18">
        <f t="shared" si="0"/>
        <v>0</v>
      </c>
      <c r="G106" s="19">
        <v>0</v>
      </c>
      <c r="H106" s="20">
        <f t="shared" si="1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4"/>
        <v>0</v>
      </c>
      <c r="F107" s="18">
        <f t="shared" si="0"/>
        <v>0</v>
      </c>
      <c r="G107" s="19">
        <v>0</v>
      </c>
      <c r="H107" s="20">
        <f t="shared" si="1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4"/>
        <v>0</v>
      </c>
      <c r="F108" s="18">
        <f t="shared" si="0"/>
        <v>0</v>
      </c>
      <c r="G108" s="19">
        <v>0</v>
      </c>
      <c r="H108" s="20">
        <f t="shared" si="1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ref="E109:E140" si="5">D109-(C109*D109)</f>
        <v>0</v>
      </c>
      <c r="F109" s="18">
        <f t="shared" si="0"/>
        <v>0</v>
      </c>
      <c r="G109" s="19">
        <v>0</v>
      </c>
      <c r="H109" s="20">
        <f t="shared" si="1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5"/>
        <v>0</v>
      </c>
      <c r="F110" s="18">
        <f t="shared" si="0"/>
        <v>0</v>
      </c>
      <c r="G110" s="19">
        <v>0</v>
      </c>
      <c r="H110" s="20">
        <f t="shared" si="1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5"/>
        <v>0</v>
      </c>
      <c r="F111" s="18">
        <f t="shared" si="0"/>
        <v>0</v>
      </c>
      <c r="G111" s="19">
        <v>0</v>
      </c>
      <c r="H111" s="20">
        <f t="shared" si="1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5"/>
        <v>0</v>
      </c>
      <c r="F112" s="18">
        <f t="shared" si="0"/>
        <v>0</v>
      </c>
      <c r="G112" s="19">
        <v>0</v>
      </c>
      <c r="H112" s="20">
        <f t="shared" si="1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5"/>
        <v>0</v>
      </c>
      <c r="F113" s="18">
        <f t="shared" si="0"/>
        <v>0</v>
      </c>
      <c r="G113" s="19">
        <v>0</v>
      </c>
      <c r="H113" s="20">
        <f t="shared" si="1"/>
        <v>0</v>
      </c>
    </row>
    <row r="114" spans="1:8" ht="13" x14ac:dyDescent="0.15">
      <c r="A114" s="12">
        <v>45665</v>
      </c>
      <c r="B114" s="13" t="s">
        <v>4</v>
      </c>
      <c r="C114" s="14">
        <v>0.91510000000000002</v>
      </c>
      <c r="D114" s="16">
        <v>624</v>
      </c>
      <c r="E114" s="17">
        <f t="shared" si="5"/>
        <v>52.977599999999939</v>
      </c>
      <c r="F114" s="18">
        <f t="shared" si="0"/>
        <v>2913.7679999999964</v>
      </c>
      <c r="G114" s="19">
        <v>0</v>
      </c>
      <c r="H114" s="20">
        <f t="shared" si="1"/>
        <v>-52.977599999999939</v>
      </c>
    </row>
    <row r="115" spans="1:8" ht="13" x14ac:dyDescent="0.15">
      <c r="A115" s="12">
        <v>45666</v>
      </c>
      <c r="B115" s="13" t="s">
        <v>5</v>
      </c>
      <c r="C115" s="14">
        <v>0.92310000000000003</v>
      </c>
      <c r="D115" s="16">
        <v>624</v>
      </c>
      <c r="E115" s="17">
        <f t="shared" si="5"/>
        <v>47.985599999999977</v>
      </c>
      <c r="F115" s="18">
        <f t="shared" si="0"/>
        <v>2639.2079999999987</v>
      </c>
      <c r="G115" s="19">
        <v>0</v>
      </c>
      <c r="H115" s="20">
        <f t="shared" si="1"/>
        <v>-47.985599999999977</v>
      </c>
    </row>
    <row r="116" spans="1:8" ht="13" x14ac:dyDescent="0.15">
      <c r="A116" s="12">
        <v>45667</v>
      </c>
      <c r="B116" s="13" t="s">
        <v>6</v>
      </c>
      <c r="C116" s="14">
        <v>0.90059999999999996</v>
      </c>
      <c r="D116" s="16">
        <v>624</v>
      </c>
      <c r="E116" s="17">
        <f t="shared" si="5"/>
        <v>62.025600000000054</v>
      </c>
      <c r="F116" s="18">
        <f t="shared" si="0"/>
        <v>3411.4080000000031</v>
      </c>
      <c r="G116" s="19">
        <v>0</v>
      </c>
      <c r="H116" s="20">
        <f t="shared" si="1"/>
        <v>-62.025600000000054</v>
      </c>
    </row>
    <row r="117" spans="1:8" ht="13" x14ac:dyDescent="0.15">
      <c r="A117" s="12">
        <v>45670</v>
      </c>
      <c r="B117" s="13" t="s">
        <v>2</v>
      </c>
      <c r="C117" s="14">
        <v>0.94099999999999995</v>
      </c>
      <c r="D117" s="16">
        <v>626</v>
      </c>
      <c r="E117" s="17">
        <f t="shared" si="5"/>
        <v>36.934000000000083</v>
      </c>
      <c r="F117" s="18">
        <f t="shared" si="0"/>
        <v>2031.3700000000044</v>
      </c>
      <c r="G117" s="19">
        <v>0</v>
      </c>
      <c r="H117" s="20">
        <f t="shared" si="1"/>
        <v>-36.934000000000083</v>
      </c>
    </row>
    <row r="118" spans="1:8" ht="13" x14ac:dyDescent="0.15">
      <c r="A118" s="12">
        <v>45671</v>
      </c>
      <c r="B118" s="13" t="s">
        <v>3</v>
      </c>
      <c r="C118" s="14">
        <v>0.96650000000000003</v>
      </c>
      <c r="D118" s="16">
        <v>626</v>
      </c>
      <c r="E118" s="17">
        <f t="shared" si="5"/>
        <v>20.971000000000004</v>
      </c>
      <c r="F118" s="18">
        <f t="shared" si="0"/>
        <v>1153.4050000000002</v>
      </c>
      <c r="G118" s="19">
        <v>0</v>
      </c>
      <c r="H118" s="20">
        <f t="shared" si="1"/>
        <v>-20.971000000000004</v>
      </c>
    </row>
    <row r="119" spans="1:8" ht="13" x14ac:dyDescent="0.15">
      <c r="A119" s="12">
        <v>45672</v>
      </c>
      <c r="B119" s="13" t="s">
        <v>4</v>
      </c>
      <c r="C119" s="14">
        <v>0.96009999999999995</v>
      </c>
      <c r="D119" s="16">
        <v>626</v>
      </c>
      <c r="E119" s="17">
        <f t="shared" si="5"/>
        <v>24.977399999999989</v>
      </c>
      <c r="F119" s="18">
        <f t="shared" si="0"/>
        <v>1373.7569999999994</v>
      </c>
      <c r="G119" s="19">
        <v>0</v>
      </c>
      <c r="H119" s="20">
        <f t="shared" si="1"/>
        <v>-24.977399999999989</v>
      </c>
    </row>
    <row r="120" spans="1:8" ht="13" x14ac:dyDescent="0.15">
      <c r="A120" s="12">
        <v>45673</v>
      </c>
      <c r="B120" s="13" t="s">
        <v>5</v>
      </c>
      <c r="C120" s="14">
        <v>0.95509999999999995</v>
      </c>
      <c r="D120" s="16">
        <v>622</v>
      </c>
      <c r="E120" s="17">
        <f t="shared" si="5"/>
        <v>27.927800000000047</v>
      </c>
      <c r="F120" s="18">
        <f t="shared" si="0"/>
        <v>1536.0290000000027</v>
      </c>
      <c r="G120" s="19">
        <v>0</v>
      </c>
      <c r="H120" s="20">
        <f t="shared" si="1"/>
        <v>-27.927800000000047</v>
      </c>
    </row>
    <row r="121" spans="1:8" ht="13" x14ac:dyDescent="0.15">
      <c r="A121" s="12">
        <v>45674</v>
      </c>
      <c r="B121" s="13" t="s">
        <v>6</v>
      </c>
      <c r="C121" s="14">
        <v>0.92630000000000001</v>
      </c>
      <c r="D121" s="16">
        <v>622</v>
      </c>
      <c r="E121" s="17">
        <f t="shared" si="5"/>
        <v>45.841400000000021</v>
      </c>
      <c r="F121" s="18">
        <f t="shared" si="0"/>
        <v>2521.277000000001</v>
      </c>
      <c r="G121" s="19">
        <v>0</v>
      </c>
      <c r="H121" s="20">
        <f t="shared" si="1"/>
        <v>-45.841400000000021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5"/>
        <v>0</v>
      </c>
      <c r="F122" s="18">
        <f t="shared" si="0"/>
        <v>0</v>
      </c>
      <c r="G122" s="19">
        <v>0</v>
      </c>
      <c r="H122" s="20">
        <f t="shared" si="1"/>
        <v>0</v>
      </c>
    </row>
    <row r="123" spans="1:8" ht="13" x14ac:dyDescent="0.15">
      <c r="A123" s="12">
        <v>45678</v>
      </c>
      <c r="B123" s="13" t="s">
        <v>3</v>
      </c>
      <c r="C123" s="14"/>
      <c r="D123" s="16">
        <v>622</v>
      </c>
      <c r="E123" s="17">
        <f t="shared" si="5"/>
        <v>622</v>
      </c>
      <c r="F123" s="18">
        <f t="shared" si="0"/>
        <v>34210</v>
      </c>
      <c r="G123" s="19">
        <v>0</v>
      </c>
      <c r="H123" s="20">
        <f t="shared" si="1"/>
        <v>-622</v>
      </c>
    </row>
    <row r="124" spans="1:8" ht="13" x14ac:dyDescent="0.15">
      <c r="A124" s="12">
        <v>45679</v>
      </c>
      <c r="B124" s="13" t="s">
        <v>4</v>
      </c>
      <c r="C124" s="14"/>
      <c r="D124" s="16">
        <v>622</v>
      </c>
      <c r="E124" s="17">
        <f t="shared" si="5"/>
        <v>622</v>
      </c>
      <c r="F124" s="18">
        <f t="shared" si="0"/>
        <v>34210</v>
      </c>
      <c r="G124" s="19">
        <v>0</v>
      </c>
      <c r="H124" s="20">
        <f t="shared" si="1"/>
        <v>-622</v>
      </c>
    </row>
    <row r="125" spans="1:8" ht="13" x14ac:dyDescent="0.15">
      <c r="A125" s="12">
        <v>45680</v>
      </c>
      <c r="B125" s="13" t="s">
        <v>5</v>
      </c>
      <c r="C125" s="14">
        <v>0.82210000000000005</v>
      </c>
      <c r="D125" s="16">
        <v>622</v>
      </c>
      <c r="E125" s="17">
        <f t="shared" si="5"/>
        <v>110.65379999999999</v>
      </c>
      <c r="F125" s="18">
        <f t="shared" si="0"/>
        <v>6085.9589999999998</v>
      </c>
      <c r="G125" s="19">
        <v>0</v>
      </c>
      <c r="H125" s="20" t="s">
        <v>23</v>
      </c>
    </row>
    <row r="126" spans="1:8" ht="13" x14ac:dyDescent="0.15">
      <c r="A126" s="12">
        <v>45681</v>
      </c>
      <c r="B126" s="13" t="s">
        <v>6</v>
      </c>
      <c r="C126" s="14">
        <v>0.91990000000000005</v>
      </c>
      <c r="D126" s="16">
        <v>622</v>
      </c>
      <c r="E126" s="17">
        <f t="shared" si="5"/>
        <v>49.822199999999953</v>
      </c>
      <c r="F126" s="18">
        <f t="shared" si="0"/>
        <v>2740.2209999999973</v>
      </c>
      <c r="G126" s="19">
        <v>0</v>
      </c>
      <c r="H126" s="20">
        <f t="shared" ref="H126:H181" si="6">G126-E126</f>
        <v>-49.822199999999953</v>
      </c>
    </row>
    <row r="127" spans="1:8" ht="13" x14ac:dyDescent="0.15">
      <c r="A127" s="12">
        <v>45684</v>
      </c>
      <c r="B127" s="13" t="s">
        <v>2</v>
      </c>
      <c r="C127" s="14">
        <v>0.92930000000000001</v>
      </c>
      <c r="D127" s="16">
        <v>620</v>
      </c>
      <c r="E127" s="17">
        <f t="shared" si="5"/>
        <v>43.833999999999946</v>
      </c>
      <c r="F127" s="18">
        <f t="shared" si="0"/>
        <v>2410.8699999999972</v>
      </c>
      <c r="G127" s="19">
        <v>0</v>
      </c>
      <c r="H127" s="20">
        <f t="shared" si="6"/>
        <v>-43.833999999999946</v>
      </c>
    </row>
    <row r="128" spans="1:8" ht="13" x14ac:dyDescent="0.15">
      <c r="A128" s="12">
        <v>45685</v>
      </c>
      <c r="B128" s="13" t="s">
        <v>3</v>
      </c>
      <c r="C128" s="14">
        <v>0.96299999999999997</v>
      </c>
      <c r="D128" s="16">
        <v>620</v>
      </c>
      <c r="E128" s="17">
        <f t="shared" si="5"/>
        <v>22.940000000000055</v>
      </c>
      <c r="F128" s="18">
        <f t="shared" si="0"/>
        <v>1261.700000000003</v>
      </c>
      <c r="G128" s="19">
        <v>0</v>
      </c>
      <c r="H128" s="20">
        <f t="shared" si="6"/>
        <v>-22.940000000000055</v>
      </c>
    </row>
    <row r="129" spans="1:8" ht="13" x14ac:dyDescent="0.15">
      <c r="A129" s="12">
        <v>45686</v>
      </c>
      <c r="B129" s="13" t="s">
        <v>4</v>
      </c>
      <c r="C129" s="14">
        <v>0.95179999999999998</v>
      </c>
      <c r="D129" s="16">
        <v>620</v>
      </c>
      <c r="E129" s="17">
        <f t="shared" si="5"/>
        <v>29.884000000000015</v>
      </c>
      <c r="F129" s="18">
        <f t="shared" si="0"/>
        <v>1643.6200000000008</v>
      </c>
      <c r="G129" s="19">
        <v>0</v>
      </c>
      <c r="H129" s="20">
        <f t="shared" si="6"/>
        <v>-29.884000000000015</v>
      </c>
    </row>
    <row r="130" spans="1:8" ht="13" x14ac:dyDescent="0.15">
      <c r="A130" s="12">
        <v>45687</v>
      </c>
      <c r="B130" s="13" t="s">
        <v>5</v>
      </c>
      <c r="C130" s="14">
        <v>0.95499999999999996</v>
      </c>
      <c r="D130" s="16">
        <v>620</v>
      </c>
      <c r="E130" s="17">
        <f t="shared" si="5"/>
        <v>27.899999999999977</v>
      </c>
      <c r="F130" s="18">
        <f t="shared" si="0"/>
        <v>1534.4999999999986</v>
      </c>
      <c r="G130" s="19">
        <v>0</v>
      </c>
      <c r="H130" s="20">
        <f t="shared" si="6"/>
        <v>-27.899999999999977</v>
      </c>
    </row>
    <row r="131" spans="1:8" ht="13" x14ac:dyDescent="0.15">
      <c r="A131" s="12">
        <v>45688</v>
      </c>
      <c r="B131" s="13" t="s">
        <v>6</v>
      </c>
      <c r="C131" s="14">
        <v>0.92769999999999997</v>
      </c>
      <c r="D131" s="16">
        <v>619</v>
      </c>
      <c r="E131" s="17">
        <f t="shared" si="5"/>
        <v>44.753699999999981</v>
      </c>
      <c r="F131" s="18">
        <f t="shared" si="0"/>
        <v>2461.4534999999987</v>
      </c>
      <c r="G131" s="19">
        <v>0</v>
      </c>
      <c r="H131" s="20">
        <f t="shared" si="6"/>
        <v>-44.753699999999981</v>
      </c>
    </row>
    <row r="132" spans="1:8" ht="13" x14ac:dyDescent="0.15">
      <c r="A132" s="12">
        <v>45691</v>
      </c>
      <c r="B132" s="13" t="s">
        <v>2</v>
      </c>
      <c r="C132" s="14">
        <v>0.81610000000000005</v>
      </c>
      <c r="D132" s="16">
        <v>618</v>
      </c>
      <c r="E132" s="17">
        <f t="shared" si="5"/>
        <v>113.65019999999998</v>
      </c>
      <c r="F132" s="18">
        <f t="shared" si="0"/>
        <v>6250.7609999999995</v>
      </c>
      <c r="G132" s="19">
        <v>0</v>
      </c>
      <c r="H132" s="20">
        <f t="shared" si="6"/>
        <v>-113.65019999999998</v>
      </c>
    </row>
    <row r="133" spans="1:8" ht="13" x14ac:dyDescent="0.15">
      <c r="A133" s="12">
        <v>45692</v>
      </c>
      <c r="B133" s="13" t="s">
        <v>3</v>
      </c>
      <c r="C133" s="14">
        <v>0.93720000000000003</v>
      </c>
      <c r="D133" s="16">
        <v>619</v>
      </c>
      <c r="E133" s="17">
        <f t="shared" si="5"/>
        <v>38.873199999999997</v>
      </c>
      <c r="F133" s="18">
        <f t="shared" si="0"/>
        <v>2138.0259999999998</v>
      </c>
      <c r="G133" s="19">
        <v>0</v>
      </c>
      <c r="H133" s="20">
        <f t="shared" si="6"/>
        <v>-38.873199999999997</v>
      </c>
    </row>
    <row r="134" spans="1:8" ht="13" x14ac:dyDescent="0.15">
      <c r="A134" s="12">
        <v>45693</v>
      </c>
      <c r="B134" s="13" t="s">
        <v>4</v>
      </c>
      <c r="C134" s="14">
        <v>0.95640000000000003</v>
      </c>
      <c r="D134" s="16">
        <v>619</v>
      </c>
      <c r="E134" s="17">
        <f t="shared" si="5"/>
        <v>26.988399999999956</v>
      </c>
      <c r="F134" s="18">
        <f t="shared" si="0"/>
        <v>1484.3619999999976</v>
      </c>
      <c r="G134" s="19">
        <v>0</v>
      </c>
      <c r="H134" s="20">
        <f t="shared" si="6"/>
        <v>-26.988399999999956</v>
      </c>
    </row>
    <row r="135" spans="1:8" ht="13" x14ac:dyDescent="0.15">
      <c r="A135" s="12">
        <v>45694</v>
      </c>
      <c r="B135" s="13" t="s">
        <v>5</v>
      </c>
      <c r="C135" s="14">
        <v>0.96289999999999998</v>
      </c>
      <c r="D135" s="16">
        <v>620</v>
      </c>
      <c r="E135" s="17">
        <f t="shared" si="5"/>
        <v>23.002000000000066</v>
      </c>
      <c r="F135" s="18">
        <f t="shared" si="0"/>
        <v>1265.1100000000038</v>
      </c>
      <c r="G135" s="19">
        <v>0</v>
      </c>
      <c r="H135" s="20">
        <f t="shared" si="6"/>
        <v>-23.002000000000066</v>
      </c>
    </row>
    <row r="136" spans="1:8" ht="13" x14ac:dyDescent="0.15">
      <c r="A136" s="12">
        <v>45695</v>
      </c>
      <c r="B136" s="13" t="s">
        <v>6</v>
      </c>
      <c r="C136" s="14">
        <v>0.93059999999999998</v>
      </c>
      <c r="D136" s="16">
        <v>620</v>
      </c>
      <c r="E136" s="17">
        <f t="shared" si="5"/>
        <v>43.02800000000002</v>
      </c>
      <c r="F136" s="18">
        <f t="shared" si="0"/>
        <v>2366.5400000000009</v>
      </c>
      <c r="G136" s="19">
        <v>0</v>
      </c>
      <c r="H136" s="20">
        <f t="shared" si="6"/>
        <v>-43.02800000000002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5"/>
        <v>0</v>
      </c>
      <c r="F137" s="18">
        <f t="shared" si="0"/>
        <v>0</v>
      </c>
      <c r="G137" s="19">
        <v>0</v>
      </c>
      <c r="H137" s="20">
        <f t="shared" si="6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5"/>
        <v>0</v>
      </c>
      <c r="F138" s="18">
        <f t="shared" si="0"/>
        <v>0</v>
      </c>
      <c r="G138" s="19">
        <v>0</v>
      </c>
      <c r="H138" s="20">
        <f t="shared" si="6"/>
        <v>0</v>
      </c>
    </row>
    <row r="139" spans="1:8" ht="13" x14ac:dyDescent="0.15">
      <c r="A139" s="12">
        <v>45700</v>
      </c>
      <c r="B139" s="13" t="s">
        <v>4</v>
      </c>
      <c r="C139" s="14">
        <v>0.94030000000000002</v>
      </c>
      <c r="D139" s="16">
        <v>620</v>
      </c>
      <c r="E139" s="17">
        <f t="shared" si="5"/>
        <v>37.01400000000001</v>
      </c>
      <c r="F139" s="18">
        <f t="shared" si="0"/>
        <v>2035.7700000000004</v>
      </c>
      <c r="G139" s="19">
        <v>0</v>
      </c>
      <c r="H139" s="20">
        <f t="shared" si="6"/>
        <v>-37.01400000000001</v>
      </c>
    </row>
    <row r="140" spans="1:8" ht="13" x14ac:dyDescent="0.15">
      <c r="A140" s="12">
        <v>45701</v>
      </c>
      <c r="B140" s="13" t="s">
        <v>5</v>
      </c>
      <c r="C140" s="14">
        <v>0.94350000000000001</v>
      </c>
      <c r="D140" s="16">
        <v>620</v>
      </c>
      <c r="E140" s="17">
        <f t="shared" si="5"/>
        <v>35.029999999999973</v>
      </c>
      <c r="F140" s="18">
        <f t="shared" si="0"/>
        <v>1926.6499999999985</v>
      </c>
      <c r="G140" s="19">
        <v>0</v>
      </c>
      <c r="H140" s="20">
        <f t="shared" si="6"/>
        <v>-35.029999999999973</v>
      </c>
    </row>
    <row r="141" spans="1:8" ht="13" x14ac:dyDescent="0.15">
      <c r="A141" s="12">
        <v>45702</v>
      </c>
      <c r="B141" s="13" t="s">
        <v>6</v>
      </c>
      <c r="C141" s="14">
        <v>0.94669999999999999</v>
      </c>
      <c r="D141" s="16">
        <v>619</v>
      </c>
      <c r="E141" s="17">
        <f t="shared" ref="E141:E181" si="7">D141-(C141*D141)</f>
        <v>32.992700000000013</v>
      </c>
      <c r="F141" s="18">
        <f t="shared" si="0"/>
        <v>1814.5985000000007</v>
      </c>
      <c r="G141" s="19">
        <v>0</v>
      </c>
      <c r="H141" s="20">
        <f t="shared" si="6"/>
        <v>-32.992700000000013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0"/>
        <v>0</v>
      </c>
      <c r="G142" s="19">
        <v>0</v>
      </c>
      <c r="H142" s="20">
        <f t="shared" si="6"/>
        <v>0</v>
      </c>
    </row>
    <row r="143" spans="1:8" ht="13" x14ac:dyDescent="0.15">
      <c r="A143" s="12">
        <v>45706</v>
      </c>
      <c r="B143" s="13" t="s">
        <v>3</v>
      </c>
      <c r="C143" s="14">
        <v>0.94179999999999997</v>
      </c>
      <c r="D143" s="16">
        <v>619</v>
      </c>
      <c r="E143" s="17">
        <f t="shared" si="7"/>
        <v>36.025800000000004</v>
      </c>
      <c r="F143" s="18">
        <f t="shared" si="0"/>
        <v>1981.4190000000003</v>
      </c>
      <c r="G143" s="19">
        <v>0</v>
      </c>
      <c r="H143" s="20">
        <f t="shared" si="6"/>
        <v>-36.025800000000004</v>
      </c>
    </row>
    <row r="144" spans="1:8" ht="13" x14ac:dyDescent="0.15">
      <c r="A144" s="12">
        <v>45707</v>
      </c>
      <c r="B144" s="13" t="s">
        <v>4</v>
      </c>
      <c r="C144" s="14">
        <v>0.94020000000000004</v>
      </c>
      <c r="D144" s="16">
        <v>619</v>
      </c>
      <c r="E144" s="17">
        <f t="shared" si="7"/>
        <v>37.016200000000026</v>
      </c>
      <c r="F144" s="18">
        <f t="shared" si="0"/>
        <v>2035.8910000000014</v>
      </c>
      <c r="G144" s="19">
        <v>0</v>
      </c>
      <c r="H144" s="20">
        <f t="shared" si="6"/>
        <v>-37.016200000000026</v>
      </c>
    </row>
    <row r="145" spans="1:8" ht="13" x14ac:dyDescent="0.15">
      <c r="A145" s="12">
        <v>45708</v>
      </c>
      <c r="B145" s="13" t="s">
        <v>5</v>
      </c>
      <c r="C145" s="14">
        <v>0.94350000000000001</v>
      </c>
      <c r="D145" s="16">
        <v>619</v>
      </c>
      <c r="E145" s="17">
        <f t="shared" si="7"/>
        <v>34.973499999999945</v>
      </c>
      <c r="F145" s="18">
        <f t="shared" si="0"/>
        <v>1923.5424999999968</v>
      </c>
      <c r="G145" s="19">
        <v>0</v>
      </c>
      <c r="H145" s="20">
        <f t="shared" si="6"/>
        <v>-34.973499999999945</v>
      </c>
    </row>
    <row r="146" spans="1:8" ht="13" x14ac:dyDescent="0.15">
      <c r="A146" s="12">
        <v>45709</v>
      </c>
      <c r="B146" s="13" t="s">
        <v>6</v>
      </c>
      <c r="C146" s="14">
        <v>0.92049999999999998</v>
      </c>
      <c r="D146" s="16">
        <v>616</v>
      </c>
      <c r="E146" s="17">
        <f t="shared" si="7"/>
        <v>48.97199999999998</v>
      </c>
      <c r="F146" s="18">
        <f t="shared" si="0"/>
        <v>2693.4599999999991</v>
      </c>
      <c r="G146" s="19">
        <v>0</v>
      </c>
      <c r="H146" s="20">
        <f t="shared" si="6"/>
        <v>-48.97199999999998</v>
      </c>
    </row>
    <row r="147" spans="1:8" ht="13" x14ac:dyDescent="0.15">
      <c r="A147" s="12">
        <v>45712</v>
      </c>
      <c r="B147" s="13" t="s">
        <v>2</v>
      </c>
      <c r="C147" s="14">
        <v>0.94330000000000003</v>
      </c>
      <c r="D147" s="16">
        <v>617</v>
      </c>
      <c r="E147" s="17">
        <f t="shared" si="7"/>
        <v>34.983899999999949</v>
      </c>
      <c r="F147" s="18">
        <f t="shared" si="0"/>
        <v>1924.1144999999972</v>
      </c>
      <c r="G147" s="19">
        <v>0</v>
      </c>
      <c r="H147" s="20">
        <f t="shared" si="6"/>
        <v>-34.983899999999949</v>
      </c>
    </row>
    <row r="148" spans="1:8" ht="13" x14ac:dyDescent="0.15">
      <c r="A148" s="12">
        <v>45713</v>
      </c>
      <c r="B148" s="13" t="s">
        <v>3</v>
      </c>
      <c r="C148" s="14">
        <v>0.94130000000000003</v>
      </c>
      <c r="D148" s="16">
        <v>613</v>
      </c>
      <c r="E148" s="17">
        <f t="shared" si="7"/>
        <v>35.983100000000036</v>
      </c>
      <c r="F148" s="18">
        <f t="shared" si="0"/>
        <v>1979.0705000000021</v>
      </c>
      <c r="G148" s="19">
        <v>0</v>
      </c>
      <c r="H148" s="20">
        <f t="shared" si="6"/>
        <v>-35.983100000000036</v>
      </c>
    </row>
    <row r="149" spans="1:8" ht="13" x14ac:dyDescent="0.15">
      <c r="A149" s="12">
        <v>45714</v>
      </c>
      <c r="B149" s="13" t="s">
        <v>4</v>
      </c>
      <c r="C149" s="14">
        <v>0.96740000000000004</v>
      </c>
      <c r="D149" s="16">
        <v>613</v>
      </c>
      <c r="E149" s="17">
        <f t="shared" si="7"/>
        <v>19.983799999999974</v>
      </c>
      <c r="F149" s="18">
        <f t="shared" si="0"/>
        <v>1099.1089999999986</v>
      </c>
      <c r="G149" s="19">
        <v>0</v>
      </c>
      <c r="H149" s="20">
        <f t="shared" si="6"/>
        <v>-19.983799999999974</v>
      </c>
    </row>
    <row r="150" spans="1:8" ht="13" x14ac:dyDescent="0.15">
      <c r="A150" s="12">
        <v>45715</v>
      </c>
      <c r="B150" s="13" t="s">
        <v>5</v>
      </c>
      <c r="C150" s="14">
        <v>0.95430000000000004</v>
      </c>
      <c r="D150" s="16">
        <v>613</v>
      </c>
      <c r="E150" s="17">
        <f t="shared" si="7"/>
        <v>28.014099999999985</v>
      </c>
      <c r="F150" s="18">
        <f t="shared" si="0"/>
        <v>1540.7754999999993</v>
      </c>
      <c r="G150" s="19">
        <v>0</v>
      </c>
      <c r="H150" s="20">
        <f t="shared" si="6"/>
        <v>-28.014099999999985</v>
      </c>
    </row>
    <row r="151" spans="1:8" ht="13" x14ac:dyDescent="0.15">
      <c r="A151" s="12">
        <v>45716</v>
      </c>
      <c r="B151" s="13" t="s">
        <v>6</v>
      </c>
      <c r="C151" s="14">
        <v>0.9103</v>
      </c>
      <c r="D151" s="16">
        <v>613</v>
      </c>
      <c r="E151" s="17">
        <f t="shared" si="7"/>
        <v>54.986099999999965</v>
      </c>
      <c r="F151" s="18">
        <f t="shared" si="0"/>
        <v>3024.235499999998</v>
      </c>
      <c r="G151" s="19">
        <v>0</v>
      </c>
      <c r="H151" s="20">
        <f t="shared" si="6"/>
        <v>-54.986099999999965</v>
      </c>
    </row>
    <row r="152" spans="1:8" ht="13" x14ac:dyDescent="0.15">
      <c r="A152" s="12">
        <v>45719</v>
      </c>
      <c r="B152" s="13" t="s">
        <v>2</v>
      </c>
      <c r="C152" s="14">
        <v>0.93030000000000002</v>
      </c>
      <c r="D152" s="16">
        <v>617</v>
      </c>
      <c r="E152" s="17">
        <f t="shared" si="7"/>
        <v>43.004900000000021</v>
      </c>
      <c r="F152" s="18">
        <f t="shared" si="0"/>
        <v>2365.2695000000012</v>
      </c>
      <c r="G152" s="19">
        <v>0</v>
      </c>
      <c r="H152" s="20">
        <f t="shared" si="6"/>
        <v>-43.004900000000021</v>
      </c>
    </row>
    <row r="153" spans="1:8" ht="13" x14ac:dyDescent="0.15">
      <c r="A153" s="12">
        <v>45720</v>
      </c>
      <c r="B153" s="13" t="s">
        <v>3</v>
      </c>
      <c r="C153" s="14">
        <v>0.91569999999999996</v>
      </c>
      <c r="D153" s="16">
        <v>617</v>
      </c>
      <c r="E153" s="17">
        <f t="shared" si="7"/>
        <v>52.013100000000009</v>
      </c>
      <c r="F153" s="18">
        <f t="shared" si="0"/>
        <v>2860.7205000000004</v>
      </c>
      <c r="G153" s="19">
        <v>0</v>
      </c>
      <c r="H153" s="20">
        <f t="shared" si="6"/>
        <v>-52.013100000000009</v>
      </c>
    </row>
    <row r="154" spans="1:8" ht="13" x14ac:dyDescent="0.15">
      <c r="A154" s="12">
        <v>45721</v>
      </c>
      <c r="B154" s="13" t="s">
        <v>4</v>
      </c>
      <c r="C154" s="14">
        <v>0.95320000000000005</v>
      </c>
      <c r="D154" s="16">
        <v>619</v>
      </c>
      <c r="E154" s="17">
        <f t="shared" si="7"/>
        <v>28.969200000000001</v>
      </c>
      <c r="F154" s="18">
        <f t="shared" si="0"/>
        <v>1593.306</v>
      </c>
      <c r="G154" s="19">
        <v>0</v>
      </c>
      <c r="H154" s="20">
        <f t="shared" si="6"/>
        <v>-28.969200000000001</v>
      </c>
    </row>
    <row r="155" spans="1:8" ht="13" x14ac:dyDescent="0.15">
      <c r="A155" s="12">
        <v>45722</v>
      </c>
      <c r="B155" s="13" t="s">
        <v>5</v>
      </c>
      <c r="C155" s="14">
        <v>0.98060000000000003</v>
      </c>
      <c r="D155" s="16">
        <v>619</v>
      </c>
      <c r="E155" s="17">
        <f t="shared" si="7"/>
        <v>12.008600000000001</v>
      </c>
      <c r="F155" s="18">
        <f t="shared" si="0"/>
        <v>660.47300000000007</v>
      </c>
      <c r="G155" s="19">
        <v>0</v>
      </c>
      <c r="H155" s="20">
        <f t="shared" si="6"/>
        <v>-12.008600000000001</v>
      </c>
    </row>
    <row r="156" spans="1:8" ht="13" x14ac:dyDescent="0.15">
      <c r="A156" s="12">
        <v>45723</v>
      </c>
      <c r="B156" s="13" t="s">
        <v>6</v>
      </c>
      <c r="C156" s="14">
        <v>0.96279999999999999</v>
      </c>
      <c r="D156" s="16">
        <v>619</v>
      </c>
      <c r="E156" s="17">
        <f t="shared" si="7"/>
        <v>23.02679999999998</v>
      </c>
      <c r="F156" s="18">
        <f t="shared" si="0"/>
        <v>1266.4739999999988</v>
      </c>
      <c r="G156" s="19">
        <v>0</v>
      </c>
      <c r="H156" s="20">
        <f t="shared" si="6"/>
        <v>-23.02679999999998</v>
      </c>
    </row>
    <row r="157" spans="1:8" ht="13" x14ac:dyDescent="0.15">
      <c r="A157" s="34">
        <v>45726</v>
      </c>
      <c r="B157" s="35" t="s">
        <v>2</v>
      </c>
      <c r="C157" s="14">
        <v>0.93389999999999995</v>
      </c>
      <c r="D157" s="16">
        <v>620</v>
      </c>
      <c r="E157" s="17">
        <f t="shared" si="7"/>
        <v>40.982000000000085</v>
      </c>
      <c r="F157" s="18">
        <f t="shared" si="0"/>
        <v>2254.0100000000048</v>
      </c>
      <c r="G157" s="19">
        <v>0</v>
      </c>
      <c r="H157" s="20">
        <f t="shared" si="6"/>
        <v>-40.982000000000085</v>
      </c>
    </row>
    <row r="158" spans="1:8" ht="15.75" customHeight="1" x14ac:dyDescent="0.15">
      <c r="A158" s="34">
        <v>45727</v>
      </c>
      <c r="B158" s="35" t="s">
        <v>3</v>
      </c>
      <c r="C158" s="79">
        <v>0.96460000000000001</v>
      </c>
      <c r="D158" s="81">
        <v>622</v>
      </c>
      <c r="E158" s="17">
        <f t="shared" si="7"/>
        <v>22.018799999999942</v>
      </c>
      <c r="F158" s="18">
        <f t="shared" si="0"/>
        <v>1211.0339999999969</v>
      </c>
      <c r="G158" s="19">
        <v>0</v>
      </c>
      <c r="H158" s="20">
        <f t="shared" si="6"/>
        <v>-22.018799999999942</v>
      </c>
    </row>
    <row r="159" spans="1:8" ht="15.75" customHeight="1" x14ac:dyDescent="0.15">
      <c r="A159" s="34">
        <v>45728</v>
      </c>
      <c r="B159" s="35" t="s">
        <v>4</v>
      </c>
      <c r="C159" s="79">
        <v>0.95179999999999998</v>
      </c>
      <c r="D159" s="81">
        <v>622</v>
      </c>
      <c r="E159" s="17">
        <f t="shared" si="7"/>
        <v>29.980400000000031</v>
      </c>
      <c r="F159" s="18">
        <f t="shared" ref="F159:F181" si="8">E159*$E$5</f>
        <v>1648.9220000000018</v>
      </c>
      <c r="G159" s="19">
        <v>0</v>
      </c>
      <c r="H159" s="20">
        <f t="shared" si="6"/>
        <v>-29.980400000000031</v>
      </c>
    </row>
    <row r="160" spans="1:8" ht="15.75" customHeight="1" x14ac:dyDescent="0.15">
      <c r="A160" s="34">
        <v>45729</v>
      </c>
      <c r="B160" s="35" t="s">
        <v>5</v>
      </c>
      <c r="C160" s="79">
        <v>0.94540000000000002</v>
      </c>
      <c r="D160" s="81">
        <v>623</v>
      </c>
      <c r="E160" s="17">
        <f t="shared" si="7"/>
        <v>34.015800000000013</v>
      </c>
      <c r="F160" s="18">
        <f t="shared" si="8"/>
        <v>1870.8690000000006</v>
      </c>
      <c r="G160" s="19">
        <v>0</v>
      </c>
      <c r="H160" s="20">
        <f t="shared" si="6"/>
        <v>-34.015800000000013</v>
      </c>
    </row>
    <row r="161" spans="1:8" ht="15.75" customHeight="1" x14ac:dyDescent="0.15">
      <c r="A161" s="34">
        <v>45730</v>
      </c>
      <c r="B161" s="35" t="s">
        <v>6</v>
      </c>
      <c r="C161" s="79">
        <v>0.88759999999999994</v>
      </c>
      <c r="D161" s="81">
        <v>623</v>
      </c>
      <c r="E161" s="17">
        <f t="shared" si="7"/>
        <v>70.025200000000041</v>
      </c>
      <c r="F161" s="18">
        <f t="shared" si="8"/>
        <v>3851.3860000000022</v>
      </c>
      <c r="G161" s="19">
        <v>0</v>
      </c>
      <c r="H161" s="20">
        <f t="shared" si="6"/>
        <v>-70.025200000000041</v>
      </c>
    </row>
    <row r="162" spans="1:8" ht="15.75" customHeight="1" x14ac:dyDescent="0.15">
      <c r="A162" s="21">
        <v>45733</v>
      </c>
      <c r="B162" s="22" t="s">
        <v>2</v>
      </c>
      <c r="C162" s="80"/>
      <c r="D162" s="82"/>
      <c r="E162" s="17">
        <f t="shared" si="7"/>
        <v>0</v>
      </c>
      <c r="F162" s="18">
        <f t="shared" si="8"/>
        <v>0</v>
      </c>
      <c r="G162" s="19">
        <v>0</v>
      </c>
      <c r="H162" s="20">
        <f t="shared" si="6"/>
        <v>0</v>
      </c>
    </row>
    <row r="163" spans="1:8" ht="15.75" customHeight="1" x14ac:dyDescent="0.15">
      <c r="A163" s="21">
        <v>45734</v>
      </c>
      <c r="B163" s="22" t="s">
        <v>3</v>
      </c>
      <c r="C163" s="80"/>
      <c r="D163" s="82"/>
      <c r="E163" s="17">
        <f t="shared" si="7"/>
        <v>0</v>
      </c>
      <c r="F163" s="18">
        <f t="shared" si="8"/>
        <v>0</v>
      </c>
      <c r="G163" s="19">
        <v>0</v>
      </c>
      <c r="H163" s="20">
        <f t="shared" si="6"/>
        <v>0</v>
      </c>
    </row>
    <row r="164" spans="1:8" ht="15.75" customHeight="1" x14ac:dyDescent="0.15">
      <c r="A164" s="21">
        <v>45735</v>
      </c>
      <c r="B164" s="22" t="s">
        <v>4</v>
      </c>
      <c r="C164" s="80"/>
      <c r="D164" s="82"/>
      <c r="E164" s="17">
        <f t="shared" si="7"/>
        <v>0</v>
      </c>
      <c r="F164" s="18">
        <f t="shared" si="8"/>
        <v>0</v>
      </c>
      <c r="G164" s="19">
        <v>0</v>
      </c>
      <c r="H164" s="20">
        <f t="shared" si="6"/>
        <v>0</v>
      </c>
    </row>
    <row r="165" spans="1:8" ht="15.75" customHeight="1" x14ac:dyDescent="0.15">
      <c r="A165" s="21">
        <v>45736</v>
      </c>
      <c r="B165" s="22" t="s">
        <v>5</v>
      </c>
      <c r="C165" s="80"/>
      <c r="D165" s="82"/>
      <c r="E165" s="17">
        <f t="shared" si="7"/>
        <v>0</v>
      </c>
      <c r="F165" s="18">
        <f t="shared" si="8"/>
        <v>0</v>
      </c>
      <c r="G165" s="19">
        <v>0</v>
      </c>
      <c r="H165" s="20">
        <f t="shared" si="6"/>
        <v>0</v>
      </c>
    </row>
    <row r="166" spans="1:8" ht="15.75" customHeight="1" x14ac:dyDescent="0.15">
      <c r="A166" s="21">
        <v>45737</v>
      </c>
      <c r="B166" s="22" t="s">
        <v>6</v>
      </c>
      <c r="C166" s="80"/>
      <c r="D166" s="82"/>
      <c r="E166" s="17">
        <f t="shared" si="7"/>
        <v>0</v>
      </c>
      <c r="F166" s="18">
        <f t="shared" si="8"/>
        <v>0</v>
      </c>
      <c r="G166" s="19">
        <v>0</v>
      </c>
      <c r="H166" s="20">
        <f t="shared" si="6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0.93089999999999995</v>
      </c>
      <c r="D167" s="81">
        <v>622</v>
      </c>
      <c r="E167" s="17">
        <f t="shared" si="7"/>
        <v>42.980200000000082</v>
      </c>
      <c r="F167" s="18">
        <f t="shared" si="8"/>
        <v>2363.9110000000046</v>
      </c>
      <c r="G167" s="19">
        <v>0</v>
      </c>
      <c r="H167" s="20">
        <f t="shared" si="6"/>
        <v>-42.980200000000082</v>
      </c>
    </row>
    <row r="168" spans="1:8" ht="15.75" customHeight="1" x14ac:dyDescent="0.15">
      <c r="A168" s="12">
        <v>45741</v>
      </c>
      <c r="B168" s="13" t="s">
        <v>3</v>
      </c>
      <c r="C168" s="79">
        <v>0.95979999999999999</v>
      </c>
      <c r="D168" s="81">
        <v>622</v>
      </c>
      <c r="E168" s="17">
        <f t="shared" si="7"/>
        <v>25.004400000000032</v>
      </c>
      <c r="F168" s="18">
        <f t="shared" si="8"/>
        <v>1375.2420000000018</v>
      </c>
      <c r="G168" s="19">
        <v>0</v>
      </c>
      <c r="H168" s="20">
        <f t="shared" si="6"/>
        <v>-25.004400000000032</v>
      </c>
    </row>
    <row r="169" spans="1:8" ht="15.75" customHeight="1" x14ac:dyDescent="0.15">
      <c r="A169" s="12">
        <v>45742</v>
      </c>
      <c r="B169" s="13" t="s">
        <v>4</v>
      </c>
      <c r="C169" s="79">
        <v>0.97750000000000004</v>
      </c>
      <c r="D169" s="81">
        <v>623</v>
      </c>
      <c r="E169" s="17">
        <f t="shared" si="7"/>
        <v>14.017499999999927</v>
      </c>
      <c r="F169" s="18">
        <f t="shared" si="8"/>
        <v>770.962499999996</v>
      </c>
      <c r="G169" s="19">
        <v>0</v>
      </c>
      <c r="H169" s="20">
        <f t="shared" si="6"/>
        <v>-14.017499999999927</v>
      </c>
    </row>
    <row r="170" spans="1:8" ht="15.75" customHeight="1" x14ac:dyDescent="0.15">
      <c r="A170" s="12">
        <v>45743</v>
      </c>
      <c r="B170" s="13" t="s">
        <v>5</v>
      </c>
      <c r="C170" s="79">
        <v>0.9647</v>
      </c>
      <c r="D170" s="81">
        <v>623</v>
      </c>
      <c r="E170" s="17">
        <f t="shared" si="7"/>
        <v>21.991899999999987</v>
      </c>
      <c r="F170" s="18">
        <f t="shared" si="8"/>
        <v>1209.5544999999993</v>
      </c>
      <c r="G170" s="19">
        <v>0</v>
      </c>
      <c r="H170" s="20">
        <f t="shared" si="6"/>
        <v>-21.991899999999987</v>
      </c>
    </row>
    <row r="171" spans="1:8" ht="15.75" customHeight="1" x14ac:dyDescent="0.15">
      <c r="A171" s="12">
        <v>45744</v>
      </c>
      <c r="B171" s="13" t="s">
        <v>6</v>
      </c>
      <c r="C171" s="79">
        <v>0.95179999999999998</v>
      </c>
      <c r="D171" s="81">
        <v>623</v>
      </c>
      <c r="E171" s="17">
        <f t="shared" si="7"/>
        <v>30.028599999999983</v>
      </c>
      <c r="F171" s="18">
        <f t="shared" si="8"/>
        <v>1651.572999999999</v>
      </c>
      <c r="G171" s="19">
        <v>0</v>
      </c>
      <c r="H171" s="20">
        <f t="shared" si="6"/>
        <v>-30.028599999999983</v>
      </c>
    </row>
    <row r="172" spans="1:8" ht="15.75" customHeight="1" x14ac:dyDescent="0.15">
      <c r="A172" s="12">
        <v>45747</v>
      </c>
      <c r="B172" s="13" t="s">
        <v>2</v>
      </c>
      <c r="C172" s="79">
        <v>0.95679999999999998</v>
      </c>
      <c r="D172" s="81">
        <v>625</v>
      </c>
      <c r="E172" s="17">
        <f t="shared" si="7"/>
        <v>27</v>
      </c>
      <c r="F172" s="18">
        <f t="shared" si="8"/>
        <v>1485</v>
      </c>
      <c r="G172" s="19">
        <v>0</v>
      </c>
      <c r="H172" s="20">
        <f t="shared" si="6"/>
        <v>-27</v>
      </c>
    </row>
    <row r="173" spans="1:8" ht="15.75" customHeight="1" x14ac:dyDescent="0.15">
      <c r="A173" s="12">
        <v>45748</v>
      </c>
      <c r="B173" s="13" t="s">
        <v>3</v>
      </c>
      <c r="C173" s="79">
        <v>0.95189999999999997</v>
      </c>
      <c r="D173" s="81">
        <v>624</v>
      </c>
      <c r="E173" s="17">
        <f t="shared" si="7"/>
        <v>30.014400000000023</v>
      </c>
      <c r="F173" s="18">
        <f t="shared" si="8"/>
        <v>1650.7920000000013</v>
      </c>
      <c r="G173" s="19">
        <v>0</v>
      </c>
      <c r="H173" s="20">
        <f t="shared" si="6"/>
        <v>-30.014400000000023</v>
      </c>
    </row>
    <row r="174" spans="1:8" ht="15.75" customHeight="1" x14ac:dyDescent="0.15">
      <c r="A174" s="12">
        <v>45749</v>
      </c>
      <c r="B174" s="13" t="s">
        <v>4</v>
      </c>
      <c r="C174" s="79">
        <v>0.95830000000000004</v>
      </c>
      <c r="D174" s="81">
        <v>623</v>
      </c>
      <c r="E174" s="17">
        <f t="shared" si="7"/>
        <v>25.979100000000017</v>
      </c>
      <c r="F174" s="18">
        <f t="shared" si="8"/>
        <v>1428.8505000000009</v>
      </c>
      <c r="G174" s="19">
        <v>0</v>
      </c>
      <c r="H174" s="20">
        <f t="shared" si="6"/>
        <v>-25.979100000000017</v>
      </c>
    </row>
    <row r="175" spans="1:8" ht="15.75" customHeight="1" x14ac:dyDescent="0.15">
      <c r="A175" s="12">
        <v>45750</v>
      </c>
      <c r="B175" s="13" t="s">
        <v>5</v>
      </c>
      <c r="C175" s="79">
        <v>0.97109999999999996</v>
      </c>
      <c r="D175" s="81">
        <v>623</v>
      </c>
      <c r="E175" s="17">
        <f t="shared" si="7"/>
        <v>18.004700000000071</v>
      </c>
      <c r="F175" s="18">
        <f t="shared" si="8"/>
        <v>990.25850000000389</v>
      </c>
      <c r="G175" s="19">
        <v>0</v>
      </c>
      <c r="H175" s="20">
        <f t="shared" si="6"/>
        <v>-18.004700000000071</v>
      </c>
    </row>
    <row r="176" spans="1:8" ht="15.75" customHeight="1" x14ac:dyDescent="0.15">
      <c r="A176" s="12">
        <v>45751</v>
      </c>
      <c r="B176" s="13" t="s">
        <v>6</v>
      </c>
      <c r="C176" s="79">
        <v>0.9486</v>
      </c>
      <c r="D176" s="81">
        <v>623</v>
      </c>
      <c r="E176" s="17">
        <f t="shared" si="7"/>
        <v>32.022199999999998</v>
      </c>
      <c r="F176" s="18">
        <f t="shared" si="8"/>
        <v>1761.221</v>
      </c>
      <c r="G176" s="19">
        <v>0</v>
      </c>
      <c r="H176" s="20">
        <f t="shared" si="6"/>
        <v>-32.022199999999998</v>
      </c>
    </row>
    <row r="177" spans="1:8" ht="15.75" customHeight="1" x14ac:dyDescent="0.15">
      <c r="A177" s="12">
        <v>45754</v>
      </c>
      <c r="B177" s="13" t="s">
        <v>2</v>
      </c>
      <c r="C177" s="79">
        <v>0.95350000000000001</v>
      </c>
      <c r="D177" s="81">
        <v>623</v>
      </c>
      <c r="E177" s="17">
        <f t="shared" si="7"/>
        <v>28.969500000000039</v>
      </c>
      <c r="F177" s="18">
        <f t="shared" si="8"/>
        <v>1593.322500000002</v>
      </c>
      <c r="G177" s="19">
        <v>0</v>
      </c>
      <c r="H177" s="20">
        <f t="shared" si="6"/>
        <v>-28.969500000000039</v>
      </c>
    </row>
    <row r="178" spans="1:8" ht="15.75" customHeight="1" x14ac:dyDescent="0.15">
      <c r="A178" s="12">
        <v>45755</v>
      </c>
      <c r="B178" s="13" t="s">
        <v>3</v>
      </c>
      <c r="C178" s="79">
        <v>0.97750000000000004</v>
      </c>
      <c r="D178" s="81">
        <v>623</v>
      </c>
      <c r="E178" s="17">
        <f t="shared" si="7"/>
        <v>14.017499999999927</v>
      </c>
      <c r="F178" s="18">
        <f t="shared" si="8"/>
        <v>770.962499999996</v>
      </c>
      <c r="G178" s="19">
        <v>0</v>
      </c>
      <c r="H178" s="20">
        <f t="shared" si="6"/>
        <v>-14.017499999999927</v>
      </c>
    </row>
    <row r="179" spans="1:8" ht="15.75" customHeight="1" x14ac:dyDescent="0.15">
      <c r="A179" s="12">
        <v>45756</v>
      </c>
      <c r="B179" s="13" t="s">
        <v>4</v>
      </c>
      <c r="C179" s="79">
        <v>0.95669999999999999</v>
      </c>
      <c r="D179" s="81">
        <v>624</v>
      </c>
      <c r="E179" s="17">
        <f t="shared" si="7"/>
        <v>27.019199999999955</v>
      </c>
      <c r="F179" s="18">
        <f t="shared" si="8"/>
        <v>1486.0559999999975</v>
      </c>
      <c r="G179" s="19">
        <v>0</v>
      </c>
      <c r="H179" s="20">
        <f t="shared" si="6"/>
        <v>-27.019199999999955</v>
      </c>
    </row>
    <row r="180" spans="1:8" ht="15.75" customHeight="1" x14ac:dyDescent="0.15">
      <c r="A180" s="12">
        <v>45757</v>
      </c>
      <c r="B180" s="13" t="s">
        <v>5</v>
      </c>
      <c r="C180" s="79">
        <v>0.96309999999999996</v>
      </c>
      <c r="D180" s="81">
        <v>623</v>
      </c>
      <c r="E180" s="17">
        <f t="shared" si="7"/>
        <v>22.988699999999994</v>
      </c>
      <c r="F180" s="18">
        <f t="shared" si="8"/>
        <v>1264.3784999999998</v>
      </c>
      <c r="G180" s="19">
        <v>0</v>
      </c>
      <c r="H180" s="20">
        <f t="shared" si="6"/>
        <v>-22.988699999999994</v>
      </c>
    </row>
    <row r="181" spans="1:8" ht="15.75" customHeight="1" x14ac:dyDescent="0.15">
      <c r="A181" s="12">
        <v>45758</v>
      </c>
      <c r="B181" s="13" t="s">
        <v>6</v>
      </c>
      <c r="C181" s="79">
        <v>0.93710000000000004</v>
      </c>
      <c r="D181" s="81">
        <v>622</v>
      </c>
      <c r="E181" s="17">
        <f t="shared" si="7"/>
        <v>39.12379999999996</v>
      </c>
      <c r="F181" s="18">
        <f t="shared" si="8"/>
        <v>2151.8089999999979</v>
      </c>
      <c r="G181" s="19">
        <v>0</v>
      </c>
      <c r="H181" s="20">
        <f t="shared" si="6"/>
        <v>-39.12379999999996</v>
      </c>
    </row>
  </sheetData>
  <autoFilter ref="A6:F157" xr:uid="{00000000-0009-0000-0000-000005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7">
    <cfRule type="cellIs" dxfId="75" priority="7" operator="lessThan">
      <formula>"92%"</formula>
    </cfRule>
  </conditionalFormatting>
  <conditionalFormatting sqref="C7:C157">
    <cfRule type="cellIs" dxfId="74" priority="4" operator="lessThan">
      <formula>"90%"</formula>
    </cfRule>
    <cfRule type="cellIs" dxfId="73" priority="5" operator="lessThan">
      <formula>"94%"</formula>
    </cfRule>
  </conditionalFormatting>
  <conditionalFormatting sqref="H1:H181">
    <cfRule type="cellIs" dxfId="72" priority="6" operator="lessThan">
      <formula>0</formula>
    </cfRule>
  </conditionalFormatting>
  <conditionalFormatting sqref="C158:C181">
    <cfRule type="cellIs" dxfId="29" priority="3" operator="lessThan">
      <formula>"92%"</formula>
    </cfRule>
  </conditionalFormatting>
  <conditionalFormatting sqref="C158:C181">
    <cfRule type="cellIs" dxfId="28" priority="1" operator="lessThan">
      <formula>"90%"</formula>
    </cfRule>
    <cfRule type="cellIs" dxfId="27" priority="2" operator="lessThan">
      <formula>"94%"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H181"/>
  <sheetViews>
    <sheetView workbookViewId="0">
      <pane ySplit="6" topLeftCell="A151" activePane="bottomLeft" state="frozen"/>
      <selection pane="bottomLeft" activeCell="J167" sqref="J167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17.5" customWidth="1"/>
  </cols>
  <sheetData>
    <row r="1" spans="1:8" ht="27" thickBot="1" x14ac:dyDescent="0.3">
      <c r="A1" s="1"/>
      <c r="B1" s="1"/>
      <c r="C1" s="1"/>
      <c r="D1" s="1"/>
      <c r="E1" s="2"/>
      <c r="F1" s="2"/>
      <c r="G1" s="3"/>
      <c r="H1" s="38" t="e">
        <f>SUM(H7:H157)</f>
        <v>#REF!</v>
      </c>
    </row>
    <row r="2" spans="1:8" ht="17" thickTop="1" x14ac:dyDescent="0.2">
      <c r="A2" s="63"/>
      <c r="B2" s="64"/>
      <c r="C2" s="64"/>
      <c r="D2" s="64"/>
      <c r="E2" s="65" t="s">
        <v>0</v>
      </c>
      <c r="F2" s="66"/>
      <c r="G2" s="5" t="s">
        <v>8</v>
      </c>
      <c r="H2" s="67" t="s">
        <v>24</v>
      </c>
    </row>
    <row r="3" spans="1:8" ht="24" x14ac:dyDescent="0.25">
      <c r="A3" s="64"/>
      <c r="B3" s="64"/>
      <c r="C3" s="64"/>
      <c r="D3" s="64"/>
      <c r="E3" s="68">
        <f>SUM(F7:F128)</f>
        <v>165234.24500000002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549</v>
      </c>
      <c r="E7" s="17">
        <f t="shared" ref="E7:E24" si="0">D7-(C7*D7)</f>
        <v>0</v>
      </c>
      <c r="F7" s="18">
        <f t="shared" ref="F7:F158" si="1">E7*$E$5</f>
        <v>0</v>
      </c>
      <c r="G7" s="19">
        <v>0</v>
      </c>
      <c r="H7" s="20">
        <f t="shared" ref="H7:H158" si="2">G7-E7</f>
        <v>0</v>
      </c>
    </row>
    <row r="8" spans="1:8" ht="13" x14ac:dyDescent="0.15">
      <c r="A8" s="12">
        <v>45517</v>
      </c>
      <c r="B8" s="13" t="s">
        <v>3</v>
      </c>
      <c r="C8" s="14">
        <v>0.99650000000000005</v>
      </c>
      <c r="D8" s="16">
        <v>571</v>
      </c>
      <c r="E8" s="17">
        <f t="shared" si="0"/>
        <v>1.9984999999999218</v>
      </c>
      <c r="F8" s="18">
        <f t="shared" si="1"/>
        <v>109.9174999999957</v>
      </c>
      <c r="G8" s="19">
        <f t="shared" ref="G8:G57" si="3">D8-(D8*G$3)</f>
        <v>28.550000000000068</v>
      </c>
      <c r="H8" s="20">
        <f t="shared" si="2"/>
        <v>26.551500000000146</v>
      </c>
    </row>
    <row r="9" spans="1:8" ht="13" x14ac:dyDescent="0.15">
      <c r="A9" s="12">
        <v>45518</v>
      </c>
      <c r="B9" s="13" t="s">
        <v>4</v>
      </c>
      <c r="C9" s="14">
        <v>0.98260000000000003</v>
      </c>
      <c r="D9" s="16">
        <v>575</v>
      </c>
      <c r="E9" s="17">
        <f t="shared" si="0"/>
        <v>10.004999999999995</v>
      </c>
      <c r="F9" s="18">
        <f t="shared" si="1"/>
        <v>550.27499999999975</v>
      </c>
      <c r="G9" s="19">
        <f t="shared" si="3"/>
        <v>28.75</v>
      </c>
      <c r="H9" s="20">
        <f t="shared" si="2"/>
        <v>18.745000000000005</v>
      </c>
    </row>
    <row r="10" spans="1:8" ht="13" x14ac:dyDescent="0.15">
      <c r="A10" s="12">
        <v>45519</v>
      </c>
      <c r="B10" s="13" t="s">
        <v>5</v>
      </c>
      <c r="C10" s="14">
        <v>0.98609999999999998</v>
      </c>
      <c r="D10" s="16">
        <v>576</v>
      </c>
      <c r="E10" s="17">
        <f t="shared" si="0"/>
        <v>8.0063999999999851</v>
      </c>
      <c r="F10" s="18">
        <f t="shared" si="1"/>
        <v>440.35199999999918</v>
      </c>
      <c r="G10" s="19">
        <f t="shared" si="3"/>
        <v>28.800000000000068</v>
      </c>
      <c r="H10" s="20">
        <f t="shared" si="2"/>
        <v>20.793600000000083</v>
      </c>
    </row>
    <row r="11" spans="1:8" ht="13" x14ac:dyDescent="0.15">
      <c r="A11" s="12">
        <v>45520</v>
      </c>
      <c r="B11" s="13" t="s">
        <v>6</v>
      </c>
      <c r="C11" s="14">
        <v>0.9587</v>
      </c>
      <c r="D11" s="16">
        <v>581</v>
      </c>
      <c r="E11" s="17">
        <f t="shared" si="0"/>
        <v>23.995300000000043</v>
      </c>
      <c r="F11" s="18">
        <f t="shared" si="1"/>
        <v>1319.7415000000024</v>
      </c>
      <c r="G11" s="19">
        <f t="shared" si="3"/>
        <v>29.050000000000068</v>
      </c>
      <c r="H11" s="20">
        <f t="shared" si="2"/>
        <v>5.0547000000000253</v>
      </c>
    </row>
    <row r="12" spans="1:8" ht="13" x14ac:dyDescent="0.15">
      <c r="A12" s="12">
        <v>45523</v>
      </c>
      <c r="B12" s="13" t="s">
        <v>2</v>
      </c>
      <c r="C12" s="14">
        <v>0.94640000000000002</v>
      </c>
      <c r="D12" s="16">
        <v>597</v>
      </c>
      <c r="E12" s="17">
        <f t="shared" si="0"/>
        <v>31.999199999999973</v>
      </c>
      <c r="F12" s="18">
        <f t="shared" si="1"/>
        <v>1759.9559999999985</v>
      </c>
      <c r="G12" s="19">
        <f t="shared" si="3"/>
        <v>29.850000000000023</v>
      </c>
      <c r="H12" s="20">
        <f t="shared" si="2"/>
        <v>-2.1491999999999507</v>
      </c>
    </row>
    <row r="13" spans="1:8" ht="13" x14ac:dyDescent="0.15">
      <c r="A13" s="12">
        <v>45524</v>
      </c>
      <c r="B13" s="13" t="s">
        <v>3</v>
      </c>
      <c r="C13" s="14">
        <v>0.97499999999999998</v>
      </c>
      <c r="D13" s="16">
        <v>599</v>
      </c>
      <c r="E13" s="17">
        <f t="shared" si="0"/>
        <v>14.975000000000023</v>
      </c>
      <c r="F13" s="18">
        <f t="shared" si="1"/>
        <v>823.62500000000125</v>
      </c>
      <c r="G13" s="19">
        <f t="shared" si="3"/>
        <v>29.950000000000045</v>
      </c>
      <c r="H13" s="20">
        <f t="shared" si="2"/>
        <v>14.975000000000023</v>
      </c>
    </row>
    <row r="14" spans="1:8" ht="13" x14ac:dyDescent="0.15">
      <c r="A14" s="12">
        <v>45525</v>
      </c>
      <c r="B14" s="13" t="s">
        <v>4</v>
      </c>
      <c r="C14" s="14">
        <v>0.96350000000000002</v>
      </c>
      <c r="D14" s="16">
        <v>603</v>
      </c>
      <c r="E14" s="17">
        <f t="shared" si="0"/>
        <v>22.009500000000003</v>
      </c>
      <c r="F14" s="18">
        <f t="shared" si="1"/>
        <v>1210.5225</v>
      </c>
      <c r="G14" s="19">
        <f t="shared" si="3"/>
        <v>30.149999999999977</v>
      </c>
      <c r="H14" s="20">
        <f t="shared" si="2"/>
        <v>8.1404999999999745</v>
      </c>
    </row>
    <row r="15" spans="1:8" ht="13" x14ac:dyDescent="0.15">
      <c r="A15" s="12">
        <v>45526</v>
      </c>
      <c r="B15" s="13" t="s">
        <v>5</v>
      </c>
      <c r="C15" s="14">
        <v>0.96350000000000002</v>
      </c>
      <c r="D15" s="16">
        <v>603</v>
      </c>
      <c r="E15" s="17">
        <f t="shared" si="0"/>
        <v>22.009500000000003</v>
      </c>
      <c r="F15" s="18">
        <f t="shared" si="1"/>
        <v>1210.5225</v>
      </c>
      <c r="G15" s="19">
        <f t="shared" si="3"/>
        <v>30.149999999999977</v>
      </c>
      <c r="H15" s="20">
        <f t="shared" si="2"/>
        <v>8.1404999999999745</v>
      </c>
    </row>
    <row r="16" spans="1:8" ht="13" x14ac:dyDescent="0.15">
      <c r="A16" s="12">
        <v>45527</v>
      </c>
      <c r="B16" s="13" t="s">
        <v>6</v>
      </c>
      <c r="C16" s="14">
        <v>0.93200000000000005</v>
      </c>
      <c r="D16" s="16">
        <v>603</v>
      </c>
      <c r="E16" s="17">
        <f t="shared" si="0"/>
        <v>41.004000000000019</v>
      </c>
      <c r="F16" s="18">
        <f t="shared" si="1"/>
        <v>2255.2200000000012</v>
      </c>
      <c r="G16" s="19">
        <f t="shared" si="3"/>
        <v>30.149999999999977</v>
      </c>
      <c r="H16" s="20">
        <f t="shared" si="2"/>
        <v>-10.854000000000042</v>
      </c>
    </row>
    <row r="17" spans="1:8" ht="13" x14ac:dyDescent="0.15">
      <c r="A17" s="12">
        <v>45530</v>
      </c>
      <c r="B17" s="13" t="s">
        <v>2</v>
      </c>
      <c r="C17" s="14">
        <v>0.9536</v>
      </c>
      <c r="D17" s="16">
        <v>603</v>
      </c>
      <c r="E17" s="17">
        <f t="shared" si="0"/>
        <v>27.979199999999992</v>
      </c>
      <c r="F17" s="18">
        <f t="shared" si="1"/>
        <v>1538.8559999999995</v>
      </c>
      <c r="G17" s="19">
        <f t="shared" si="3"/>
        <v>30.149999999999977</v>
      </c>
      <c r="H17" s="20">
        <f t="shared" si="2"/>
        <v>2.1707999999999856</v>
      </c>
    </row>
    <row r="18" spans="1:8" ht="13" x14ac:dyDescent="0.15">
      <c r="A18" s="12">
        <v>45531</v>
      </c>
      <c r="B18" s="13" t="s">
        <v>3</v>
      </c>
      <c r="C18" s="14">
        <v>0.95860000000000001</v>
      </c>
      <c r="D18" s="16">
        <v>604</v>
      </c>
      <c r="E18" s="17">
        <f t="shared" si="0"/>
        <v>25.005599999999959</v>
      </c>
      <c r="F18" s="18">
        <f t="shared" si="1"/>
        <v>1375.3079999999977</v>
      </c>
      <c r="G18" s="19">
        <f t="shared" si="3"/>
        <v>30.200000000000045</v>
      </c>
      <c r="H18" s="20">
        <f t="shared" si="2"/>
        <v>5.1944000000000869</v>
      </c>
    </row>
    <row r="19" spans="1:8" ht="13" x14ac:dyDescent="0.15">
      <c r="A19" s="12">
        <v>45532</v>
      </c>
      <c r="B19" s="13" t="s">
        <v>4</v>
      </c>
      <c r="C19" s="14">
        <v>0.94040000000000001</v>
      </c>
      <c r="D19" s="16">
        <v>604</v>
      </c>
      <c r="E19" s="17">
        <f t="shared" si="0"/>
        <v>35.998399999999947</v>
      </c>
      <c r="F19" s="18">
        <f t="shared" si="1"/>
        <v>1979.9119999999971</v>
      </c>
      <c r="G19" s="19">
        <f t="shared" si="3"/>
        <v>30.200000000000045</v>
      </c>
      <c r="H19" s="20">
        <f t="shared" si="2"/>
        <v>-5.7983999999999014</v>
      </c>
    </row>
    <row r="20" spans="1:8" ht="13" x14ac:dyDescent="0.15">
      <c r="A20" s="12">
        <v>45533</v>
      </c>
      <c r="B20" s="13" t="s">
        <v>5</v>
      </c>
      <c r="C20" s="14">
        <v>0.95530000000000004</v>
      </c>
      <c r="D20" s="16">
        <v>604</v>
      </c>
      <c r="E20" s="17">
        <f t="shared" si="0"/>
        <v>26.99879999999996</v>
      </c>
      <c r="F20" s="18">
        <f t="shared" si="1"/>
        <v>1484.9339999999979</v>
      </c>
      <c r="G20" s="19">
        <f t="shared" si="3"/>
        <v>30.200000000000045</v>
      </c>
      <c r="H20" s="20">
        <f t="shared" si="2"/>
        <v>3.2012000000000853</v>
      </c>
    </row>
    <row r="21" spans="1:8" ht="13" x14ac:dyDescent="0.15">
      <c r="A21" s="12">
        <v>45534</v>
      </c>
      <c r="B21" s="13" t="s">
        <v>6</v>
      </c>
      <c r="C21" s="14">
        <v>0.92720000000000002</v>
      </c>
      <c r="D21" s="16">
        <v>604</v>
      </c>
      <c r="E21" s="17">
        <f t="shared" si="0"/>
        <v>43.971199999999953</v>
      </c>
      <c r="F21" s="18">
        <f t="shared" si="1"/>
        <v>2418.4159999999974</v>
      </c>
      <c r="G21" s="19">
        <f t="shared" si="3"/>
        <v>30.200000000000045</v>
      </c>
      <c r="H21" s="20">
        <f t="shared" si="2"/>
        <v>-13.771199999999908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0.94230000000000003</v>
      </c>
      <c r="D23" s="16">
        <v>607</v>
      </c>
      <c r="E23" s="17">
        <f t="shared" si="0"/>
        <v>35.023900000000026</v>
      </c>
      <c r="F23" s="18">
        <f t="shared" si="1"/>
        <v>1926.3145000000013</v>
      </c>
      <c r="G23" s="19">
        <f t="shared" si="3"/>
        <v>30.350000000000023</v>
      </c>
      <c r="H23" s="20">
        <f t="shared" si="2"/>
        <v>-4.6739000000000033</v>
      </c>
    </row>
    <row r="24" spans="1:8" ht="13" x14ac:dyDescent="0.15">
      <c r="A24" s="12">
        <v>45539</v>
      </c>
      <c r="B24" s="13" t="s">
        <v>4</v>
      </c>
      <c r="C24" s="14">
        <v>0.95550000000000002</v>
      </c>
      <c r="D24" s="16">
        <v>607</v>
      </c>
      <c r="E24" s="17">
        <f t="shared" si="0"/>
        <v>27.011499999999955</v>
      </c>
      <c r="F24" s="18">
        <f t="shared" si="1"/>
        <v>1485.6324999999974</v>
      </c>
      <c r="G24" s="19">
        <f t="shared" si="3"/>
        <v>30.350000000000023</v>
      </c>
      <c r="H24" s="20">
        <f t="shared" si="2"/>
        <v>3.3385000000000673</v>
      </c>
    </row>
    <row r="25" spans="1:8" ht="13" x14ac:dyDescent="0.15">
      <c r="A25" s="12">
        <v>45540</v>
      </c>
      <c r="B25" s="13" t="s">
        <v>5</v>
      </c>
      <c r="C25" s="14">
        <v>0.95389999999999997</v>
      </c>
      <c r="D25" s="16">
        <v>608</v>
      </c>
      <c r="E25" s="17">
        <f>D25-(C26*D25)</f>
        <v>37.027199999999993</v>
      </c>
      <c r="F25" s="18">
        <f t="shared" si="1"/>
        <v>2036.4959999999996</v>
      </c>
      <c r="G25" s="19">
        <f t="shared" si="3"/>
        <v>30.399999999999977</v>
      </c>
      <c r="H25" s="20">
        <f t="shared" si="2"/>
        <v>-6.6272000000000162</v>
      </c>
    </row>
    <row r="26" spans="1:8" ht="13" x14ac:dyDescent="0.15">
      <c r="A26" s="12">
        <v>45541</v>
      </c>
      <c r="B26" s="13" t="s">
        <v>6</v>
      </c>
      <c r="C26" s="14">
        <v>0.93910000000000005</v>
      </c>
      <c r="D26" s="16">
        <v>608</v>
      </c>
      <c r="E26" s="17">
        <f>D26-(C27*D26)</f>
        <v>37.027199999999993</v>
      </c>
      <c r="F26" s="18">
        <f t="shared" si="1"/>
        <v>2036.4959999999996</v>
      </c>
      <c r="G26" s="19">
        <f t="shared" si="3"/>
        <v>30.399999999999977</v>
      </c>
      <c r="H26" s="20">
        <f t="shared" si="2"/>
        <v>-6.6272000000000162</v>
      </c>
    </row>
    <row r="27" spans="1:8" ht="13" x14ac:dyDescent="0.15">
      <c r="A27" s="12">
        <v>45544</v>
      </c>
      <c r="B27" s="13" t="s">
        <v>2</v>
      </c>
      <c r="C27" s="14">
        <v>0.93910000000000005</v>
      </c>
      <c r="D27" s="16">
        <v>608</v>
      </c>
      <c r="E27" s="17">
        <f>D27-(C28*D27)</f>
        <v>22.982399999999984</v>
      </c>
      <c r="F27" s="18">
        <f t="shared" si="1"/>
        <v>1264.0319999999992</v>
      </c>
      <c r="G27" s="19">
        <f t="shared" si="3"/>
        <v>30.399999999999977</v>
      </c>
      <c r="H27" s="20">
        <f t="shared" si="2"/>
        <v>7.4175999999999931</v>
      </c>
    </row>
    <row r="28" spans="1:8" ht="13" x14ac:dyDescent="0.15">
      <c r="A28" s="12">
        <v>45545</v>
      </c>
      <c r="B28" s="13" t="s">
        <v>3</v>
      </c>
      <c r="C28" s="14">
        <v>0.96220000000000006</v>
      </c>
      <c r="D28" s="16">
        <v>607</v>
      </c>
      <c r="E28" s="17">
        <f>D28-(C29*D28)</f>
        <v>26.890099999999961</v>
      </c>
      <c r="F28" s="18">
        <f t="shared" si="1"/>
        <v>1478.9554999999978</v>
      </c>
      <c r="G28" s="19">
        <f t="shared" si="3"/>
        <v>30.350000000000023</v>
      </c>
      <c r="H28" s="20">
        <f t="shared" si="2"/>
        <v>3.4599000000000615</v>
      </c>
    </row>
    <row r="29" spans="1:8" ht="13" x14ac:dyDescent="0.15">
      <c r="A29" s="12">
        <v>45546</v>
      </c>
      <c r="B29" s="13" t="s">
        <v>4</v>
      </c>
      <c r="C29" s="14">
        <v>0.95569999999999999</v>
      </c>
      <c r="D29" s="16">
        <v>609</v>
      </c>
      <c r="E29" s="17">
        <f t="shared" ref="E29:E58" si="4">D29-(C29*D29)</f>
        <v>26.978700000000003</v>
      </c>
      <c r="F29" s="18">
        <f t="shared" si="1"/>
        <v>1483.8285000000001</v>
      </c>
      <c r="G29" s="19">
        <f t="shared" si="3"/>
        <v>30.450000000000045</v>
      </c>
      <c r="H29" s="20">
        <f t="shared" si="2"/>
        <v>3.471300000000042</v>
      </c>
    </row>
    <row r="30" spans="1:8" ht="13" x14ac:dyDescent="0.15">
      <c r="A30" s="12">
        <v>45547</v>
      </c>
      <c r="B30" s="13" t="s">
        <v>5</v>
      </c>
      <c r="C30" s="14">
        <v>0.95409999999999995</v>
      </c>
      <c r="D30" s="16">
        <v>610</v>
      </c>
      <c r="E30" s="17">
        <f t="shared" si="4"/>
        <v>27.999000000000024</v>
      </c>
      <c r="F30" s="18">
        <f t="shared" si="1"/>
        <v>1539.9450000000013</v>
      </c>
      <c r="G30" s="19">
        <f t="shared" si="3"/>
        <v>30.5</v>
      </c>
      <c r="H30" s="20">
        <f t="shared" si="2"/>
        <v>2.5009999999999764</v>
      </c>
    </row>
    <row r="31" spans="1:8" ht="13" x14ac:dyDescent="0.15">
      <c r="A31" s="12">
        <v>45548</v>
      </c>
      <c r="B31" s="13" t="s">
        <v>6</v>
      </c>
      <c r="C31" s="14">
        <v>0.94750000000000001</v>
      </c>
      <c r="D31" s="16">
        <v>610</v>
      </c>
      <c r="E31" s="17">
        <f t="shared" si="4"/>
        <v>32.024999999999977</v>
      </c>
      <c r="F31" s="18">
        <f t="shared" si="1"/>
        <v>1761.3749999999986</v>
      </c>
      <c r="G31" s="19">
        <f t="shared" si="3"/>
        <v>30.5</v>
      </c>
      <c r="H31" s="20">
        <f t="shared" si="2"/>
        <v>-1.5249999999999773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4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0.96709999999999996</v>
      </c>
      <c r="D33" s="16">
        <v>607</v>
      </c>
      <c r="E33" s="17">
        <f t="shared" si="4"/>
        <v>19.970300000000066</v>
      </c>
      <c r="F33" s="18">
        <f t="shared" si="1"/>
        <v>1098.3665000000037</v>
      </c>
      <c r="G33" s="19">
        <f t="shared" si="3"/>
        <v>30.350000000000023</v>
      </c>
      <c r="H33" s="20">
        <f t="shared" si="2"/>
        <v>10.379699999999957</v>
      </c>
    </row>
    <row r="34" spans="1:8" ht="13" x14ac:dyDescent="0.15">
      <c r="A34" s="12">
        <v>45553</v>
      </c>
      <c r="B34" s="13" t="s">
        <v>4</v>
      </c>
      <c r="C34" s="14">
        <v>0.96379999999999999</v>
      </c>
      <c r="D34" s="16">
        <v>607</v>
      </c>
      <c r="E34" s="17">
        <f t="shared" si="4"/>
        <v>21.97339999999997</v>
      </c>
      <c r="F34" s="18">
        <f t="shared" si="1"/>
        <v>1208.5369999999984</v>
      </c>
      <c r="G34" s="19">
        <f t="shared" si="3"/>
        <v>30.350000000000023</v>
      </c>
      <c r="H34" s="20">
        <f t="shared" si="2"/>
        <v>8.3766000000000531</v>
      </c>
    </row>
    <row r="35" spans="1:8" ht="13" x14ac:dyDescent="0.15">
      <c r="A35" s="12">
        <v>45554</v>
      </c>
      <c r="B35" s="13" t="s">
        <v>5</v>
      </c>
      <c r="C35" s="14">
        <v>0.95550000000000002</v>
      </c>
      <c r="D35" s="16">
        <v>607</v>
      </c>
      <c r="E35" s="17">
        <f t="shared" si="4"/>
        <v>27.011499999999955</v>
      </c>
      <c r="F35" s="18">
        <f t="shared" si="1"/>
        <v>1485.6324999999974</v>
      </c>
      <c r="G35" s="19">
        <f t="shared" si="3"/>
        <v>30.350000000000023</v>
      </c>
      <c r="H35" s="20">
        <f t="shared" si="2"/>
        <v>3.3385000000000673</v>
      </c>
    </row>
    <row r="36" spans="1:8" ht="13" x14ac:dyDescent="0.15">
      <c r="A36" s="12">
        <v>45555</v>
      </c>
      <c r="B36" s="13" t="s">
        <v>6</v>
      </c>
      <c r="C36" s="14">
        <v>0.88959999999999995</v>
      </c>
      <c r="D36" s="16">
        <v>606</v>
      </c>
      <c r="E36" s="17">
        <f t="shared" si="4"/>
        <v>66.902400000000057</v>
      </c>
      <c r="F36" s="18">
        <f t="shared" si="1"/>
        <v>3679.6320000000032</v>
      </c>
      <c r="G36" s="19">
        <f t="shared" si="3"/>
        <v>30.300000000000068</v>
      </c>
      <c r="H36" s="20">
        <f t="shared" si="2"/>
        <v>-36.602399999999989</v>
      </c>
    </row>
    <row r="37" spans="1:8" ht="13" x14ac:dyDescent="0.15">
      <c r="A37" s="12">
        <v>45558</v>
      </c>
      <c r="B37" s="13" t="s">
        <v>2</v>
      </c>
      <c r="C37" s="14">
        <v>0.95389999999999997</v>
      </c>
      <c r="D37" s="16">
        <v>608</v>
      </c>
      <c r="E37" s="17">
        <f t="shared" si="4"/>
        <v>28.028800000000047</v>
      </c>
      <c r="F37" s="18">
        <f t="shared" si="1"/>
        <v>1541.5840000000026</v>
      </c>
      <c r="G37" s="19">
        <f t="shared" si="3"/>
        <v>30.399999999999977</v>
      </c>
      <c r="H37" s="20">
        <f t="shared" si="2"/>
        <v>2.3711999999999307</v>
      </c>
    </row>
    <row r="38" spans="1:8" ht="13" x14ac:dyDescent="0.15">
      <c r="A38" s="12">
        <v>45559</v>
      </c>
      <c r="B38" s="13" t="s">
        <v>3</v>
      </c>
      <c r="C38" s="14">
        <v>0.96050000000000002</v>
      </c>
      <c r="D38" s="16">
        <v>608</v>
      </c>
      <c r="E38" s="17">
        <f t="shared" si="4"/>
        <v>24.015999999999963</v>
      </c>
      <c r="F38" s="18">
        <f t="shared" si="1"/>
        <v>1320.8799999999978</v>
      </c>
      <c r="G38" s="19">
        <f t="shared" si="3"/>
        <v>30.399999999999977</v>
      </c>
      <c r="H38" s="20">
        <f t="shared" si="2"/>
        <v>6.3840000000000146</v>
      </c>
    </row>
    <row r="39" spans="1:8" ht="13" x14ac:dyDescent="0.15">
      <c r="A39" s="12">
        <v>45560</v>
      </c>
      <c r="B39" s="13" t="s">
        <v>4</v>
      </c>
      <c r="C39" s="14">
        <v>0.97199999999999998</v>
      </c>
      <c r="D39" s="16">
        <v>607</v>
      </c>
      <c r="E39" s="17">
        <f t="shared" si="4"/>
        <v>16.995999999999981</v>
      </c>
      <c r="F39" s="18">
        <f t="shared" si="1"/>
        <v>934.77999999999895</v>
      </c>
      <c r="G39" s="19">
        <f t="shared" si="3"/>
        <v>30.350000000000023</v>
      </c>
      <c r="H39" s="20">
        <f t="shared" si="2"/>
        <v>13.354000000000042</v>
      </c>
    </row>
    <row r="40" spans="1:8" ht="13" x14ac:dyDescent="0.15">
      <c r="A40" s="12">
        <v>45561</v>
      </c>
      <c r="B40" s="13" t="s">
        <v>5</v>
      </c>
      <c r="C40" s="14">
        <v>0.97030000000000005</v>
      </c>
      <c r="D40" s="16">
        <v>606</v>
      </c>
      <c r="E40" s="17">
        <f t="shared" si="4"/>
        <v>17.998199999999997</v>
      </c>
      <c r="F40" s="18">
        <f t="shared" si="1"/>
        <v>989.90099999999984</v>
      </c>
      <c r="G40" s="19">
        <f t="shared" si="3"/>
        <v>30.300000000000068</v>
      </c>
      <c r="H40" s="20">
        <f t="shared" si="2"/>
        <v>12.301800000000071</v>
      </c>
    </row>
    <row r="41" spans="1:8" ht="13" x14ac:dyDescent="0.15">
      <c r="A41" s="12">
        <v>45562</v>
      </c>
      <c r="B41" s="13" t="s">
        <v>6</v>
      </c>
      <c r="C41" s="14">
        <v>0.93910000000000005</v>
      </c>
      <c r="D41" s="16">
        <v>608</v>
      </c>
      <c r="E41" s="17">
        <f t="shared" si="4"/>
        <v>37.027199999999993</v>
      </c>
      <c r="F41" s="18">
        <f t="shared" si="1"/>
        <v>2036.4959999999996</v>
      </c>
      <c r="G41" s="19">
        <f t="shared" si="3"/>
        <v>30.399999999999977</v>
      </c>
      <c r="H41" s="20">
        <f t="shared" si="2"/>
        <v>-6.6272000000000162</v>
      </c>
    </row>
    <row r="42" spans="1:8" ht="13" x14ac:dyDescent="0.15">
      <c r="A42" s="12">
        <v>45565</v>
      </c>
      <c r="B42" s="13" t="s">
        <v>2</v>
      </c>
      <c r="C42" s="14">
        <v>0.9456</v>
      </c>
      <c r="D42" s="16">
        <v>607</v>
      </c>
      <c r="E42" s="17">
        <f t="shared" si="4"/>
        <v>33.020800000000008</v>
      </c>
      <c r="F42" s="18">
        <f t="shared" si="1"/>
        <v>1816.1440000000005</v>
      </c>
      <c r="G42" s="19">
        <f t="shared" si="3"/>
        <v>30.350000000000023</v>
      </c>
      <c r="H42" s="20">
        <f t="shared" si="2"/>
        <v>-2.6707999999999856</v>
      </c>
    </row>
    <row r="43" spans="1:8" ht="13" x14ac:dyDescent="0.15">
      <c r="A43" s="12">
        <v>45566</v>
      </c>
      <c r="B43" s="13" t="s">
        <v>3</v>
      </c>
      <c r="C43" s="14">
        <v>0.94569999999999999</v>
      </c>
      <c r="D43" s="16">
        <v>607</v>
      </c>
      <c r="E43" s="17">
        <f t="shared" si="4"/>
        <v>32.960100000000011</v>
      </c>
      <c r="F43" s="18">
        <f t="shared" si="1"/>
        <v>1812.8055000000006</v>
      </c>
      <c r="G43" s="19">
        <f t="shared" si="3"/>
        <v>30.350000000000023</v>
      </c>
      <c r="H43" s="20">
        <f t="shared" si="2"/>
        <v>-2.6100999999999885</v>
      </c>
    </row>
    <row r="44" spans="1:8" ht="13" x14ac:dyDescent="0.15">
      <c r="A44" s="12">
        <v>45567</v>
      </c>
      <c r="B44" s="13" t="s">
        <v>4</v>
      </c>
      <c r="C44" s="14">
        <v>0.95389999999999997</v>
      </c>
      <c r="D44" s="16">
        <v>607</v>
      </c>
      <c r="E44" s="17">
        <f t="shared" si="4"/>
        <v>27.982700000000023</v>
      </c>
      <c r="F44" s="18">
        <f t="shared" si="1"/>
        <v>1539.0485000000012</v>
      </c>
      <c r="G44" s="19">
        <f t="shared" si="3"/>
        <v>30.350000000000023</v>
      </c>
      <c r="H44" s="20">
        <f t="shared" si="2"/>
        <v>2.3673000000000002</v>
      </c>
    </row>
    <row r="45" spans="1:8" ht="13" x14ac:dyDescent="0.15">
      <c r="A45" s="12">
        <v>45568</v>
      </c>
      <c r="B45" s="13" t="s">
        <v>5</v>
      </c>
      <c r="C45" s="14">
        <v>0.95069999999999999</v>
      </c>
      <c r="D45" s="16">
        <v>607</v>
      </c>
      <c r="E45" s="17">
        <f t="shared" si="4"/>
        <v>29.925100000000043</v>
      </c>
      <c r="F45" s="18">
        <f t="shared" si="1"/>
        <v>1645.8805000000025</v>
      </c>
      <c r="G45" s="19">
        <f t="shared" si="3"/>
        <v>30.350000000000023</v>
      </c>
      <c r="H45" s="20">
        <f t="shared" si="2"/>
        <v>0.42489999999997963</v>
      </c>
    </row>
    <row r="46" spans="1:8" ht="13" x14ac:dyDescent="0.15">
      <c r="A46" s="12">
        <v>45569</v>
      </c>
      <c r="B46" s="13" t="s">
        <v>6</v>
      </c>
      <c r="C46" s="14">
        <v>0.92110000000000003</v>
      </c>
      <c r="D46" s="16">
        <v>607</v>
      </c>
      <c r="E46" s="17">
        <f t="shared" si="4"/>
        <v>47.892299999999977</v>
      </c>
      <c r="F46" s="18">
        <f t="shared" si="1"/>
        <v>2634.0764999999988</v>
      </c>
      <c r="G46" s="19">
        <f t="shared" si="3"/>
        <v>30.350000000000023</v>
      </c>
      <c r="H46" s="20">
        <f t="shared" si="2"/>
        <v>-17.542299999999955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0.92759999999999998</v>
      </c>
      <c r="D52" s="16">
        <v>608</v>
      </c>
      <c r="E52" s="17">
        <f t="shared" si="4"/>
        <v>44.019199999999955</v>
      </c>
      <c r="F52" s="18">
        <f t="shared" si="1"/>
        <v>2421.0559999999978</v>
      </c>
      <c r="G52" s="19">
        <f t="shared" si="3"/>
        <v>30.399999999999977</v>
      </c>
      <c r="H52" s="20">
        <f t="shared" si="2"/>
        <v>-13.619199999999978</v>
      </c>
    </row>
    <row r="53" spans="1:8" ht="13" x14ac:dyDescent="0.15">
      <c r="A53" s="12">
        <v>45580</v>
      </c>
      <c r="B53" s="13" t="s">
        <v>3</v>
      </c>
      <c r="C53" s="14">
        <v>0.96220000000000006</v>
      </c>
      <c r="D53" s="16">
        <v>608</v>
      </c>
      <c r="E53" s="17">
        <f t="shared" si="4"/>
        <v>22.982399999999984</v>
      </c>
      <c r="F53" s="18">
        <f t="shared" si="1"/>
        <v>1264.0319999999992</v>
      </c>
      <c r="G53" s="19">
        <f t="shared" si="3"/>
        <v>30.399999999999977</v>
      </c>
      <c r="H53" s="20">
        <f t="shared" si="2"/>
        <v>7.4175999999999931</v>
      </c>
    </row>
    <row r="54" spans="1:8" ht="13" x14ac:dyDescent="0.15">
      <c r="A54" s="12">
        <v>45581</v>
      </c>
      <c r="B54" s="13" t="s">
        <v>4</v>
      </c>
      <c r="C54" s="29">
        <v>0.95720000000000005</v>
      </c>
      <c r="D54" s="16">
        <v>607</v>
      </c>
      <c r="E54" s="17">
        <f t="shared" si="4"/>
        <v>25.979600000000005</v>
      </c>
      <c r="F54" s="18">
        <f t="shared" si="1"/>
        <v>1428.8780000000002</v>
      </c>
      <c r="G54" s="19">
        <f t="shared" si="3"/>
        <v>30.350000000000023</v>
      </c>
      <c r="H54" s="20">
        <f t="shared" si="2"/>
        <v>4.3704000000000178</v>
      </c>
    </row>
    <row r="55" spans="1:8" ht="13" x14ac:dyDescent="0.15">
      <c r="A55" s="12">
        <v>45582</v>
      </c>
      <c r="B55" s="13" t="s">
        <v>5</v>
      </c>
      <c r="C55" s="14">
        <v>0.96209999999999996</v>
      </c>
      <c r="D55" s="16">
        <v>607</v>
      </c>
      <c r="E55" s="17">
        <f t="shared" si="4"/>
        <v>23.005300000000034</v>
      </c>
      <c r="F55" s="18">
        <f t="shared" si="1"/>
        <v>1265.2915000000019</v>
      </c>
      <c r="G55" s="19">
        <f t="shared" si="3"/>
        <v>30.350000000000023</v>
      </c>
      <c r="H55" s="20">
        <f t="shared" si="2"/>
        <v>7.3446999999999889</v>
      </c>
    </row>
    <row r="56" spans="1:8" ht="13" x14ac:dyDescent="0.15">
      <c r="A56" s="12">
        <v>45583</v>
      </c>
      <c r="B56" s="13" t="s">
        <v>6</v>
      </c>
      <c r="C56" s="14">
        <v>0.9274</v>
      </c>
      <c r="D56" s="16">
        <v>607</v>
      </c>
      <c r="E56" s="17">
        <f t="shared" si="4"/>
        <v>44.068200000000047</v>
      </c>
      <c r="F56" s="18">
        <f t="shared" si="1"/>
        <v>2423.7510000000025</v>
      </c>
      <c r="G56" s="19">
        <f t="shared" si="3"/>
        <v>30.350000000000023</v>
      </c>
      <c r="H56" s="20">
        <f t="shared" si="2"/>
        <v>-13.718200000000024</v>
      </c>
    </row>
    <row r="57" spans="1:8" ht="13" x14ac:dyDescent="0.15">
      <c r="A57" s="12">
        <v>45586</v>
      </c>
      <c r="B57" s="13" t="s">
        <v>2</v>
      </c>
      <c r="C57" s="14">
        <v>0.94730000000000003</v>
      </c>
      <c r="D57" s="16">
        <v>607</v>
      </c>
      <c r="E57" s="17">
        <f t="shared" si="4"/>
        <v>31.988899999999944</v>
      </c>
      <c r="F57" s="18">
        <f t="shared" si="1"/>
        <v>1759.389499999997</v>
      </c>
      <c r="G57" s="19">
        <f t="shared" si="3"/>
        <v>30.350000000000023</v>
      </c>
      <c r="H57" s="20">
        <f t="shared" si="2"/>
        <v>-1.6388999999999214</v>
      </c>
    </row>
    <row r="58" spans="1:8" ht="13" x14ac:dyDescent="0.15">
      <c r="A58" s="12">
        <v>45587</v>
      </c>
      <c r="B58" s="13" t="s">
        <v>3</v>
      </c>
      <c r="C58" s="14">
        <v>0.96209999999999996</v>
      </c>
      <c r="D58" s="39">
        <v>607</v>
      </c>
      <c r="E58" s="17">
        <f t="shared" si="4"/>
        <v>23.005300000000034</v>
      </c>
      <c r="F58" s="18">
        <f t="shared" si="1"/>
        <v>1265.2915000000019</v>
      </c>
      <c r="G58" s="19" t="e">
        <f>#REF!-(#REF!*G$3)</f>
        <v>#REF!</v>
      </c>
      <c r="H58" s="20" t="e">
        <f t="shared" si="2"/>
        <v>#REF!</v>
      </c>
    </row>
    <row r="59" spans="1:8" ht="13" x14ac:dyDescent="0.15">
      <c r="A59" s="12">
        <v>45588</v>
      </c>
      <c r="B59" s="13" t="s">
        <v>4</v>
      </c>
      <c r="C59" s="14">
        <v>0.96709999999999996</v>
      </c>
      <c r="D59" s="39">
        <v>607</v>
      </c>
      <c r="E59" s="17">
        <f>D58-(C59*D58)</f>
        <v>19.970300000000066</v>
      </c>
      <c r="F59" s="18">
        <f t="shared" si="1"/>
        <v>1098.3665000000037</v>
      </c>
      <c r="G59" s="19">
        <f>D58-(D58*G$3)</f>
        <v>30.350000000000023</v>
      </c>
      <c r="H59" s="20">
        <f t="shared" si="2"/>
        <v>10.379699999999957</v>
      </c>
    </row>
    <row r="60" spans="1:8" ht="13" x14ac:dyDescent="0.15">
      <c r="A60" s="12">
        <v>45589</v>
      </c>
      <c r="B60" s="13" t="s">
        <v>5</v>
      </c>
      <c r="C60" s="14">
        <v>0.94389999999999996</v>
      </c>
      <c r="D60" s="16">
        <v>606</v>
      </c>
      <c r="E60" s="17">
        <f t="shared" ref="E60:E91" si="5">D60-(C60*D60)</f>
        <v>33.996600000000058</v>
      </c>
      <c r="F60" s="18">
        <f t="shared" si="1"/>
        <v>1869.8130000000033</v>
      </c>
      <c r="G60" s="19">
        <f t="shared" ref="G60:G91" si="6">D60-(D60*G$3)</f>
        <v>30.300000000000068</v>
      </c>
      <c r="H60" s="20">
        <f t="shared" si="2"/>
        <v>-3.6965999999999894</v>
      </c>
    </row>
    <row r="61" spans="1:8" ht="13" x14ac:dyDescent="0.15">
      <c r="A61" s="12">
        <v>45590</v>
      </c>
      <c r="B61" s="13" t="s">
        <v>6</v>
      </c>
      <c r="C61" s="14">
        <v>0.91420000000000001</v>
      </c>
      <c r="D61" s="16">
        <v>606</v>
      </c>
      <c r="E61" s="17">
        <f t="shared" si="5"/>
        <v>51.994799999999941</v>
      </c>
      <c r="F61" s="18">
        <f t="shared" si="1"/>
        <v>2859.7139999999968</v>
      </c>
      <c r="G61" s="19">
        <f t="shared" si="6"/>
        <v>30.300000000000068</v>
      </c>
      <c r="H61" s="20">
        <f t="shared" si="2"/>
        <v>-21.694799999999873</v>
      </c>
    </row>
    <row r="62" spans="1:8" ht="13" x14ac:dyDescent="0.15">
      <c r="A62" s="12">
        <v>45593</v>
      </c>
      <c r="B62" s="13" t="s">
        <v>2</v>
      </c>
      <c r="C62" s="14">
        <v>0.94210000000000005</v>
      </c>
      <c r="D62" s="16">
        <v>605</v>
      </c>
      <c r="E62" s="17">
        <f t="shared" si="5"/>
        <v>35.029499999999985</v>
      </c>
      <c r="F62" s="18">
        <f t="shared" si="1"/>
        <v>1926.622499999999</v>
      </c>
      <c r="G62" s="19">
        <f t="shared" si="6"/>
        <v>30.25</v>
      </c>
      <c r="H62" s="20">
        <f t="shared" si="2"/>
        <v>-4.7794999999999845</v>
      </c>
    </row>
    <row r="63" spans="1:8" ht="13" x14ac:dyDescent="0.15">
      <c r="A63" s="12">
        <v>45594</v>
      </c>
      <c r="B63" s="13" t="s">
        <v>3</v>
      </c>
      <c r="C63" s="14">
        <v>0.96689999999999998</v>
      </c>
      <c r="D63" s="16">
        <v>604</v>
      </c>
      <c r="E63" s="17">
        <f t="shared" si="5"/>
        <v>19.992399999999975</v>
      </c>
      <c r="F63" s="18">
        <f t="shared" si="1"/>
        <v>1099.5819999999985</v>
      </c>
      <c r="G63" s="19">
        <f t="shared" si="6"/>
        <v>30.200000000000045</v>
      </c>
      <c r="H63" s="20">
        <f t="shared" si="2"/>
        <v>10.20760000000007</v>
      </c>
    </row>
    <row r="64" spans="1:8" ht="13" x14ac:dyDescent="0.15">
      <c r="A64" s="12">
        <v>45595</v>
      </c>
      <c r="B64" s="13" t="s">
        <v>4</v>
      </c>
      <c r="C64" s="14">
        <v>0.95540000000000003</v>
      </c>
      <c r="D64" s="16">
        <v>606</v>
      </c>
      <c r="E64" s="17">
        <f t="shared" si="5"/>
        <v>27.027600000000007</v>
      </c>
      <c r="F64" s="18">
        <f t="shared" si="1"/>
        <v>1486.5180000000005</v>
      </c>
      <c r="G64" s="19">
        <f t="shared" si="6"/>
        <v>30.300000000000068</v>
      </c>
      <c r="H64" s="20">
        <f t="shared" si="2"/>
        <v>3.2724000000000615</v>
      </c>
    </row>
    <row r="65" spans="1:8" ht="13" x14ac:dyDescent="0.15">
      <c r="A65" s="12">
        <v>45596</v>
      </c>
      <c r="B65" s="13" t="s">
        <v>5</v>
      </c>
      <c r="C65" s="14">
        <v>0.94550000000000001</v>
      </c>
      <c r="D65" s="16">
        <v>606</v>
      </c>
      <c r="E65" s="17">
        <f t="shared" si="5"/>
        <v>33.027000000000044</v>
      </c>
      <c r="F65" s="18">
        <f t="shared" si="1"/>
        <v>1816.4850000000024</v>
      </c>
      <c r="G65" s="19">
        <f t="shared" si="6"/>
        <v>30.300000000000068</v>
      </c>
      <c r="H65" s="20">
        <f t="shared" si="2"/>
        <v>-2.7269999999999754</v>
      </c>
    </row>
    <row r="66" spans="1:8" ht="13" x14ac:dyDescent="0.15">
      <c r="A66" s="12">
        <v>45597</v>
      </c>
      <c r="B66" s="13" t="s">
        <v>6</v>
      </c>
      <c r="C66" s="14">
        <v>0.90259999999999996</v>
      </c>
      <c r="D66" s="16">
        <v>606</v>
      </c>
      <c r="E66" s="17">
        <f t="shared" si="5"/>
        <v>59.024400000000014</v>
      </c>
      <c r="F66" s="18">
        <f t="shared" si="1"/>
        <v>3246.3420000000006</v>
      </c>
      <c r="G66" s="19">
        <f t="shared" si="6"/>
        <v>30.300000000000068</v>
      </c>
      <c r="H66" s="20">
        <f t="shared" si="2"/>
        <v>-28.724399999999946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5"/>
        <v>0</v>
      </c>
      <c r="F67" s="18">
        <f t="shared" si="1"/>
        <v>0</v>
      </c>
      <c r="G67" s="19">
        <f t="shared" si="6"/>
        <v>0</v>
      </c>
      <c r="H67" s="20">
        <f t="shared" si="2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5"/>
        <v>0</v>
      </c>
      <c r="F68" s="18">
        <f t="shared" si="1"/>
        <v>0</v>
      </c>
      <c r="G68" s="19">
        <f t="shared" si="6"/>
        <v>0</v>
      </c>
      <c r="H68" s="20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0.96360000000000001</v>
      </c>
      <c r="D69" s="16">
        <v>605</v>
      </c>
      <c r="E69" s="17">
        <f t="shared" si="5"/>
        <v>22.022000000000048</v>
      </c>
      <c r="F69" s="18">
        <f t="shared" si="1"/>
        <v>1211.2100000000028</v>
      </c>
      <c r="G69" s="19">
        <f t="shared" si="6"/>
        <v>30.25</v>
      </c>
      <c r="H69" s="20">
        <f t="shared" si="2"/>
        <v>8.2279999999999518</v>
      </c>
    </row>
    <row r="70" spans="1:8" ht="13" x14ac:dyDescent="0.15">
      <c r="A70" s="12">
        <v>45603</v>
      </c>
      <c r="B70" s="13" t="s">
        <v>5</v>
      </c>
      <c r="C70" s="14">
        <v>0.98340000000000005</v>
      </c>
      <c r="D70" s="16">
        <v>604</v>
      </c>
      <c r="E70" s="17">
        <f t="shared" si="5"/>
        <v>10.026399999999967</v>
      </c>
      <c r="F70" s="18">
        <f t="shared" si="1"/>
        <v>551.45199999999818</v>
      </c>
      <c r="G70" s="19">
        <f t="shared" si="6"/>
        <v>30.200000000000045</v>
      </c>
      <c r="H70" s="20">
        <f t="shared" si="2"/>
        <v>20.173600000000079</v>
      </c>
    </row>
    <row r="71" spans="1:8" ht="13" x14ac:dyDescent="0.15">
      <c r="A71" s="12">
        <v>45604</v>
      </c>
      <c r="B71" s="13" t="s">
        <v>6</v>
      </c>
      <c r="C71" s="14">
        <v>0.94369999999999998</v>
      </c>
      <c r="D71" s="16">
        <v>604</v>
      </c>
      <c r="E71" s="17">
        <f t="shared" si="5"/>
        <v>34.005200000000059</v>
      </c>
      <c r="F71" s="18">
        <f t="shared" si="1"/>
        <v>1870.2860000000032</v>
      </c>
      <c r="G71" s="19">
        <f t="shared" si="6"/>
        <v>30.200000000000045</v>
      </c>
      <c r="H71" s="20">
        <f t="shared" si="2"/>
        <v>-3.8052000000000135</v>
      </c>
    </row>
    <row r="72" spans="1:8" ht="13" x14ac:dyDescent="0.15">
      <c r="A72" s="12">
        <v>45607</v>
      </c>
      <c r="B72" s="13" t="s">
        <v>2</v>
      </c>
      <c r="C72" s="14">
        <v>0.94369999999999998</v>
      </c>
      <c r="D72" s="16">
        <v>604</v>
      </c>
      <c r="E72" s="17">
        <f t="shared" si="5"/>
        <v>34.005200000000059</v>
      </c>
      <c r="F72" s="18">
        <f t="shared" si="1"/>
        <v>1870.2860000000032</v>
      </c>
      <c r="G72" s="19">
        <f t="shared" si="6"/>
        <v>30.200000000000045</v>
      </c>
      <c r="H72" s="20">
        <f t="shared" si="2"/>
        <v>-3.8052000000000135</v>
      </c>
    </row>
    <row r="73" spans="1:8" ht="13" x14ac:dyDescent="0.15">
      <c r="A73" s="12">
        <v>45608</v>
      </c>
      <c r="B73" s="13" t="s">
        <v>3</v>
      </c>
      <c r="C73" s="14">
        <v>0.96030000000000004</v>
      </c>
      <c r="D73" s="16">
        <v>604</v>
      </c>
      <c r="E73" s="17">
        <f t="shared" si="5"/>
        <v>23.978799999999978</v>
      </c>
      <c r="F73" s="18">
        <f t="shared" si="1"/>
        <v>1318.8339999999989</v>
      </c>
      <c r="G73" s="19">
        <f t="shared" si="6"/>
        <v>30.200000000000045</v>
      </c>
      <c r="H73" s="20">
        <f t="shared" si="2"/>
        <v>6.2212000000000671</v>
      </c>
    </row>
    <row r="74" spans="1:8" ht="13" x14ac:dyDescent="0.15">
      <c r="A74" s="12">
        <v>45609</v>
      </c>
      <c r="B74" s="13" t="s">
        <v>4</v>
      </c>
      <c r="C74" s="14">
        <v>0.97350000000000003</v>
      </c>
      <c r="D74" s="16">
        <v>604</v>
      </c>
      <c r="E74" s="17">
        <f t="shared" si="5"/>
        <v>16.005999999999972</v>
      </c>
      <c r="F74" s="18">
        <f t="shared" si="1"/>
        <v>880.32999999999845</v>
      </c>
      <c r="G74" s="19">
        <f t="shared" si="6"/>
        <v>30.200000000000045</v>
      </c>
      <c r="H74" s="20">
        <f t="shared" si="2"/>
        <v>14.194000000000074</v>
      </c>
    </row>
    <row r="75" spans="1:8" ht="13" x14ac:dyDescent="0.15">
      <c r="A75" s="12">
        <v>45610</v>
      </c>
      <c r="B75" s="13" t="s">
        <v>5</v>
      </c>
      <c r="C75" s="14">
        <v>0.96689999999999998</v>
      </c>
      <c r="D75" s="16">
        <v>604</v>
      </c>
      <c r="E75" s="17">
        <f t="shared" si="5"/>
        <v>19.992399999999975</v>
      </c>
      <c r="F75" s="18">
        <f t="shared" si="1"/>
        <v>1099.5819999999985</v>
      </c>
      <c r="G75" s="19">
        <f t="shared" si="6"/>
        <v>30.200000000000045</v>
      </c>
      <c r="H75" s="20">
        <f t="shared" si="2"/>
        <v>10.20760000000007</v>
      </c>
    </row>
    <row r="76" spans="1:8" ht="13" x14ac:dyDescent="0.15">
      <c r="A76" s="12">
        <v>45611</v>
      </c>
      <c r="B76" s="13" t="s">
        <v>6</v>
      </c>
      <c r="C76" s="14">
        <v>0.93540000000000001</v>
      </c>
      <c r="D76" s="16">
        <v>604</v>
      </c>
      <c r="E76" s="17">
        <f t="shared" si="5"/>
        <v>39.018400000000042</v>
      </c>
      <c r="F76" s="18">
        <f t="shared" si="1"/>
        <v>2146.0120000000024</v>
      </c>
      <c r="G76" s="19">
        <f t="shared" si="6"/>
        <v>30.200000000000045</v>
      </c>
      <c r="H76" s="20">
        <f t="shared" si="2"/>
        <v>-8.8183999999999969</v>
      </c>
    </row>
    <row r="77" spans="1:8" ht="13" x14ac:dyDescent="0.15">
      <c r="A77" s="12">
        <v>45614</v>
      </c>
      <c r="B77" s="13" t="s">
        <v>2</v>
      </c>
      <c r="C77" s="14">
        <v>0.92369999999999997</v>
      </c>
      <c r="D77" s="16">
        <v>604</v>
      </c>
      <c r="E77" s="17">
        <f t="shared" si="5"/>
        <v>46.085199999999986</v>
      </c>
      <c r="F77" s="18">
        <f t="shared" si="1"/>
        <v>2534.6859999999992</v>
      </c>
      <c r="G77" s="19">
        <f t="shared" si="6"/>
        <v>30.200000000000045</v>
      </c>
      <c r="H77" s="20">
        <f t="shared" si="2"/>
        <v>-15.885199999999941</v>
      </c>
    </row>
    <row r="78" spans="1:8" ht="13" x14ac:dyDescent="0.15">
      <c r="A78" s="12">
        <v>45615</v>
      </c>
      <c r="B78" s="13" t="s">
        <v>3</v>
      </c>
      <c r="C78" s="14">
        <v>0.95860000000000001</v>
      </c>
      <c r="D78" s="16">
        <v>604</v>
      </c>
      <c r="E78" s="17">
        <f t="shared" si="5"/>
        <v>25.005599999999959</v>
      </c>
      <c r="F78" s="18">
        <f t="shared" si="1"/>
        <v>1375.3079999999977</v>
      </c>
      <c r="G78" s="19">
        <f t="shared" si="6"/>
        <v>30.200000000000045</v>
      </c>
      <c r="H78" s="20">
        <f t="shared" si="2"/>
        <v>5.1944000000000869</v>
      </c>
    </row>
    <row r="79" spans="1:8" ht="13" x14ac:dyDescent="0.15">
      <c r="A79" s="12">
        <v>45616</v>
      </c>
      <c r="B79" s="13" t="s">
        <v>4</v>
      </c>
      <c r="C79" s="14">
        <v>0.94869999999999999</v>
      </c>
      <c r="D79" s="16">
        <v>604</v>
      </c>
      <c r="E79" s="17">
        <f t="shared" si="5"/>
        <v>30.985199999999963</v>
      </c>
      <c r="F79" s="18">
        <f t="shared" si="1"/>
        <v>1704.1859999999979</v>
      </c>
      <c r="G79" s="19">
        <f t="shared" si="6"/>
        <v>30.200000000000045</v>
      </c>
      <c r="H79" s="20">
        <f t="shared" si="2"/>
        <v>-0.78519999999991796</v>
      </c>
    </row>
    <row r="80" spans="1:8" ht="13" x14ac:dyDescent="0.15">
      <c r="A80" s="12">
        <v>45617</v>
      </c>
      <c r="B80" s="13" t="s">
        <v>5</v>
      </c>
      <c r="C80" s="14">
        <v>0.95030000000000003</v>
      </c>
      <c r="D80" s="16">
        <v>604</v>
      </c>
      <c r="E80" s="17">
        <f t="shared" si="5"/>
        <v>30.018799999999942</v>
      </c>
      <c r="F80" s="18">
        <f t="shared" si="1"/>
        <v>1651.0339999999969</v>
      </c>
      <c r="G80" s="19">
        <f t="shared" si="6"/>
        <v>30.200000000000045</v>
      </c>
      <c r="H80" s="20">
        <f t="shared" si="2"/>
        <v>0.1812000000001035</v>
      </c>
    </row>
    <row r="81" spans="1:8" ht="13" x14ac:dyDescent="0.15">
      <c r="A81" s="12">
        <v>45618</v>
      </c>
      <c r="B81" s="13" t="s">
        <v>6</v>
      </c>
      <c r="C81" s="14">
        <v>0.90069999999999995</v>
      </c>
      <c r="D81" s="16">
        <v>604</v>
      </c>
      <c r="E81" s="17">
        <f t="shared" si="5"/>
        <v>59.977200000000039</v>
      </c>
      <c r="F81" s="18">
        <f t="shared" si="1"/>
        <v>3298.7460000000019</v>
      </c>
      <c r="G81" s="19">
        <f t="shared" si="6"/>
        <v>30.200000000000045</v>
      </c>
      <c r="H81" s="20">
        <f t="shared" si="2"/>
        <v>-29.777199999999993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6"/>
        <v>0</v>
      </c>
      <c r="H82" s="20">
        <f t="shared" si="2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6"/>
        <v>0</v>
      </c>
      <c r="H83" s="20">
        <f t="shared" si="2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6"/>
        <v>0</v>
      </c>
      <c r="H84" s="20">
        <f t="shared" si="2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6"/>
        <v>0</v>
      </c>
      <c r="H85" s="20">
        <f t="shared" si="2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6"/>
        <v>0</v>
      </c>
      <c r="H86" s="20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0.93200000000000005</v>
      </c>
      <c r="D87" s="16">
        <v>603</v>
      </c>
      <c r="E87" s="17">
        <f t="shared" si="5"/>
        <v>41.004000000000019</v>
      </c>
      <c r="F87" s="18">
        <f t="shared" si="1"/>
        <v>2255.2200000000012</v>
      </c>
      <c r="G87" s="19">
        <f t="shared" si="6"/>
        <v>30.149999999999977</v>
      </c>
      <c r="H87" s="20">
        <f t="shared" si="2"/>
        <v>-10.854000000000042</v>
      </c>
    </row>
    <row r="88" spans="1:8" ht="13" x14ac:dyDescent="0.15">
      <c r="A88" s="12">
        <v>45629</v>
      </c>
      <c r="B88" s="13" t="s">
        <v>3</v>
      </c>
      <c r="C88" s="14">
        <v>0.96530000000000005</v>
      </c>
      <c r="D88" s="16">
        <v>605</v>
      </c>
      <c r="E88" s="17">
        <f t="shared" si="5"/>
        <v>20.993499999999926</v>
      </c>
      <c r="F88" s="18">
        <f t="shared" si="1"/>
        <v>1154.6424999999958</v>
      </c>
      <c r="G88" s="19">
        <f t="shared" si="6"/>
        <v>30.25</v>
      </c>
      <c r="H88" s="20">
        <f t="shared" si="2"/>
        <v>9.2565000000000737</v>
      </c>
    </row>
    <row r="89" spans="1:8" ht="13" x14ac:dyDescent="0.15">
      <c r="A89" s="12">
        <v>45630</v>
      </c>
      <c r="B89" s="13" t="s">
        <v>4</v>
      </c>
      <c r="C89" s="14">
        <v>0.93879999999999997</v>
      </c>
      <c r="D89" s="16">
        <v>605</v>
      </c>
      <c r="E89" s="17">
        <f t="shared" si="5"/>
        <v>37.026000000000067</v>
      </c>
      <c r="F89" s="18">
        <f t="shared" si="1"/>
        <v>2036.4300000000037</v>
      </c>
      <c r="G89" s="19">
        <f t="shared" si="6"/>
        <v>30.25</v>
      </c>
      <c r="H89" s="20">
        <f t="shared" si="2"/>
        <v>-6.7760000000000673</v>
      </c>
    </row>
    <row r="90" spans="1:8" ht="13" x14ac:dyDescent="0.15">
      <c r="A90" s="12">
        <v>45631</v>
      </c>
      <c r="B90" s="13" t="s">
        <v>5</v>
      </c>
      <c r="C90" s="14">
        <v>0.96030000000000004</v>
      </c>
      <c r="D90" s="16">
        <v>605</v>
      </c>
      <c r="E90" s="17">
        <f t="shared" si="5"/>
        <v>24.018500000000017</v>
      </c>
      <c r="F90" s="18">
        <f t="shared" si="1"/>
        <v>1321.0175000000008</v>
      </c>
      <c r="G90" s="19">
        <f t="shared" si="6"/>
        <v>30.25</v>
      </c>
      <c r="H90" s="20">
        <f t="shared" si="2"/>
        <v>6.2314999999999827</v>
      </c>
    </row>
    <row r="91" spans="1:8" ht="13" x14ac:dyDescent="0.15">
      <c r="A91" s="12">
        <v>45632</v>
      </c>
      <c r="B91" s="13" t="s">
        <v>6</v>
      </c>
      <c r="C91" s="14">
        <v>0.9405</v>
      </c>
      <c r="D91" s="16">
        <v>605</v>
      </c>
      <c r="E91" s="17">
        <f t="shared" si="5"/>
        <v>35.997499999999945</v>
      </c>
      <c r="F91" s="18">
        <f t="shared" si="1"/>
        <v>1979.862499999997</v>
      </c>
      <c r="G91" s="19">
        <f t="shared" si="6"/>
        <v>30.25</v>
      </c>
      <c r="H91" s="20">
        <f t="shared" si="2"/>
        <v>-5.7474999999999454</v>
      </c>
    </row>
    <row r="92" spans="1:8" ht="13" x14ac:dyDescent="0.15">
      <c r="A92" s="12">
        <v>45635</v>
      </c>
      <c r="B92" s="13" t="s">
        <v>2</v>
      </c>
      <c r="C92" s="14">
        <v>0.95699999999999996</v>
      </c>
      <c r="D92" s="16">
        <v>605</v>
      </c>
      <c r="E92" s="17">
        <f>D93-(C92*D93)</f>
        <v>26.014999999999986</v>
      </c>
      <c r="F92" s="18">
        <f t="shared" si="1"/>
        <v>1430.8249999999994</v>
      </c>
      <c r="G92" s="19">
        <f t="shared" ref="G92:G93" si="7">D93-(D93*G$3)</f>
        <v>30.25</v>
      </c>
      <c r="H92" s="20">
        <f t="shared" si="2"/>
        <v>4.2350000000000136</v>
      </c>
    </row>
    <row r="93" spans="1:8" ht="13" x14ac:dyDescent="0.15">
      <c r="A93" s="12">
        <v>45636</v>
      </c>
      <c r="B93" s="13" t="s">
        <v>3</v>
      </c>
      <c r="C93" s="14">
        <v>0.96199999999999997</v>
      </c>
      <c r="D93" s="16">
        <v>605</v>
      </c>
      <c r="E93" s="17">
        <f>D94-(C93*D94)</f>
        <v>22.990000000000009</v>
      </c>
      <c r="F93" s="18">
        <f t="shared" si="1"/>
        <v>1264.4500000000005</v>
      </c>
      <c r="G93" s="19">
        <f t="shared" si="7"/>
        <v>30.25</v>
      </c>
      <c r="H93" s="20">
        <f t="shared" si="2"/>
        <v>7.2599999999999909</v>
      </c>
    </row>
    <row r="94" spans="1:8" ht="13" x14ac:dyDescent="0.15">
      <c r="A94" s="12">
        <v>45637</v>
      </c>
      <c r="B94" s="13" t="s">
        <v>4</v>
      </c>
      <c r="C94" s="14">
        <v>0.96030000000000004</v>
      </c>
      <c r="D94" s="16">
        <v>605</v>
      </c>
      <c r="E94" s="17">
        <f>D95-(C94*D95)</f>
        <v>24.13760000000002</v>
      </c>
      <c r="F94" s="18">
        <f t="shared" si="1"/>
        <v>1327.5680000000011</v>
      </c>
      <c r="G94" s="19">
        <f t="shared" ref="G94:G158" si="8">D94-(D94*G$3)</f>
        <v>30.25</v>
      </c>
      <c r="H94" s="20">
        <f t="shared" si="2"/>
        <v>6.1123999999999796</v>
      </c>
    </row>
    <row r="95" spans="1:8" ht="13" x14ac:dyDescent="0.15">
      <c r="A95" s="12">
        <v>45638</v>
      </c>
      <c r="B95" s="13" t="s">
        <v>5</v>
      </c>
      <c r="C95" s="14">
        <v>0.94740000000000002</v>
      </c>
      <c r="D95" s="16">
        <v>608</v>
      </c>
      <c r="E95" s="17">
        <f>D96-(C95*D96)</f>
        <v>31.980800000000045</v>
      </c>
      <c r="F95" s="18">
        <f t="shared" si="1"/>
        <v>1758.9440000000025</v>
      </c>
      <c r="G95" s="19">
        <f t="shared" si="8"/>
        <v>30.399999999999977</v>
      </c>
      <c r="H95" s="20">
        <f t="shared" si="2"/>
        <v>-1.5808000000000675</v>
      </c>
    </row>
    <row r="96" spans="1:8" ht="13" x14ac:dyDescent="0.15">
      <c r="A96" s="12">
        <v>45639</v>
      </c>
      <c r="B96" s="13" t="s">
        <v>6</v>
      </c>
      <c r="C96" s="14">
        <v>0.92269999999999996</v>
      </c>
      <c r="D96" s="16">
        <v>608</v>
      </c>
      <c r="E96" s="17">
        <f>D97-(C96*D97)</f>
        <v>46.998400000000061</v>
      </c>
      <c r="F96" s="18">
        <f t="shared" si="1"/>
        <v>2584.9120000000034</v>
      </c>
      <c r="G96" s="19">
        <f t="shared" si="8"/>
        <v>30.399999999999977</v>
      </c>
      <c r="H96" s="20">
        <f t="shared" si="2"/>
        <v>-16.598400000000083</v>
      </c>
    </row>
    <row r="97" spans="1:8" ht="13" x14ac:dyDescent="0.15">
      <c r="A97" s="12">
        <v>45642</v>
      </c>
      <c r="B97" s="13" t="s">
        <v>2</v>
      </c>
      <c r="C97" s="14">
        <v>0.93589999999999995</v>
      </c>
      <c r="D97" s="16">
        <v>608</v>
      </c>
      <c r="E97" s="17">
        <f t="shared" ref="E97:E128" si="9">D97-(C97*D97)</f>
        <v>38.972800000000007</v>
      </c>
      <c r="F97" s="18">
        <f t="shared" si="1"/>
        <v>2143.5040000000004</v>
      </c>
      <c r="G97" s="19">
        <f t="shared" si="8"/>
        <v>30.399999999999977</v>
      </c>
      <c r="H97" s="20">
        <f t="shared" si="2"/>
        <v>-8.5728000000000293</v>
      </c>
    </row>
    <row r="98" spans="1:8" ht="13" x14ac:dyDescent="0.15">
      <c r="A98" s="12">
        <v>45643</v>
      </c>
      <c r="B98" s="13" t="s">
        <v>3</v>
      </c>
      <c r="C98" s="14">
        <v>0.96220000000000006</v>
      </c>
      <c r="D98" s="16">
        <v>608</v>
      </c>
      <c r="E98" s="17">
        <f t="shared" si="9"/>
        <v>22.982399999999984</v>
      </c>
      <c r="F98" s="18">
        <f t="shared" si="1"/>
        <v>1264.0319999999992</v>
      </c>
      <c r="G98" s="19">
        <f t="shared" si="8"/>
        <v>30.399999999999977</v>
      </c>
      <c r="H98" s="20">
        <f t="shared" si="2"/>
        <v>7.4175999999999931</v>
      </c>
    </row>
    <row r="99" spans="1:8" ht="13" x14ac:dyDescent="0.15">
      <c r="A99" s="12">
        <v>45644</v>
      </c>
      <c r="B99" s="13" t="s">
        <v>4</v>
      </c>
      <c r="C99" s="14">
        <v>0.96220000000000006</v>
      </c>
      <c r="D99" s="16">
        <v>608</v>
      </c>
      <c r="E99" s="17">
        <f t="shared" si="9"/>
        <v>22.982399999999984</v>
      </c>
      <c r="F99" s="18">
        <f t="shared" si="1"/>
        <v>1264.0319999999992</v>
      </c>
      <c r="G99" s="19">
        <f t="shared" si="8"/>
        <v>30.399999999999977</v>
      </c>
      <c r="H99" s="20">
        <f t="shared" si="2"/>
        <v>7.4175999999999931</v>
      </c>
    </row>
    <row r="100" spans="1:8" ht="13" x14ac:dyDescent="0.15">
      <c r="A100" s="12">
        <v>45645</v>
      </c>
      <c r="B100" s="13" t="s">
        <v>5</v>
      </c>
      <c r="C100" s="14">
        <v>0.92930000000000001</v>
      </c>
      <c r="D100" s="16">
        <v>608</v>
      </c>
      <c r="E100" s="17">
        <f t="shared" si="9"/>
        <v>42.985599999999977</v>
      </c>
      <c r="F100" s="18">
        <f t="shared" si="1"/>
        <v>2364.2079999999987</v>
      </c>
      <c r="G100" s="19">
        <f t="shared" si="8"/>
        <v>30.399999999999977</v>
      </c>
      <c r="H100" s="20">
        <f t="shared" si="2"/>
        <v>-12.585599999999999</v>
      </c>
    </row>
    <row r="101" spans="1:8" ht="13" x14ac:dyDescent="0.15">
      <c r="A101" s="12">
        <v>45646</v>
      </c>
      <c r="B101" s="13" t="s">
        <v>6</v>
      </c>
      <c r="C101" s="14">
        <v>0.90629999999999999</v>
      </c>
      <c r="D101" s="16">
        <v>608</v>
      </c>
      <c r="E101" s="17">
        <f t="shared" si="9"/>
        <v>56.969600000000014</v>
      </c>
      <c r="F101" s="18">
        <f t="shared" si="1"/>
        <v>3133.3280000000009</v>
      </c>
      <c r="G101" s="19">
        <f t="shared" si="8"/>
        <v>30.399999999999977</v>
      </c>
      <c r="H101" s="20">
        <f t="shared" si="2"/>
        <v>-26.569600000000037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9"/>
        <v>0</v>
      </c>
      <c r="F102" s="18">
        <f t="shared" si="1"/>
        <v>0</v>
      </c>
      <c r="G102" s="19">
        <f t="shared" si="8"/>
        <v>0</v>
      </c>
      <c r="H102" s="20">
        <f t="shared" si="2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si="9"/>
        <v>0</v>
      </c>
      <c r="F103" s="18">
        <f t="shared" si="1"/>
        <v>0</v>
      </c>
      <c r="G103" s="19">
        <f t="shared" si="8"/>
        <v>0</v>
      </c>
      <c r="H103" s="20">
        <f t="shared" si="2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9"/>
        <v>0</v>
      </c>
      <c r="F104" s="18">
        <f t="shared" si="1"/>
        <v>0</v>
      </c>
      <c r="G104" s="19">
        <f t="shared" si="8"/>
        <v>0</v>
      </c>
      <c r="H104" s="20">
        <f t="shared" si="2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9"/>
        <v>0</v>
      </c>
      <c r="F105" s="18">
        <f t="shared" si="1"/>
        <v>0</v>
      </c>
      <c r="G105" s="19">
        <f t="shared" si="8"/>
        <v>0</v>
      </c>
      <c r="H105" s="20">
        <f t="shared" si="2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9"/>
        <v>0</v>
      </c>
      <c r="F106" s="18">
        <f t="shared" si="1"/>
        <v>0</v>
      </c>
      <c r="G106" s="19">
        <f t="shared" si="8"/>
        <v>0</v>
      </c>
      <c r="H106" s="20">
        <f t="shared" si="2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9"/>
        <v>0</v>
      </c>
      <c r="F107" s="18">
        <f t="shared" si="1"/>
        <v>0</v>
      </c>
      <c r="G107" s="19">
        <f t="shared" si="8"/>
        <v>0</v>
      </c>
      <c r="H107" s="20">
        <f t="shared" si="2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9"/>
        <v>0</v>
      </c>
      <c r="F108" s="18">
        <f t="shared" si="1"/>
        <v>0</v>
      </c>
      <c r="G108" s="19">
        <f t="shared" si="8"/>
        <v>0</v>
      </c>
      <c r="H108" s="20">
        <f t="shared" si="2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9"/>
        <v>0</v>
      </c>
      <c r="F109" s="18">
        <f t="shared" si="1"/>
        <v>0</v>
      </c>
      <c r="G109" s="19">
        <f t="shared" si="8"/>
        <v>0</v>
      </c>
      <c r="H109" s="20">
        <f t="shared" si="2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9"/>
        <v>0</v>
      </c>
      <c r="F110" s="18">
        <f t="shared" si="1"/>
        <v>0</v>
      </c>
      <c r="G110" s="19">
        <f t="shared" si="8"/>
        <v>0</v>
      </c>
      <c r="H110" s="20">
        <f t="shared" si="2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9"/>
        <v>0</v>
      </c>
      <c r="F111" s="18">
        <f t="shared" si="1"/>
        <v>0</v>
      </c>
      <c r="G111" s="19">
        <f t="shared" si="8"/>
        <v>0</v>
      </c>
      <c r="H111" s="20">
        <f t="shared" si="2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9"/>
        <v>0</v>
      </c>
      <c r="F112" s="18">
        <f t="shared" si="1"/>
        <v>0</v>
      </c>
      <c r="G112" s="19">
        <f t="shared" si="8"/>
        <v>0</v>
      </c>
      <c r="H112" s="20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9"/>
        <v>0</v>
      </c>
      <c r="F113" s="18">
        <f t="shared" si="1"/>
        <v>0</v>
      </c>
      <c r="G113" s="19">
        <f t="shared" si="8"/>
        <v>0</v>
      </c>
      <c r="H113" s="20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0.89900000000000002</v>
      </c>
      <c r="D114" s="16">
        <v>604</v>
      </c>
      <c r="E114" s="17">
        <f t="shared" si="9"/>
        <v>61.004000000000019</v>
      </c>
      <c r="F114" s="18">
        <f t="shared" si="1"/>
        <v>3355.2200000000012</v>
      </c>
      <c r="G114" s="19">
        <f t="shared" si="8"/>
        <v>30.200000000000045</v>
      </c>
      <c r="H114" s="20">
        <f t="shared" si="2"/>
        <v>-30.803999999999974</v>
      </c>
    </row>
    <row r="115" spans="1:8" ht="13" x14ac:dyDescent="0.15">
      <c r="A115" s="12">
        <v>45666</v>
      </c>
      <c r="B115" s="13" t="s">
        <v>5</v>
      </c>
      <c r="C115" s="14">
        <v>0.89600000000000002</v>
      </c>
      <c r="D115" s="16">
        <v>606</v>
      </c>
      <c r="E115" s="17">
        <f t="shared" si="9"/>
        <v>63.024000000000001</v>
      </c>
      <c r="F115" s="18">
        <f t="shared" si="1"/>
        <v>3466.32</v>
      </c>
      <c r="G115" s="19">
        <f t="shared" si="8"/>
        <v>30.300000000000068</v>
      </c>
      <c r="H115" s="20">
        <f t="shared" si="2"/>
        <v>-32.723999999999933</v>
      </c>
    </row>
    <row r="116" spans="1:8" ht="13" x14ac:dyDescent="0.15">
      <c r="A116" s="12">
        <v>45667</v>
      </c>
      <c r="B116" s="13" t="s">
        <v>6</v>
      </c>
      <c r="C116" s="14">
        <v>0.86370000000000002</v>
      </c>
      <c r="D116" s="16">
        <v>609</v>
      </c>
      <c r="E116" s="17">
        <f t="shared" si="9"/>
        <v>83.006700000000023</v>
      </c>
      <c r="F116" s="18">
        <f t="shared" si="1"/>
        <v>4565.3685000000014</v>
      </c>
      <c r="G116" s="19">
        <f t="shared" si="8"/>
        <v>30.450000000000045</v>
      </c>
      <c r="H116" s="20">
        <f t="shared" si="2"/>
        <v>-52.556699999999978</v>
      </c>
    </row>
    <row r="117" spans="1:8" ht="13" x14ac:dyDescent="0.15">
      <c r="A117" s="12">
        <v>45670</v>
      </c>
      <c r="B117" s="13" t="s">
        <v>2</v>
      </c>
      <c r="C117" s="14">
        <v>0.95240000000000002</v>
      </c>
      <c r="D117" s="16">
        <v>611</v>
      </c>
      <c r="E117" s="17">
        <f t="shared" si="9"/>
        <v>29.083599999999933</v>
      </c>
      <c r="F117" s="18">
        <f t="shared" si="1"/>
        <v>1599.5979999999963</v>
      </c>
      <c r="G117" s="19">
        <f t="shared" si="8"/>
        <v>30.550000000000068</v>
      </c>
      <c r="H117" s="20">
        <f t="shared" si="2"/>
        <v>1.4664000000001352</v>
      </c>
    </row>
    <row r="118" spans="1:8" ht="13" x14ac:dyDescent="0.15">
      <c r="A118" s="12">
        <v>45671</v>
      </c>
      <c r="B118" s="13" t="s">
        <v>3</v>
      </c>
      <c r="C118" s="14">
        <v>0.9607</v>
      </c>
      <c r="D118" s="16">
        <v>614</v>
      </c>
      <c r="E118" s="17">
        <f t="shared" si="9"/>
        <v>24.130199999999945</v>
      </c>
      <c r="F118" s="18">
        <f t="shared" si="1"/>
        <v>1327.1609999999969</v>
      </c>
      <c r="G118" s="19">
        <f t="shared" si="8"/>
        <v>30.700000000000045</v>
      </c>
      <c r="H118" s="20">
        <f t="shared" si="2"/>
        <v>6.5698000000001002</v>
      </c>
    </row>
    <row r="119" spans="1:8" ht="13" x14ac:dyDescent="0.15">
      <c r="A119" s="12">
        <v>45672</v>
      </c>
      <c r="B119" s="13" t="s">
        <v>4</v>
      </c>
      <c r="C119" s="14">
        <v>0.96560000000000001</v>
      </c>
      <c r="D119" s="16">
        <v>610</v>
      </c>
      <c r="E119" s="17">
        <f t="shared" si="9"/>
        <v>20.984000000000037</v>
      </c>
      <c r="F119" s="18">
        <f t="shared" si="1"/>
        <v>1154.1200000000022</v>
      </c>
      <c r="G119" s="19">
        <f t="shared" si="8"/>
        <v>30.5</v>
      </c>
      <c r="H119" s="20">
        <f t="shared" si="2"/>
        <v>9.5159999999999627</v>
      </c>
    </row>
    <row r="120" spans="1:8" ht="13" x14ac:dyDescent="0.15">
      <c r="A120" s="12">
        <v>45673</v>
      </c>
      <c r="B120" s="13" t="s">
        <v>5</v>
      </c>
      <c r="C120" s="14">
        <v>0.95079999999999998</v>
      </c>
      <c r="D120" s="16">
        <v>610</v>
      </c>
      <c r="E120" s="17">
        <f t="shared" si="9"/>
        <v>30.012000000000057</v>
      </c>
      <c r="F120" s="18">
        <f t="shared" si="1"/>
        <v>1650.660000000003</v>
      </c>
      <c r="G120" s="19">
        <f t="shared" si="8"/>
        <v>30.5</v>
      </c>
      <c r="H120" s="20">
        <f t="shared" si="2"/>
        <v>0.4879999999999427</v>
      </c>
    </row>
    <row r="121" spans="1:8" ht="13" x14ac:dyDescent="0.15">
      <c r="A121" s="12">
        <v>45674</v>
      </c>
      <c r="B121" s="13" t="s">
        <v>6</v>
      </c>
      <c r="C121" s="14">
        <v>0.91800000000000004</v>
      </c>
      <c r="D121" s="16">
        <v>610</v>
      </c>
      <c r="E121" s="17">
        <f t="shared" si="9"/>
        <v>50.019999999999982</v>
      </c>
      <c r="F121" s="18">
        <f t="shared" si="1"/>
        <v>2751.099999999999</v>
      </c>
      <c r="G121" s="19">
        <f t="shared" si="8"/>
        <v>30.5</v>
      </c>
      <c r="H121" s="20">
        <f t="shared" si="2"/>
        <v>-19.519999999999982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9"/>
        <v>0</v>
      </c>
      <c r="F122" s="18">
        <f t="shared" si="1"/>
        <v>0</v>
      </c>
      <c r="G122" s="19">
        <f t="shared" si="8"/>
        <v>0</v>
      </c>
      <c r="H122" s="20">
        <f t="shared" si="2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9"/>
        <v>0</v>
      </c>
      <c r="F123" s="18">
        <f t="shared" si="1"/>
        <v>0</v>
      </c>
      <c r="G123" s="19">
        <f t="shared" si="8"/>
        <v>0</v>
      </c>
      <c r="H123" s="20">
        <f t="shared" si="2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9"/>
        <v>0</v>
      </c>
      <c r="F124" s="18">
        <f t="shared" si="1"/>
        <v>0</v>
      </c>
      <c r="G124" s="19">
        <f t="shared" si="8"/>
        <v>0</v>
      </c>
      <c r="H124" s="20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0.85709999999999997</v>
      </c>
      <c r="D125" s="16">
        <v>609</v>
      </c>
      <c r="E125" s="17">
        <f t="shared" si="9"/>
        <v>87.026100000000042</v>
      </c>
      <c r="F125" s="18">
        <f t="shared" si="1"/>
        <v>4786.4355000000023</v>
      </c>
      <c r="G125" s="19">
        <f t="shared" si="8"/>
        <v>30.450000000000045</v>
      </c>
      <c r="H125" s="20">
        <f t="shared" si="2"/>
        <v>-56.576099999999997</v>
      </c>
    </row>
    <row r="126" spans="1:8" ht="13" x14ac:dyDescent="0.15">
      <c r="A126" s="12">
        <v>45681</v>
      </c>
      <c r="B126" s="13" t="s">
        <v>6</v>
      </c>
      <c r="C126" s="14">
        <v>0.90800000000000003</v>
      </c>
      <c r="D126" s="16">
        <v>609</v>
      </c>
      <c r="E126" s="17">
        <f t="shared" si="9"/>
        <v>56.02800000000002</v>
      </c>
      <c r="F126" s="18">
        <f t="shared" si="1"/>
        <v>3081.5400000000009</v>
      </c>
      <c r="G126" s="19">
        <f t="shared" si="8"/>
        <v>30.450000000000045</v>
      </c>
      <c r="H126" s="20">
        <f t="shared" si="2"/>
        <v>-25.577999999999975</v>
      </c>
    </row>
    <row r="127" spans="1:8" ht="13" x14ac:dyDescent="0.15">
      <c r="A127" s="12">
        <v>45684</v>
      </c>
      <c r="B127" s="13" t="s">
        <v>2</v>
      </c>
      <c r="C127" s="14">
        <v>0.93400000000000005</v>
      </c>
      <c r="D127" s="16">
        <v>606</v>
      </c>
      <c r="E127" s="17">
        <f t="shared" si="9"/>
        <v>39.995999999999981</v>
      </c>
      <c r="F127" s="18">
        <f t="shared" si="1"/>
        <v>2199.7799999999988</v>
      </c>
      <c r="G127" s="19">
        <f t="shared" si="8"/>
        <v>30.300000000000068</v>
      </c>
      <c r="H127" s="20">
        <f t="shared" si="2"/>
        <v>-9.6959999999999127</v>
      </c>
    </row>
    <row r="128" spans="1:8" ht="13" x14ac:dyDescent="0.15">
      <c r="A128" s="12">
        <v>45685</v>
      </c>
      <c r="B128" s="13" t="s">
        <v>3</v>
      </c>
      <c r="C128" s="14">
        <v>0.93899999999999995</v>
      </c>
      <c r="D128" s="16">
        <v>607</v>
      </c>
      <c r="E128" s="17">
        <f t="shared" si="9"/>
        <v>37.027000000000044</v>
      </c>
      <c r="F128" s="18">
        <f t="shared" si="1"/>
        <v>2036.4850000000024</v>
      </c>
      <c r="G128" s="19">
        <f t="shared" si="8"/>
        <v>30.350000000000023</v>
      </c>
      <c r="H128" s="20">
        <f t="shared" si="2"/>
        <v>-6.6770000000000209</v>
      </c>
    </row>
    <row r="129" spans="1:8" ht="13" x14ac:dyDescent="0.15">
      <c r="A129" s="12">
        <v>45686</v>
      </c>
      <c r="B129" s="13" t="s">
        <v>4</v>
      </c>
      <c r="C129" s="14">
        <v>0.95240000000000002</v>
      </c>
      <c r="D129" s="16">
        <v>608</v>
      </c>
      <c r="E129" s="17">
        <f t="shared" ref="E129:E181" si="10">D129-(C129*D129)</f>
        <v>28.940799999999967</v>
      </c>
      <c r="F129" s="18">
        <f t="shared" si="1"/>
        <v>1591.7439999999983</v>
      </c>
      <c r="G129" s="19">
        <f t="shared" si="8"/>
        <v>30.399999999999977</v>
      </c>
      <c r="H129" s="20">
        <f t="shared" si="2"/>
        <v>1.4592000000000098</v>
      </c>
    </row>
    <row r="130" spans="1:8" ht="13" x14ac:dyDescent="0.15">
      <c r="A130" s="12">
        <v>45687</v>
      </c>
      <c r="B130" s="13" t="s">
        <v>5</v>
      </c>
      <c r="C130" s="14">
        <v>0.93330000000000002</v>
      </c>
      <c r="D130" s="16">
        <v>610</v>
      </c>
      <c r="E130" s="17">
        <f t="shared" si="10"/>
        <v>40.687000000000012</v>
      </c>
      <c r="F130" s="18">
        <f t="shared" si="1"/>
        <v>2237.7850000000008</v>
      </c>
      <c r="G130" s="19">
        <f t="shared" si="8"/>
        <v>30.5</v>
      </c>
      <c r="H130" s="20">
        <f t="shared" si="2"/>
        <v>-10.187000000000012</v>
      </c>
    </row>
    <row r="131" spans="1:8" ht="13" x14ac:dyDescent="0.15">
      <c r="A131" s="12">
        <v>45688</v>
      </c>
      <c r="B131" s="13" t="s">
        <v>6</v>
      </c>
      <c r="C131" s="14">
        <v>0.9194</v>
      </c>
      <c r="D131" s="16">
        <v>608</v>
      </c>
      <c r="E131" s="17">
        <f t="shared" si="10"/>
        <v>49.004800000000046</v>
      </c>
      <c r="F131" s="18">
        <f t="shared" si="1"/>
        <v>2695.2640000000024</v>
      </c>
      <c r="G131" s="19">
        <f t="shared" si="8"/>
        <v>30.399999999999977</v>
      </c>
      <c r="H131" s="20">
        <f t="shared" si="2"/>
        <v>-18.604800000000068</v>
      </c>
    </row>
    <row r="132" spans="1:8" ht="13" x14ac:dyDescent="0.15">
      <c r="A132" s="12">
        <v>45691</v>
      </c>
      <c r="B132" s="13" t="s">
        <v>2</v>
      </c>
      <c r="C132" s="14">
        <v>0.79900000000000004</v>
      </c>
      <c r="D132" s="16">
        <v>607</v>
      </c>
      <c r="E132" s="17">
        <f t="shared" si="10"/>
        <v>122.00699999999995</v>
      </c>
      <c r="F132" s="18">
        <f t="shared" si="1"/>
        <v>6710.3849999999975</v>
      </c>
      <c r="G132" s="19">
        <f t="shared" si="8"/>
        <v>30.350000000000023</v>
      </c>
      <c r="H132" s="20">
        <f t="shared" si="2"/>
        <v>-91.656999999999925</v>
      </c>
    </row>
    <row r="133" spans="1:8" ht="13" x14ac:dyDescent="0.15">
      <c r="A133" s="12">
        <v>45692</v>
      </c>
      <c r="B133" s="13" t="s">
        <v>3</v>
      </c>
      <c r="C133" s="14">
        <v>0.94710000000000005</v>
      </c>
      <c r="D133" s="16">
        <v>605</v>
      </c>
      <c r="E133" s="17">
        <f t="shared" si="10"/>
        <v>32.004500000000007</v>
      </c>
      <c r="F133" s="18">
        <f t="shared" si="1"/>
        <v>1760.2475000000004</v>
      </c>
      <c r="G133" s="19">
        <f t="shared" si="8"/>
        <v>30.25</v>
      </c>
      <c r="H133" s="20">
        <f t="shared" si="2"/>
        <v>-1.7545000000000073</v>
      </c>
    </row>
    <row r="134" spans="1:8" ht="13" x14ac:dyDescent="0.15">
      <c r="A134" s="12">
        <v>45693</v>
      </c>
      <c r="B134" s="13" t="s">
        <v>4</v>
      </c>
      <c r="C134" s="14">
        <v>0.96179999999999999</v>
      </c>
      <c r="D134" s="16">
        <v>602</v>
      </c>
      <c r="E134" s="17">
        <f t="shared" si="10"/>
        <v>22.996399999999994</v>
      </c>
      <c r="F134" s="18">
        <f t="shared" si="1"/>
        <v>1264.8019999999997</v>
      </c>
      <c r="G134" s="19">
        <f t="shared" si="8"/>
        <v>30.100000000000023</v>
      </c>
      <c r="H134" s="20">
        <f t="shared" si="2"/>
        <v>7.1036000000000286</v>
      </c>
    </row>
    <row r="135" spans="1:8" ht="13" x14ac:dyDescent="0.15">
      <c r="A135" s="12">
        <v>45694</v>
      </c>
      <c r="B135" s="13" t="s">
        <v>5</v>
      </c>
      <c r="C135" s="14">
        <v>0.94199999999999995</v>
      </c>
      <c r="D135" s="16">
        <v>603</v>
      </c>
      <c r="E135" s="17">
        <f t="shared" si="10"/>
        <v>34.974000000000046</v>
      </c>
      <c r="F135" s="18">
        <f t="shared" si="1"/>
        <v>1923.5700000000024</v>
      </c>
      <c r="G135" s="19">
        <f t="shared" si="8"/>
        <v>30.149999999999977</v>
      </c>
      <c r="H135" s="20">
        <f t="shared" si="2"/>
        <v>-4.8240000000000691</v>
      </c>
    </row>
    <row r="136" spans="1:8" ht="13" x14ac:dyDescent="0.15">
      <c r="A136" s="12">
        <v>45695</v>
      </c>
      <c r="B136" s="13" t="s">
        <v>6</v>
      </c>
      <c r="C136" s="14">
        <v>0.94199999999999995</v>
      </c>
      <c r="D136" s="16">
        <v>603</v>
      </c>
      <c r="E136" s="17">
        <f t="shared" si="10"/>
        <v>34.974000000000046</v>
      </c>
      <c r="F136" s="18">
        <f t="shared" si="1"/>
        <v>1923.5700000000024</v>
      </c>
      <c r="G136" s="19">
        <f t="shared" si="8"/>
        <v>30.149999999999977</v>
      </c>
      <c r="H136" s="20">
        <f t="shared" si="2"/>
        <v>-4.8240000000000691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10"/>
        <v>0</v>
      </c>
      <c r="F137" s="18">
        <f t="shared" si="1"/>
        <v>0</v>
      </c>
      <c r="G137" s="19">
        <f t="shared" si="8"/>
        <v>0</v>
      </c>
      <c r="H137" s="20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10"/>
        <v>0</v>
      </c>
      <c r="F138" s="18">
        <f t="shared" si="1"/>
        <v>0</v>
      </c>
      <c r="G138" s="19">
        <f t="shared" si="8"/>
        <v>0</v>
      </c>
      <c r="H138" s="20">
        <f t="shared" si="2"/>
        <v>0</v>
      </c>
    </row>
    <row r="139" spans="1:8" ht="13" x14ac:dyDescent="0.15">
      <c r="A139" s="12">
        <v>45700</v>
      </c>
      <c r="B139" s="13" t="s">
        <v>4</v>
      </c>
      <c r="C139" s="14">
        <v>0.95189999999999997</v>
      </c>
      <c r="D139" s="16">
        <v>603</v>
      </c>
      <c r="E139" s="17">
        <f t="shared" si="10"/>
        <v>29.004300000000057</v>
      </c>
      <c r="F139" s="18">
        <f t="shared" si="1"/>
        <v>1595.2365000000032</v>
      </c>
      <c r="G139" s="19">
        <f t="shared" si="8"/>
        <v>30.149999999999977</v>
      </c>
      <c r="H139" s="20">
        <f t="shared" si="2"/>
        <v>1.1456999999999198</v>
      </c>
    </row>
    <row r="140" spans="1:8" ht="13" x14ac:dyDescent="0.15">
      <c r="A140" s="12">
        <v>45701</v>
      </c>
      <c r="B140" s="13" t="s">
        <v>5</v>
      </c>
      <c r="C140" s="14">
        <v>0.94199999999999995</v>
      </c>
      <c r="D140" s="16">
        <v>603</v>
      </c>
      <c r="E140" s="17">
        <f t="shared" si="10"/>
        <v>34.974000000000046</v>
      </c>
      <c r="F140" s="18">
        <f t="shared" si="1"/>
        <v>1923.5700000000024</v>
      </c>
      <c r="G140" s="19">
        <f t="shared" si="8"/>
        <v>30.149999999999977</v>
      </c>
      <c r="H140" s="20">
        <f t="shared" si="2"/>
        <v>-4.8240000000000691</v>
      </c>
    </row>
    <row r="141" spans="1:8" ht="13" x14ac:dyDescent="0.15">
      <c r="A141" s="12">
        <v>45702</v>
      </c>
      <c r="B141" s="13" t="s">
        <v>6</v>
      </c>
      <c r="C141" s="14">
        <v>0.93259999999999998</v>
      </c>
      <c r="D141" s="16">
        <v>608</v>
      </c>
      <c r="E141" s="17">
        <f t="shared" si="10"/>
        <v>40.979199999999992</v>
      </c>
      <c r="F141" s="18">
        <f t="shared" si="1"/>
        <v>2253.8559999999998</v>
      </c>
      <c r="G141" s="19">
        <f t="shared" si="8"/>
        <v>30.399999999999977</v>
      </c>
      <c r="H141" s="20">
        <f t="shared" si="2"/>
        <v>-10.579200000000014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10"/>
        <v>0</v>
      </c>
      <c r="F142" s="18">
        <f t="shared" si="1"/>
        <v>0</v>
      </c>
      <c r="G142" s="19">
        <f t="shared" si="8"/>
        <v>0</v>
      </c>
      <c r="H142" s="20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0.93740000000000001</v>
      </c>
      <c r="D143" s="16">
        <v>607</v>
      </c>
      <c r="E143" s="17">
        <f t="shared" si="10"/>
        <v>37.998199999999997</v>
      </c>
      <c r="F143" s="18">
        <f t="shared" si="1"/>
        <v>2089.9009999999998</v>
      </c>
      <c r="G143" s="19">
        <f t="shared" si="8"/>
        <v>30.350000000000023</v>
      </c>
      <c r="H143" s="20">
        <f t="shared" si="2"/>
        <v>-7.6481999999999744</v>
      </c>
    </row>
    <row r="144" spans="1:8" ht="13" x14ac:dyDescent="0.15">
      <c r="A144" s="12">
        <v>45707</v>
      </c>
      <c r="B144" s="13" t="s">
        <v>4</v>
      </c>
      <c r="C144" s="14">
        <v>0.94750000000000001</v>
      </c>
      <c r="D144" s="16">
        <v>609</v>
      </c>
      <c r="E144" s="17">
        <f t="shared" si="10"/>
        <v>31.972499999999968</v>
      </c>
      <c r="F144" s="18">
        <f t="shared" si="1"/>
        <v>1758.4874999999984</v>
      </c>
      <c r="G144" s="19">
        <f t="shared" si="8"/>
        <v>30.450000000000045</v>
      </c>
      <c r="H144" s="20">
        <f t="shared" si="2"/>
        <v>-1.5224999999999227</v>
      </c>
    </row>
    <row r="145" spans="1:8" ht="13" x14ac:dyDescent="0.15">
      <c r="A145" s="12">
        <v>45708</v>
      </c>
      <c r="B145" s="13" t="s">
        <v>5</v>
      </c>
      <c r="C145" s="14">
        <v>0.89490000000000003</v>
      </c>
      <c r="D145" s="16">
        <v>609</v>
      </c>
      <c r="E145" s="17">
        <f t="shared" si="10"/>
        <v>64.005899999999997</v>
      </c>
      <c r="F145" s="18">
        <f t="shared" si="1"/>
        <v>3520.3244999999997</v>
      </c>
      <c r="G145" s="19">
        <f t="shared" si="8"/>
        <v>30.450000000000045</v>
      </c>
      <c r="H145" s="20">
        <f t="shared" si="2"/>
        <v>-33.555899999999951</v>
      </c>
    </row>
    <row r="146" spans="1:8" ht="13" x14ac:dyDescent="0.15">
      <c r="A146" s="12">
        <v>45709</v>
      </c>
      <c r="B146" s="13" t="s">
        <v>6</v>
      </c>
      <c r="C146" s="14">
        <v>0.91949999999999998</v>
      </c>
      <c r="D146" s="16">
        <v>609</v>
      </c>
      <c r="E146" s="17">
        <f t="shared" si="10"/>
        <v>49.024499999999989</v>
      </c>
      <c r="F146" s="18">
        <f t="shared" si="1"/>
        <v>2696.3474999999994</v>
      </c>
      <c r="G146" s="19">
        <f t="shared" si="8"/>
        <v>30.450000000000045</v>
      </c>
      <c r="H146" s="20">
        <f t="shared" si="2"/>
        <v>-18.574499999999944</v>
      </c>
    </row>
    <row r="147" spans="1:8" ht="13" x14ac:dyDescent="0.15">
      <c r="A147" s="12">
        <v>45712</v>
      </c>
      <c r="B147" s="13" t="s">
        <v>2</v>
      </c>
      <c r="C147" s="14">
        <v>0.94740000000000002</v>
      </c>
      <c r="D147" s="16">
        <v>608</v>
      </c>
      <c r="E147" s="17">
        <f t="shared" si="10"/>
        <v>31.980800000000045</v>
      </c>
      <c r="F147" s="18">
        <f t="shared" si="1"/>
        <v>1758.9440000000025</v>
      </c>
      <c r="G147" s="19">
        <f t="shared" si="8"/>
        <v>30.399999999999977</v>
      </c>
      <c r="H147" s="20">
        <f t="shared" si="2"/>
        <v>-1.5808000000000675</v>
      </c>
    </row>
    <row r="148" spans="1:8" ht="13" x14ac:dyDescent="0.15">
      <c r="A148" s="12">
        <v>45713</v>
      </c>
      <c r="B148" s="13" t="s">
        <v>3</v>
      </c>
      <c r="C148" s="14">
        <v>0.9556</v>
      </c>
      <c r="D148" s="16">
        <v>608</v>
      </c>
      <c r="E148" s="17">
        <f t="shared" si="10"/>
        <v>26.995199999999954</v>
      </c>
      <c r="F148" s="18">
        <f t="shared" si="1"/>
        <v>1484.7359999999976</v>
      </c>
      <c r="G148" s="19">
        <f t="shared" si="8"/>
        <v>30.399999999999977</v>
      </c>
      <c r="H148" s="20">
        <f t="shared" si="2"/>
        <v>3.4048000000000229</v>
      </c>
    </row>
    <row r="149" spans="1:8" ht="13" x14ac:dyDescent="0.15">
      <c r="A149" s="12">
        <v>45714</v>
      </c>
      <c r="B149" s="13" t="s">
        <v>4</v>
      </c>
      <c r="C149" s="14">
        <v>0.95720000000000005</v>
      </c>
      <c r="D149" s="16">
        <v>608</v>
      </c>
      <c r="E149" s="17">
        <f t="shared" si="10"/>
        <v>26.022399999999948</v>
      </c>
      <c r="F149" s="18">
        <f t="shared" si="1"/>
        <v>1431.2319999999972</v>
      </c>
      <c r="G149" s="19">
        <f t="shared" si="8"/>
        <v>30.399999999999977</v>
      </c>
      <c r="H149" s="20">
        <f t="shared" si="2"/>
        <v>4.3776000000000295</v>
      </c>
    </row>
    <row r="150" spans="1:8" ht="13" x14ac:dyDescent="0.15">
      <c r="A150" s="12">
        <v>45715</v>
      </c>
      <c r="B150" s="13" t="s">
        <v>5</v>
      </c>
      <c r="C150" s="14">
        <v>0.9506</v>
      </c>
      <c r="D150" s="16">
        <v>607</v>
      </c>
      <c r="E150" s="17">
        <f t="shared" si="10"/>
        <v>29.98580000000004</v>
      </c>
      <c r="F150" s="18">
        <f t="shared" si="1"/>
        <v>1649.2190000000023</v>
      </c>
      <c r="G150" s="19">
        <f t="shared" si="8"/>
        <v>30.350000000000023</v>
      </c>
      <c r="H150" s="20">
        <f t="shared" si="2"/>
        <v>0.36419999999998254</v>
      </c>
    </row>
    <row r="151" spans="1:8" ht="13" x14ac:dyDescent="0.15">
      <c r="A151" s="12">
        <v>45716</v>
      </c>
      <c r="B151" s="13" t="s">
        <v>6</v>
      </c>
      <c r="C151" s="14">
        <v>0.93569999999999998</v>
      </c>
      <c r="D151" s="16">
        <v>607</v>
      </c>
      <c r="E151" s="17">
        <f t="shared" si="10"/>
        <v>39.030100000000061</v>
      </c>
      <c r="F151" s="18">
        <f t="shared" si="1"/>
        <v>2146.6555000000035</v>
      </c>
      <c r="G151" s="19">
        <f t="shared" si="8"/>
        <v>30.350000000000023</v>
      </c>
      <c r="H151" s="20">
        <f t="shared" si="2"/>
        <v>-8.6801000000000386</v>
      </c>
    </row>
    <row r="152" spans="1:8" ht="13" x14ac:dyDescent="0.15">
      <c r="A152" s="12">
        <v>45719</v>
      </c>
      <c r="B152" s="13" t="s">
        <v>2</v>
      </c>
      <c r="C152" s="14">
        <v>0.95369999999999999</v>
      </c>
      <c r="D152" s="16">
        <v>605</v>
      </c>
      <c r="E152" s="17">
        <f t="shared" si="10"/>
        <v>28.011499999999955</v>
      </c>
      <c r="F152" s="18">
        <f t="shared" si="1"/>
        <v>1540.6324999999974</v>
      </c>
      <c r="G152" s="19">
        <f t="shared" si="8"/>
        <v>30.25</v>
      </c>
      <c r="H152" s="20">
        <f t="shared" si="2"/>
        <v>2.2385000000000446</v>
      </c>
    </row>
    <row r="153" spans="1:8" ht="13" x14ac:dyDescent="0.15">
      <c r="A153" s="12">
        <v>45720</v>
      </c>
      <c r="B153" s="13" t="s">
        <v>3</v>
      </c>
      <c r="C153" s="14">
        <v>0.94550000000000001</v>
      </c>
      <c r="D153" s="16">
        <v>605</v>
      </c>
      <c r="E153" s="17">
        <f t="shared" si="10"/>
        <v>32.972499999999968</v>
      </c>
      <c r="F153" s="18">
        <f t="shared" si="1"/>
        <v>1813.4874999999984</v>
      </c>
      <c r="G153" s="19">
        <f t="shared" si="8"/>
        <v>30.25</v>
      </c>
      <c r="H153" s="20">
        <f t="shared" si="2"/>
        <v>-2.7224999999999682</v>
      </c>
    </row>
    <row r="154" spans="1:8" ht="13" x14ac:dyDescent="0.15">
      <c r="A154" s="12">
        <v>45721</v>
      </c>
      <c r="B154" s="13" t="s">
        <v>4</v>
      </c>
      <c r="C154" s="14">
        <v>0.95860000000000001</v>
      </c>
      <c r="D154" s="16">
        <v>604</v>
      </c>
      <c r="E154" s="17">
        <f t="shared" si="10"/>
        <v>25.005599999999959</v>
      </c>
      <c r="F154" s="18">
        <f t="shared" si="1"/>
        <v>1375.3079999999977</v>
      </c>
      <c r="G154" s="19">
        <f t="shared" si="8"/>
        <v>30.200000000000045</v>
      </c>
      <c r="H154" s="20">
        <f t="shared" si="2"/>
        <v>5.1944000000000869</v>
      </c>
    </row>
    <row r="155" spans="1:8" ht="13" x14ac:dyDescent="0.15">
      <c r="A155" s="12">
        <v>45722</v>
      </c>
      <c r="B155" s="13" t="s">
        <v>5</v>
      </c>
      <c r="C155" s="14">
        <v>0.96189999999999998</v>
      </c>
      <c r="D155" s="16">
        <v>604</v>
      </c>
      <c r="E155" s="17">
        <f t="shared" si="10"/>
        <v>23.012400000000071</v>
      </c>
      <c r="F155" s="18">
        <f t="shared" si="1"/>
        <v>1265.6820000000039</v>
      </c>
      <c r="G155" s="19">
        <f t="shared" si="8"/>
        <v>30.200000000000045</v>
      </c>
      <c r="H155" s="20">
        <f t="shared" si="2"/>
        <v>7.1875999999999749</v>
      </c>
    </row>
    <row r="156" spans="1:8" ht="13" x14ac:dyDescent="0.15">
      <c r="A156" s="12">
        <v>45723</v>
      </c>
      <c r="B156" s="13" t="s">
        <v>6</v>
      </c>
      <c r="C156" s="14">
        <v>0.94210000000000005</v>
      </c>
      <c r="D156" s="16">
        <v>604</v>
      </c>
      <c r="E156" s="17">
        <f t="shared" si="10"/>
        <v>34.971599999999967</v>
      </c>
      <c r="F156" s="18">
        <f t="shared" si="1"/>
        <v>1923.4379999999983</v>
      </c>
      <c r="G156" s="19">
        <f t="shared" si="8"/>
        <v>30.200000000000045</v>
      </c>
      <c r="H156" s="20">
        <f t="shared" si="2"/>
        <v>-4.7715999999999212</v>
      </c>
    </row>
    <row r="157" spans="1:8" ht="13" x14ac:dyDescent="0.15">
      <c r="A157" s="34">
        <v>45726</v>
      </c>
      <c r="B157" s="35" t="s">
        <v>2</v>
      </c>
      <c r="C157" s="14">
        <v>0.89400000000000002</v>
      </c>
      <c r="D157" s="16">
        <v>604</v>
      </c>
      <c r="E157" s="17">
        <f t="shared" si="10"/>
        <v>64.024000000000001</v>
      </c>
      <c r="F157" s="18">
        <f t="shared" si="1"/>
        <v>3521.32</v>
      </c>
      <c r="G157" s="19">
        <f t="shared" si="8"/>
        <v>30.200000000000045</v>
      </c>
      <c r="H157" s="20">
        <f t="shared" si="2"/>
        <v>-33.823999999999955</v>
      </c>
    </row>
    <row r="158" spans="1:8" ht="15.75" customHeight="1" x14ac:dyDescent="0.15">
      <c r="A158" s="34">
        <v>45727</v>
      </c>
      <c r="B158" s="35" t="s">
        <v>3</v>
      </c>
      <c r="C158" s="79">
        <v>0.97019999999999995</v>
      </c>
      <c r="D158" s="81">
        <v>604</v>
      </c>
      <c r="E158" s="17">
        <f t="shared" si="10"/>
        <v>17.999199999999973</v>
      </c>
      <c r="F158" s="18">
        <f t="shared" si="1"/>
        <v>989.95599999999854</v>
      </c>
      <c r="G158" s="19">
        <f t="shared" si="8"/>
        <v>30.200000000000045</v>
      </c>
      <c r="H158" s="20">
        <f t="shared" si="2"/>
        <v>12.200800000000072</v>
      </c>
    </row>
    <row r="159" spans="1:8" ht="15.75" customHeight="1" x14ac:dyDescent="0.15">
      <c r="A159" s="34">
        <v>45728</v>
      </c>
      <c r="B159" s="35" t="s">
        <v>4</v>
      </c>
      <c r="C159" s="79">
        <v>0.94869999999999999</v>
      </c>
      <c r="D159" s="81">
        <v>604</v>
      </c>
      <c r="E159" s="17">
        <f t="shared" si="10"/>
        <v>30.985199999999963</v>
      </c>
      <c r="F159" s="18">
        <f t="shared" ref="F159:F181" si="11">E159*$E$5</f>
        <v>1704.1859999999979</v>
      </c>
      <c r="G159" s="19">
        <f t="shared" ref="G159:G181" si="12">D159-(D159*G$3)</f>
        <v>30.200000000000045</v>
      </c>
      <c r="H159" s="20">
        <f t="shared" ref="H159:H181" si="13">G159-E159</f>
        <v>-0.78519999999991796</v>
      </c>
    </row>
    <row r="160" spans="1:8" ht="15.75" customHeight="1" x14ac:dyDescent="0.15">
      <c r="A160" s="34">
        <v>45729</v>
      </c>
      <c r="B160" s="35" t="s">
        <v>5</v>
      </c>
      <c r="C160" s="79">
        <v>0.9536</v>
      </c>
      <c r="D160" s="81">
        <v>604</v>
      </c>
      <c r="E160" s="17">
        <f t="shared" si="10"/>
        <v>28.025600000000054</v>
      </c>
      <c r="F160" s="18">
        <f t="shared" si="11"/>
        <v>1541.4080000000031</v>
      </c>
      <c r="G160" s="19">
        <f t="shared" si="12"/>
        <v>30.200000000000045</v>
      </c>
      <c r="H160" s="20">
        <f t="shared" si="13"/>
        <v>2.1743999999999915</v>
      </c>
    </row>
    <row r="161" spans="1:8" ht="15.75" customHeight="1" x14ac:dyDescent="0.15">
      <c r="A161" s="34">
        <v>45730</v>
      </c>
      <c r="B161" s="35" t="s">
        <v>6</v>
      </c>
      <c r="C161" s="79">
        <v>0.89900000000000002</v>
      </c>
      <c r="D161" s="81">
        <v>604</v>
      </c>
      <c r="E161" s="17">
        <f t="shared" si="10"/>
        <v>61.004000000000019</v>
      </c>
      <c r="F161" s="18">
        <f t="shared" si="11"/>
        <v>3355.2200000000012</v>
      </c>
      <c r="G161" s="19">
        <f t="shared" si="12"/>
        <v>30.200000000000045</v>
      </c>
      <c r="H161" s="20">
        <f t="shared" si="13"/>
        <v>-30.803999999999974</v>
      </c>
    </row>
    <row r="162" spans="1:8" ht="15.75" customHeight="1" x14ac:dyDescent="0.15">
      <c r="A162" s="21">
        <v>45733</v>
      </c>
      <c r="B162" s="22" t="s">
        <v>2</v>
      </c>
      <c r="C162" s="80"/>
      <c r="D162" s="82"/>
      <c r="E162" s="17">
        <f t="shared" si="10"/>
        <v>0</v>
      </c>
      <c r="F162" s="18">
        <f t="shared" si="11"/>
        <v>0</v>
      </c>
      <c r="G162" s="19">
        <f t="shared" si="12"/>
        <v>0</v>
      </c>
      <c r="H162" s="20">
        <f t="shared" si="13"/>
        <v>0</v>
      </c>
    </row>
    <row r="163" spans="1:8" ht="15.75" customHeight="1" x14ac:dyDescent="0.15">
      <c r="A163" s="21">
        <v>45734</v>
      </c>
      <c r="B163" s="22" t="s">
        <v>3</v>
      </c>
      <c r="C163" s="80"/>
      <c r="D163" s="82"/>
      <c r="E163" s="17">
        <f t="shared" si="10"/>
        <v>0</v>
      </c>
      <c r="F163" s="18">
        <f t="shared" si="11"/>
        <v>0</v>
      </c>
      <c r="G163" s="19">
        <f t="shared" si="12"/>
        <v>0</v>
      </c>
      <c r="H163" s="20">
        <f t="shared" si="13"/>
        <v>0</v>
      </c>
    </row>
    <row r="164" spans="1:8" ht="15.75" customHeight="1" x14ac:dyDescent="0.15">
      <c r="A164" s="21">
        <v>45735</v>
      </c>
      <c r="B164" s="22" t="s">
        <v>4</v>
      </c>
      <c r="C164" s="80"/>
      <c r="D164" s="82"/>
      <c r="E164" s="17">
        <f t="shared" si="10"/>
        <v>0</v>
      </c>
      <c r="F164" s="18">
        <f t="shared" si="11"/>
        <v>0</v>
      </c>
      <c r="G164" s="19">
        <f t="shared" si="12"/>
        <v>0</v>
      </c>
      <c r="H164" s="20">
        <f t="shared" si="13"/>
        <v>0</v>
      </c>
    </row>
    <row r="165" spans="1:8" ht="15.75" customHeight="1" x14ac:dyDescent="0.15">
      <c r="A165" s="21">
        <v>45736</v>
      </c>
      <c r="B165" s="22" t="s">
        <v>5</v>
      </c>
      <c r="C165" s="80"/>
      <c r="D165" s="82"/>
      <c r="E165" s="17">
        <f t="shared" si="10"/>
        <v>0</v>
      </c>
      <c r="F165" s="18">
        <f t="shared" si="11"/>
        <v>0</v>
      </c>
      <c r="G165" s="19">
        <f t="shared" si="12"/>
        <v>0</v>
      </c>
      <c r="H165" s="20">
        <f t="shared" si="13"/>
        <v>0</v>
      </c>
    </row>
    <row r="166" spans="1:8" ht="15.75" customHeight="1" x14ac:dyDescent="0.15">
      <c r="A166" s="21">
        <v>45737</v>
      </c>
      <c r="B166" s="22" t="s">
        <v>6</v>
      </c>
      <c r="C166" s="80"/>
      <c r="D166" s="82"/>
      <c r="E166" s="17">
        <f t="shared" si="10"/>
        <v>0</v>
      </c>
      <c r="F166" s="18">
        <f t="shared" si="11"/>
        <v>0</v>
      </c>
      <c r="G166" s="19">
        <f t="shared" si="12"/>
        <v>0</v>
      </c>
      <c r="H166" s="20">
        <f t="shared" si="13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0.92049999999999998</v>
      </c>
      <c r="D167" s="81">
        <v>603</v>
      </c>
      <c r="E167" s="17">
        <f t="shared" si="10"/>
        <v>47.938499999999976</v>
      </c>
      <c r="F167" s="18">
        <f t="shared" si="11"/>
        <v>2636.6174999999985</v>
      </c>
      <c r="G167" s="19">
        <f t="shared" si="12"/>
        <v>30.149999999999977</v>
      </c>
      <c r="H167" s="20">
        <f t="shared" si="13"/>
        <v>-17.788499999999999</v>
      </c>
    </row>
    <row r="168" spans="1:8" ht="15.75" customHeight="1" x14ac:dyDescent="0.15">
      <c r="A168" s="12">
        <v>45741</v>
      </c>
      <c r="B168" s="13" t="s">
        <v>3</v>
      </c>
      <c r="C168" s="79">
        <v>0.96519999999999995</v>
      </c>
      <c r="D168" s="81">
        <v>603</v>
      </c>
      <c r="E168" s="17">
        <f t="shared" si="10"/>
        <v>20.984400000000051</v>
      </c>
      <c r="F168" s="18">
        <f t="shared" si="11"/>
        <v>1154.1420000000028</v>
      </c>
      <c r="G168" s="19">
        <f t="shared" si="12"/>
        <v>30.149999999999977</v>
      </c>
      <c r="H168" s="20">
        <f t="shared" si="13"/>
        <v>9.1655999999999267</v>
      </c>
    </row>
    <row r="169" spans="1:8" ht="15.75" customHeight="1" x14ac:dyDescent="0.15">
      <c r="A169" s="12">
        <v>45742</v>
      </c>
      <c r="B169" s="13" t="s">
        <v>4</v>
      </c>
      <c r="C169" s="79">
        <v>0.96020000000000005</v>
      </c>
      <c r="D169" s="81">
        <v>603</v>
      </c>
      <c r="E169" s="17">
        <f t="shared" si="10"/>
        <v>23.999399999999923</v>
      </c>
      <c r="F169" s="18">
        <f t="shared" si="11"/>
        <v>1319.9669999999958</v>
      </c>
      <c r="G169" s="19">
        <f t="shared" si="12"/>
        <v>30.149999999999977</v>
      </c>
      <c r="H169" s="20">
        <f t="shared" si="13"/>
        <v>6.150600000000054</v>
      </c>
    </row>
    <row r="170" spans="1:8" ht="15.75" customHeight="1" x14ac:dyDescent="0.15">
      <c r="A170" s="12">
        <v>45743</v>
      </c>
      <c r="B170" s="13" t="s">
        <v>5</v>
      </c>
      <c r="C170" s="79">
        <v>0.96020000000000005</v>
      </c>
      <c r="D170" s="81">
        <v>603</v>
      </c>
      <c r="E170" s="17">
        <f t="shared" si="10"/>
        <v>23.999399999999923</v>
      </c>
      <c r="F170" s="18">
        <f t="shared" si="11"/>
        <v>1319.9669999999958</v>
      </c>
      <c r="G170" s="19">
        <f t="shared" si="12"/>
        <v>30.149999999999977</v>
      </c>
      <c r="H170" s="20">
        <f t="shared" si="13"/>
        <v>6.150600000000054</v>
      </c>
    </row>
    <row r="171" spans="1:8" ht="15.75" customHeight="1" x14ac:dyDescent="0.15">
      <c r="A171" s="12">
        <v>45744</v>
      </c>
      <c r="B171" s="13" t="s">
        <v>6</v>
      </c>
      <c r="C171" s="79">
        <v>0.92700000000000005</v>
      </c>
      <c r="D171" s="81">
        <v>603</v>
      </c>
      <c r="E171" s="17">
        <f t="shared" si="10"/>
        <v>44.019000000000005</v>
      </c>
      <c r="F171" s="18">
        <f t="shared" si="11"/>
        <v>2421.0450000000001</v>
      </c>
      <c r="G171" s="19">
        <f t="shared" si="12"/>
        <v>30.149999999999977</v>
      </c>
      <c r="H171" s="20">
        <f t="shared" si="13"/>
        <v>-13.869000000000028</v>
      </c>
    </row>
    <row r="172" spans="1:8" ht="15.75" customHeight="1" x14ac:dyDescent="0.15">
      <c r="A172" s="12">
        <v>45747</v>
      </c>
      <c r="B172" s="13" t="s">
        <v>2</v>
      </c>
      <c r="C172" s="79">
        <v>0.92679999999999996</v>
      </c>
      <c r="D172" s="81">
        <v>601</v>
      </c>
      <c r="E172" s="17">
        <f t="shared" si="10"/>
        <v>43.993200000000002</v>
      </c>
      <c r="F172" s="18">
        <f t="shared" si="11"/>
        <v>2419.6260000000002</v>
      </c>
      <c r="G172" s="19">
        <f t="shared" si="12"/>
        <v>30.050000000000068</v>
      </c>
      <c r="H172" s="20">
        <f t="shared" si="13"/>
        <v>-13.943199999999933</v>
      </c>
    </row>
    <row r="173" spans="1:8" ht="15.75" customHeight="1" x14ac:dyDescent="0.15">
      <c r="A173" s="12">
        <v>45748</v>
      </c>
      <c r="B173" s="13" t="s">
        <v>3</v>
      </c>
      <c r="C173" s="79">
        <v>0.95020000000000004</v>
      </c>
      <c r="D173" s="81">
        <v>602</v>
      </c>
      <c r="E173" s="17">
        <f t="shared" si="10"/>
        <v>29.979600000000005</v>
      </c>
      <c r="F173" s="18">
        <f t="shared" si="11"/>
        <v>1648.8780000000002</v>
      </c>
      <c r="G173" s="19">
        <f t="shared" si="12"/>
        <v>30.100000000000023</v>
      </c>
      <c r="H173" s="20">
        <f t="shared" si="13"/>
        <v>0.12040000000001783</v>
      </c>
    </row>
    <row r="174" spans="1:8" ht="15.75" customHeight="1" x14ac:dyDescent="0.15">
      <c r="A174" s="12">
        <v>45749</v>
      </c>
      <c r="B174" s="13" t="s">
        <v>4</v>
      </c>
      <c r="C174" s="79">
        <v>0.96179999999999999</v>
      </c>
      <c r="D174" s="81">
        <v>602</v>
      </c>
      <c r="E174" s="17">
        <f t="shared" si="10"/>
        <v>22.996399999999994</v>
      </c>
      <c r="F174" s="18">
        <f t="shared" si="11"/>
        <v>1264.8019999999997</v>
      </c>
      <c r="G174" s="19">
        <f t="shared" si="12"/>
        <v>30.100000000000023</v>
      </c>
      <c r="H174" s="20">
        <f t="shared" si="13"/>
        <v>7.1036000000000286</v>
      </c>
    </row>
    <row r="175" spans="1:8" ht="15.75" customHeight="1" x14ac:dyDescent="0.15">
      <c r="A175" s="12">
        <v>45750</v>
      </c>
      <c r="B175" s="13" t="s">
        <v>5</v>
      </c>
      <c r="C175" s="79">
        <v>0.95509999999999995</v>
      </c>
      <c r="D175" s="81">
        <v>602</v>
      </c>
      <c r="E175" s="17">
        <f t="shared" si="10"/>
        <v>27.029800000000023</v>
      </c>
      <c r="F175" s="18">
        <f t="shared" si="11"/>
        <v>1486.6390000000013</v>
      </c>
      <c r="G175" s="19">
        <f t="shared" si="12"/>
        <v>30.100000000000023</v>
      </c>
      <c r="H175" s="20">
        <f t="shared" si="13"/>
        <v>3.0701999999999998</v>
      </c>
    </row>
    <row r="176" spans="1:8" ht="15.75" customHeight="1" x14ac:dyDescent="0.15">
      <c r="A176" s="12">
        <v>45751</v>
      </c>
      <c r="B176" s="13" t="s">
        <v>6</v>
      </c>
      <c r="C176" s="79">
        <v>0.94350000000000001</v>
      </c>
      <c r="D176" s="81">
        <v>602</v>
      </c>
      <c r="E176" s="17">
        <f t="shared" si="10"/>
        <v>34.013000000000034</v>
      </c>
      <c r="F176" s="18">
        <f t="shared" si="11"/>
        <v>1870.715000000002</v>
      </c>
      <c r="G176" s="19">
        <f t="shared" si="12"/>
        <v>30.100000000000023</v>
      </c>
      <c r="H176" s="20">
        <f t="shared" si="13"/>
        <v>-3.9130000000000109</v>
      </c>
    </row>
    <row r="177" spans="1:8" ht="15.75" customHeight="1" x14ac:dyDescent="0.15">
      <c r="A177" s="12">
        <v>45754</v>
      </c>
      <c r="B177" s="13" t="s">
        <v>2</v>
      </c>
      <c r="C177" s="79">
        <v>0.94189999999999996</v>
      </c>
      <c r="D177" s="81">
        <v>602</v>
      </c>
      <c r="E177" s="17">
        <f t="shared" si="10"/>
        <v>34.976200000000063</v>
      </c>
      <c r="F177" s="18">
        <f t="shared" si="11"/>
        <v>1923.6910000000034</v>
      </c>
      <c r="G177" s="19">
        <f t="shared" si="12"/>
        <v>30.100000000000023</v>
      </c>
      <c r="H177" s="20">
        <f t="shared" si="13"/>
        <v>-4.8762000000000398</v>
      </c>
    </row>
    <row r="178" spans="1:8" ht="15.75" customHeight="1" x14ac:dyDescent="0.15">
      <c r="A178" s="12">
        <v>45755</v>
      </c>
      <c r="B178" s="13" t="s">
        <v>3</v>
      </c>
      <c r="C178" s="79">
        <v>0.97670000000000001</v>
      </c>
      <c r="D178" s="81">
        <v>602</v>
      </c>
      <c r="E178" s="17">
        <f t="shared" si="10"/>
        <v>14.02660000000003</v>
      </c>
      <c r="F178" s="18">
        <f t="shared" si="11"/>
        <v>771.46300000000167</v>
      </c>
      <c r="G178" s="19">
        <f t="shared" si="12"/>
        <v>30.100000000000023</v>
      </c>
      <c r="H178" s="20">
        <f t="shared" si="13"/>
        <v>16.073399999999992</v>
      </c>
    </row>
    <row r="179" spans="1:8" ht="15.75" customHeight="1" x14ac:dyDescent="0.15">
      <c r="A179" s="12">
        <v>45756</v>
      </c>
      <c r="B179" s="13" t="s">
        <v>4</v>
      </c>
      <c r="C179" s="79">
        <v>0.91210000000000002</v>
      </c>
      <c r="D179" s="81">
        <v>603</v>
      </c>
      <c r="E179" s="17">
        <f t="shared" si="10"/>
        <v>53.003699999999981</v>
      </c>
      <c r="F179" s="18">
        <f t="shared" si="11"/>
        <v>2915.2034999999987</v>
      </c>
      <c r="G179" s="19">
        <f t="shared" si="12"/>
        <v>30.149999999999977</v>
      </c>
      <c r="H179" s="20">
        <f t="shared" si="13"/>
        <v>-22.853700000000003</v>
      </c>
    </row>
    <row r="180" spans="1:8" ht="15.75" customHeight="1" x14ac:dyDescent="0.15">
      <c r="A180" s="12">
        <v>45757</v>
      </c>
      <c r="B180" s="13" t="s">
        <v>5</v>
      </c>
      <c r="C180" s="79">
        <v>0.95189999999999997</v>
      </c>
      <c r="D180" s="81">
        <v>603</v>
      </c>
      <c r="E180" s="17">
        <f t="shared" si="10"/>
        <v>29.004300000000057</v>
      </c>
      <c r="F180" s="18">
        <f t="shared" si="11"/>
        <v>1595.2365000000032</v>
      </c>
      <c r="G180" s="19">
        <f t="shared" si="12"/>
        <v>30.149999999999977</v>
      </c>
      <c r="H180" s="20">
        <f t="shared" si="13"/>
        <v>1.1456999999999198</v>
      </c>
    </row>
    <row r="181" spans="1:8" ht="15.75" customHeight="1" x14ac:dyDescent="0.15">
      <c r="A181" s="12">
        <v>45758</v>
      </c>
      <c r="B181" s="13" t="s">
        <v>6</v>
      </c>
      <c r="C181" s="79">
        <v>0.9254</v>
      </c>
      <c r="D181" s="81">
        <v>603</v>
      </c>
      <c r="E181" s="17">
        <f t="shared" si="10"/>
        <v>44.983799999999974</v>
      </c>
      <c r="F181" s="18">
        <f t="shared" si="11"/>
        <v>2474.1089999999986</v>
      </c>
      <c r="G181" s="19">
        <f t="shared" si="12"/>
        <v>30.149999999999977</v>
      </c>
      <c r="H181" s="20">
        <f t="shared" si="13"/>
        <v>-14.833799999999997</v>
      </c>
    </row>
  </sheetData>
  <autoFilter ref="A6:F157" xr:uid="{00000000-0009-0000-0000-000006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 C7:C157">
    <cfRule type="cellIs" dxfId="71" priority="5" operator="lessThan">
      <formula>"90%"</formula>
    </cfRule>
    <cfRule type="cellIs" dxfId="70" priority="6" operator="lessThan">
      <formula>"94%"</formula>
    </cfRule>
  </conditionalFormatting>
  <conditionalFormatting sqref="C6:C157">
    <cfRule type="cellIs" dxfId="69" priority="4" operator="lessThan">
      <formula>"92%"</formula>
    </cfRule>
  </conditionalFormatting>
  <conditionalFormatting sqref="H1:H181">
    <cfRule type="cellIs" dxfId="68" priority="7" operator="lessThan">
      <formula>0</formula>
    </cfRule>
  </conditionalFormatting>
  <conditionalFormatting sqref="C158:C181">
    <cfRule type="cellIs" dxfId="26" priority="1" operator="lessThan">
      <formula>"90%"</formula>
    </cfRule>
    <cfRule type="cellIs" dxfId="25" priority="2" operator="lessThan">
      <formula>"94%"</formula>
    </cfRule>
  </conditionalFormatting>
  <conditionalFormatting sqref="C158:C181">
    <cfRule type="cellIs" dxfId="24" priority="3" operator="lessThan">
      <formula>"92%"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  <pageSetUpPr fitToPage="1"/>
  </sheetPr>
  <dimension ref="A1:H181"/>
  <sheetViews>
    <sheetView workbookViewId="0">
      <pane ySplit="6" topLeftCell="A150" activePane="bottomLeft" state="frozen"/>
      <selection pane="bottomLeft" activeCell="I171" sqref="I171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17.5" customWidth="1"/>
  </cols>
  <sheetData>
    <row r="1" spans="1:8" ht="27" thickBot="1" x14ac:dyDescent="0.3">
      <c r="A1" s="1" t="s">
        <v>25</v>
      </c>
      <c r="B1" s="1"/>
      <c r="C1" s="1"/>
      <c r="D1" s="1"/>
      <c r="E1" s="2"/>
      <c r="F1" s="2"/>
      <c r="G1" s="3"/>
      <c r="H1" s="38" t="e">
        <f>SUM(H7:H157)</f>
        <v>#REF!</v>
      </c>
    </row>
    <row r="2" spans="1:8" ht="17" thickTop="1" x14ac:dyDescent="0.2">
      <c r="A2" s="63" t="s">
        <v>26</v>
      </c>
      <c r="B2" s="64"/>
      <c r="C2" s="64"/>
      <c r="D2" s="64"/>
      <c r="E2" s="65" t="s">
        <v>0</v>
      </c>
      <c r="F2" s="66"/>
      <c r="G2" s="5" t="s">
        <v>8</v>
      </c>
      <c r="H2" s="67" t="s">
        <v>27</v>
      </c>
    </row>
    <row r="3" spans="1:8" ht="24" x14ac:dyDescent="0.25">
      <c r="A3" s="64"/>
      <c r="B3" s="64"/>
      <c r="C3" s="64"/>
      <c r="D3" s="64"/>
      <c r="E3" s="68">
        <f>SUM(F7:F128)</f>
        <v>127930.14850000001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486</v>
      </c>
      <c r="E7" s="17">
        <f t="shared" ref="E7:E38" si="0">D7-(C7*D7)</f>
        <v>0</v>
      </c>
      <c r="F7" s="18">
        <f t="shared" ref="F7:F158" si="1">E7*$E$5</f>
        <v>0</v>
      </c>
      <c r="G7" s="19">
        <v>0</v>
      </c>
      <c r="H7" s="20">
        <f t="shared" ref="H7:H158" si="2">G7-E7</f>
        <v>0</v>
      </c>
    </row>
    <row r="8" spans="1:8" ht="13" x14ac:dyDescent="0.15">
      <c r="A8" s="12">
        <v>45517</v>
      </c>
      <c r="B8" s="13" t="s">
        <v>3</v>
      </c>
      <c r="C8" s="14">
        <v>0.998</v>
      </c>
      <c r="D8" s="16">
        <v>501</v>
      </c>
      <c r="E8" s="17">
        <f t="shared" si="0"/>
        <v>1.0020000000000095</v>
      </c>
      <c r="F8" s="18">
        <f t="shared" si="1"/>
        <v>55.110000000000525</v>
      </c>
      <c r="G8" s="19">
        <f t="shared" ref="G8:G132" si="3">D8-(D8*G$3)</f>
        <v>25.050000000000011</v>
      </c>
      <c r="H8" s="20">
        <f t="shared" si="2"/>
        <v>24.048000000000002</v>
      </c>
    </row>
    <row r="9" spans="1:8" ht="13" x14ac:dyDescent="0.15">
      <c r="A9" s="12">
        <v>45518</v>
      </c>
      <c r="B9" s="13" t="s">
        <v>4</v>
      </c>
      <c r="C9" s="14">
        <v>0.99419999999999997</v>
      </c>
      <c r="D9" s="16">
        <v>514</v>
      </c>
      <c r="E9" s="17">
        <f t="shared" si="0"/>
        <v>2.9812000000000012</v>
      </c>
      <c r="F9" s="18">
        <f t="shared" si="1"/>
        <v>163.96600000000007</v>
      </c>
      <c r="G9" s="19">
        <f t="shared" si="3"/>
        <v>25.700000000000045</v>
      </c>
      <c r="H9" s="20">
        <f t="shared" si="2"/>
        <v>22.718800000000044</v>
      </c>
    </row>
    <row r="10" spans="1:8" ht="13" x14ac:dyDescent="0.15">
      <c r="A10" s="21">
        <v>45519</v>
      </c>
      <c r="B10" s="22" t="s">
        <v>5</v>
      </c>
      <c r="C10" s="23"/>
      <c r="D10" s="24"/>
      <c r="E10" s="17">
        <f t="shared" si="0"/>
        <v>0</v>
      </c>
      <c r="F10" s="18">
        <f t="shared" si="1"/>
        <v>0</v>
      </c>
      <c r="G10" s="19">
        <f t="shared" si="3"/>
        <v>0</v>
      </c>
      <c r="H10" s="20">
        <f t="shared" si="2"/>
        <v>0</v>
      </c>
    </row>
    <row r="11" spans="1:8" ht="13" x14ac:dyDescent="0.15">
      <c r="A11" s="12">
        <v>45520</v>
      </c>
      <c r="B11" s="13" t="s">
        <v>6</v>
      </c>
      <c r="C11" s="14">
        <v>0.97109999999999996</v>
      </c>
      <c r="D11" s="16">
        <v>519</v>
      </c>
      <c r="E11" s="17">
        <f t="shared" si="0"/>
        <v>14.999099999999999</v>
      </c>
      <c r="F11" s="18">
        <f t="shared" si="1"/>
        <v>824.95049999999992</v>
      </c>
      <c r="G11" s="19">
        <f t="shared" si="3"/>
        <v>25.950000000000045</v>
      </c>
      <c r="H11" s="20">
        <f t="shared" si="2"/>
        <v>10.950900000000047</v>
      </c>
    </row>
    <row r="12" spans="1:8" ht="13" x14ac:dyDescent="0.15">
      <c r="A12" s="12">
        <v>45523</v>
      </c>
      <c r="B12" s="13" t="s">
        <v>2</v>
      </c>
      <c r="C12" s="14">
        <v>0.97709999999999997</v>
      </c>
      <c r="D12" s="16">
        <v>524</v>
      </c>
      <c r="E12" s="17">
        <f t="shared" si="0"/>
        <v>11.999599999999987</v>
      </c>
      <c r="F12" s="18">
        <f t="shared" si="1"/>
        <v>659.97799999999927</v>
      </c>
      <c r="G12" s="19">
        <f t="shared" si="3"/>
        <v>26.200000000000045</v>
      </c>
      <c r="H12" s="20">
        <f t="shared" si="2"/>
        <v>14.200400000000059</v>
      </c>
    </row>
    <row r="13" spans="1:8" ht="13" x14ac:dyDescent="0.15">
      <c r="A13" s="12">
        <v>45524</v>
      </c>
      <c r="B13" s="13" t="s">
        <v>3</v>
      </c>
      <c r="C13" s="14">
        <v>0.97160000000000002</v>
      </c>
      <c r="D13" s="16">
        <v>529</v>
      </c>
      <c r="E13" s="17">
        <f t="shared" si="0"/>
        <v>15.023599999999988</v>
      </c>
      <c r="F13" s="18">
        <f t="shared" si="1"/>
        <v>826.29799999999932</v>
      </c>
      <c r="G13" s="19">
        <f t="shared" si="3"/>
        <v>26.450000000000045</v>
      </c>
      <c r="H13" s="20">
        <f t="shared" si="2"/>
        <v>11.426400000000058</v>
      </c>
    </row>
    <row r="14" spans="1:8" ht="13" x14ac:dyDescent="0.15">
      <c r="A14" s="12">
        <v>45525</v>
      </c>
      <c r="B14" s="13" t="s">
        <v>4</v>
      </c>
      <c r="C14" s="14">
        <v>0.96599999999999997</v>
      </c>
      <c r="D14" s="16">
        <v>530</v>
      </c>
      <c r="E14" s="17">
        <f t="shared" si="0"/>
        <v>18.020000000000039</v>
      </c>
      <c r="F14" s="18">
        <f t="shared" si="1"/>
        <v>991.10000000000218</v>
      </c>
      <c r="G14" s="19">
        <f t="shared" si="3"/>
        <v>26.5</v>
      </c>
      <c r="H14" s="20">
        <f t="shared" si="2"/>
        <v>8.4799999999999613</v>
      </c>
    </row>
    <row r="15" spans="1:8" ht="13" x14ac:dyDescent="0.15">
      <c r="A15" s="12">
        <v>45526</v>
      </c>
      <c r="B15" s="13" t="s">
        <v>5</v>
      </c>
      <c r="C15" s="14">
        <v>0.9718</v>
      </c>
      <c r="D15" s="16">
        <v>531</v>
      </c>
      <c r="E15" s="17">
        <f t="shared" si="0"/>
        <v>14.974199999999996</v>
      </c>
      <c r="F15" s="18">
        <f t="shared" si="1"/>
        <v>823.58099999999979</v>
      </c>
      <c r="G15" s="19">
        <f t="shared" si="3"/>
        <v>26.550000000000011</v>
      </c>
      <c r="H15" s="20">
        <f t="shared" si="2"/>
        <v>11.575800000000015</v>
      </c>
    </row>
    <row r="16" spans="1:8" ht="13" x14ac:dyDescent="0.15">
      <c r="A16" s="12">
        <v>45527</v>
      </c>
      <c r="B16" s="13" t="s">
        <v>6</v>
      </c>
      <c r="C16" s="14">
        <v>0.94550000000000001</v>
      </c>
      <c r="D16" s="16">
        <v>532</v>
      </c>
      <c r="E16" s="17">
        <f t="shared" si="0"/>
        <v>28.993999999999971</v>
      </c>
      <c r="F16" s="18">
        <f t="shared" si="1"/>
        <v>1594.6699999999985</v>
      </c>
      <c r="G16" s="19">
        <f t="shared" si="3"/>
        <v>26.600000000000023</v>
      </c>
      <c r="H16" s="20">
        <f t="shared" si="2"/>
        <v>-2.3939999999999486</v>
      </c>
    </row>
    <row r="17" spans="1:8" ht="13" x14ac:dyDescent="0.15">
      <c r="A17" s="12">
        <v>45530</v>
      </c>
      <c r="B17" s="13" t="s">
        <v>2</v>
      </c>
      <c r="C17" s="14">
        <v>0.93459999999999999</v>
      </c>
      <c r="D17" s="16">
        <v>535</v>
      </c>
      <c r="E17" s="17">
        <f t="shared" si="0"/>
        <v>34.989000000000033</v>
      </c>
      <c r="F17" s="18">
        <f t="shared" si="1"/>
        <v>1924.3950000000018</v>
      </c>
      <c r="G17" s="19">
        <f t="shared" si="3"/>
        <v>26.75</v>
      </c>
      <c r="H17" s="20">
        <f t="shared" si="2"/>
        <v>-8.2390000000000327</v>
      </c>
    </row>
    <row r="18" spans="1:8" ht="13" x14ac:dyDescent="0.15">
      <c r="A18" s="12">
        <v>45531</v>
      </c>
      <c r="B18" s="13" t="s">
        <v>3</v>
      </c>
      <c r="C18" s="14">
        <v>0.95330000000000004</v>
      </c>
      <c r="D18" s="16">
        <v>535</v>
      </c>
      <c r="E18" s="17">
        <f t="shared" si="0"/>
        <v>24.984499999999969</v>
      </c>
      <c r="F18" s="18">
        <f t="shared" si="1"/>
        <v>1374.1474999999982</v>
      </c>
      <c r="G18" s="19">
        <f t="shared" si="3"/>
        <v>26.75</v>
      </c>
      <c r="H18" s="20">
        <f t="shared" si="2"/>
        <v>1.7655000000000314</v>
      </c>
    </row>
    <row r="19" spans="1:8" ht="13" x14ac:dyDescent="0.15">
      <c r="A19" s="12">
        <v>45532</v>
      </c>
      <c r="B19" s="13" t="s">
        <v>4</v>
      </c>
      <c r="C19" s="14">
        <v>0.95720000000000005</v>
      </c>
      <c r="D19" s="16">
        <v>538</v>
      </c>
      <c r="E19" s="17">
        <f t="shared" si="0"/>
        <v>23.026399999999967</v>
      </c>
      <c r="F19" s="18">
        <f t="shared" si="1"/>
        <v>1266.4519999999982</v>
      </c>
      <c r="G19" s="19">
        <f t="shared" si="3"/>
        <v>26.900000000000034</v>
      </c>
      <c r="H19" s="20">
        <f t="shared" si="2"/>
        <v>3.8736000000000672</v>
      </c>
    </row>
    <row r="20" spans="1:8" ht="13" x14ac:dyDescent="0.15">
      <c r="A20" s="12">
        <v>45533</v>
      </c>
      <c r="B20" s="13" t="s">
        <v>5</v>
      </c>
      <c r="C20" s="14">
        <v>0.95530000000000004</v>
      </c>
      <c r="D20" s="16">
        <v>537</v>
      </c>
      <c r="E20" s="17">
        <f t="shared" si="0"/>
        <v>24.003899999999931</v>
      </c>
      <c r="F20" s="18">
        <f t="shared" si="1"/>
        <v>1320.2144999999962</v>
      </c>
      <c r="G20" s="19">
        <f t="shared" si="3"/>
        <v>26.850000000000023</v>
      </c>
      <c r="H20" s="20">
        <f t="shared" si="2"/>
        <v>2.8461000000000922</v>
      </c>
    </row>
    <row r="21" spans="1:8" ht="13" x14ac:dyDescent="0.15">
      <c r="A21" s="12">
        <v>45534</v>
      </c>
      <c r="B21" s="13" t="s">
        <v>6</v>
      </c>
      <c r="C21" s="14">
        <v>0.94589999999999996</v>
      </c>
      <c r="D21" s="16">
        <v>536</v>
      </c>
      <c r="E21" s="17">
        <f t="shared" si="0"/>
        <v>28.997600000000034</v>
      </c>
      <c r="F21" s="18">
        <f t="shared" si="1"/>
        <v>1594.8680000000018</v>
      </c>
      <c r="G21" s="19">
        <f t="shared" si="3"/>
        <v>26.800000000000011</v>
      </c>
      <c r="H21" s="20">
        <f t="shared" si="2"/>
        <v>-2.1976000000000226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0.94930000000000003</v>
      </c>
      <c r="D23" s="16">
        <v>533</v>
      </c>
      <c r="E23" s="17">
        <f t="shared" si="0"/>
        <v>27.023099999999999</v>
      </c>
      <c r="F23" s="18">
        <f t="shared" si="1"/>
        <v>1486.2705000000001</v>
      </c>
      <c r="G23" s="19">
        <f t="shared" si="3"/>
        <v>26.650000000000034</v>
      </c>
      <c r="H23" s="20">
        <f t="shared" si="2"/>
        <v>-0.37309999999996535</v>
      </c>
    </row>
    <row r="24" spans="1:8" ht="13" x14ac:dyDescent="0.15">
      <c r="A24" s="12">
        <v>45539</v>
      </c>
      <c r="B24" s="13" t="s">
        <v>4</v>
      </c>
      <c r="C24" s="14">
        <v>0.96050000000000002</v>
      </c>
      <c r="D24" s="16">
        <v>532</v>
      </c>
      <c r="E24" s="17">
        <f t="shared" si="0"/>
        <v>21.01400000000001</v>
      </c>
      <c r="F24" s="18">
        <f t="shared" si="1"/>
        <v>1155.7700000000004</v>
      </c>
      <c r="G24" s="19">
        <f t="shared" si="3"/>
        <v>26.600000000000023</v>
      </c>
      <c r="H24" s="20">
        <f t="shared" si="2"/>
        <v>5.5860000000000127</v>
      </c>
    </row>
    <row r="25" spans="1:8" ht="13" x14ac:dyDescent="0.15">
      <c r="A25" s="12">
        <v>45540</v>
      </c>
      <c r="B25" s="13" t="s">
        <v>5</v>
      </c>
      <c r="C25" s="14">
        <v>0.95860000000000001</v>
      </c>
      <c r="D25" s="16">
        <v>532</v>
      </c>
      <c r="E25" s="17">
        <f t="shared" si="0"/>
        <v>22.024799999999971</v>
      </c>
      <c r="F25" s="18">
        <f t="shared" si="1"/>
        <v>1211.3639999999984</v>
      </c>
      <c r="G25" s="19">
        <f t="shared" si="3"/>
        <v>26.600000000000023</v>
      </c>
      <c r="H25" s="20">
        <f t="shared" si="2"/>
        <v>4.5752000000000521</v>
      </c>
    </row>
    <row r="26" spans="1:8" ht="13" x14ac:dyDescent="0.15">
      <c r="A26" s="12">
        <v>45541</v>
      </c>
      <c r="B26" s="13" t="s">
        <v>6</v>
      </c>
      <c r="C26" s="14">
        <v>0.91930000000000001</v>
      </c>
      <c r="D26" s="16">
        <v>533</v>
      </c>
      <c r="E26" s="17">
        <f t="shared" si="0"/>
        <v>43.013100000000009</v>
      </c>
      <c r="F26" s="18">
        <f t="shared" si="1"/>
        <v>2365.7205000000004</v>
      </c>
      <c r="G26" s="19">
        <f t="shared" si="3"/>
        <v>26.650000000000034</v>
      </c>
      <c r="H26" s="20">
        <f t="shared" si="2"/>
        <v>-16.363099999999974</v>
      </c>
    </row>
    <row r="27" spans="1:8" ht="13" x14ac:dyDescent="0.15">
      <c r="A27" s="12">
        <v>45544</v>
      </c>
      <c r="B27" s="13" t="s">
        <v>2</v>
      </c>
      <c r="C27" s="14">
        <v>0.96060000000000001</v>
      </c>
      <c r="D27" s="16">
        <v>533</v>
      </c>
      <c r="E27" s="17">
        <f t="shared" si="0"/>
        <v>21.000200000000007</v>
      </c>
      <c r="F27" s="18">
        <f t="shared" si="1"/>
        <v>1155.0110000000004</v>
      </c>
      <c r="G27" s="19">
        <f t="shared" si="3"/>
        <v>26.650000000000034</v>
      </c>
      <c r="H27" s="20">
        <f t="shared" si="2"/>
        <v>5.6498000000000275</v>
      </c>
    </row>
    <row r="28" spans="1:8" ht="13" x14ac:dyDescent="0.15">
      <c r="A28" s="12">
        <v>45545</v>
      </c>
      <c r="B28" s="13" t="s">
        <v>3</v>
      </c>
      <c r="C28" s="14">
        <v>0.96060000000000001</v>
      </c>
      <c r="D28" s="16">
        <v>533</v>
      </c>
      <c r="E28" s="17">
        <f t="shared" si="0"/>
        <v>21.000200000000007</v>
      </c>
      <c r="F28" s="18">
        <f t="shared" si="1"/>
        <v>1155.0110000000004</v>
      </c>
      <c r="G28" s="19">
        <f t="shared" si="3"/>
        <v>26.650000000000034</v>
      </c>
      <c r="H28" s="20">
        <f t="shared" si="2"/>
        <v>5.6498000000000275</v>
      </c>
    </row>
    <row r="29" spans="1:8" ht="13" x14ac:dyDescent="0.15">
      <c r="A29" s="12">
        <v>45546</v>
      </c>
      <c r="B29" s="13" t="s">
        <v>4</v>
      </c>
      <c r="C29" s="14">
        <v>0.9607</v>
      </c>
      <c r="D29" s="16">
        <v>534</v>
      </c>
      <c r="E29" s="17">
        <f t="shared" si="0"/>
        <v>20.986200000000053</v>
      </c>
      <c r="F29" s="18">
        <f t="shared" si="1"/>
        <v>1154.2410000000029</v>
      </c>
      <c r="G29" s="19">
        <f t="shared" si="3"/>
        <v>26.700000000000045</v>
      </c>
      <c r="H29" s="20">
        <f t="shared" si="2"/>
        <v>5.713799999999992</v>
      </c>
    </row>
    <row r="30" spans="1:8" ht="13" x14ac:dyDescent="0.15">
      <c r="A30" s="12">
        <v>45547</v>
      </c>
      <c r="B30" s="13" t="s">
        <v>5</v>
      </c>
      <c r="C30" s="14">
        <v>0.96630000000000005</v>
      </c>
      <c r="D30" s="16">
        <v>534</v>
      </c>
      <c r="E30" s="17">
        <f t="shared" si="0"/>
        <v>17.995800000000031</v>
      </c>
      <c r="F30" s="18">
        <f t="shared" si="1"/>
        <v>989.76900000000171</v>
      </c>
      <c r="G30" s="19">
        <f t="shared" si="3"/>
        <v>26.700000000000045</v>
      </c>
      <c r="H30" s="20">
        <f t="shared" si="2"/>
        <v>8.7042000000000144</v>
      </c>
    </row>
    <row r="31" spans="1:8" ht="13" x14ac:dyDescent="0.15">
      <c r="A31" s="12">
        <v>45548</v>
      </c>
      <c r="B31" s="13" t="s">
        <v>6</v>
      </c>
      <c r="C31" s="14">
        <v>0.94379999999999997</v>
      </c>
      <c r="D31" s="16">
        <v>534</v>
      </c>
      <c r="E31" s="17">
        <f t="shared" si="0"/>
        <v>30.010800000000017</v>
      </c>
      <c r="F31" s="18">
        <f t="shared" si="1"/>
        <v>1650.594000000001</v>
      </c>
      <c r="G31" s="19">
        <f t="shared" si="3"/>
        <v>26.700000000000045</v>
      </c>
      <c r="H31" s="20">
        <f t="shared" si="2"/>
        <v>-3.310799999999972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0.9627</v>
      </c>
      <c r="D33" s="16">
        <v>536</v>
      </c>
      <c r="E33" s="17">
        <f t="shared" si="0"/>
        <v>19.992799999999988</v>
      </c>
      <c r="F33" s="18">
        <f t="shared" si="1"/>
        <v>1099.6039999999994</v>
      </c>
      <c r="G33" s="19">
        <f t="shared" si="3"/>
        <v>26.800000000000011</v>
      </c>
      <c r="H33" s="20">
        <f t="shared" si="2"/>
        <v>6.807200000000023</v>
      </c>
    </row>
    <row r="34" spans="1:8" ht="13" x14ac:dyDescent="0.15">
      <c r="A34" s="12">
        <v>45553</v>
      </c>
      <c r="B34" s="13" t="s">
        <v>4</v>
      </c>
      <c r="C34" s="14">
        <v>0.97570000000000001</v>
      </c>
      <c r="D34" s="16">
        <v>536</v>
      </c>
      <c r="E34" s="17">
        <f t="shared" si="0"/>
        <v>13.024800000000027</v>
      </c>
      <c r="F34" s="18">
        <f t="shared" si="1"/>
        <v>716.36400000000151</v>
      </c>
      <c r="G34" s="19">
        <f t="shared" si="3"/>
        <v>26.800000000000011</v>
      </c>
      <c r="H34" s="20">
        <f t="shared" si="2"/>
        <v>13.775199999999984</v>
      </c>
    </row>
    <row r="35" spans="1:8" ht="13" x14ac:dyDescent="0.15">
      <c r="A35" s="12">
        <v>45554</v>
      </c>
      <c r="B35" s="13" t="s">
        <v>5</v>
      </c>
      <c r="C35" s="14">
        <v>0.96830000000000005</v>
      </c>
      <c r="D35" s="16">
        <v>536</v>
      </c>
      <c r="E35" s="17">
        <f t="shared" si="0"/>
        <v>16.991199999999935</v>
      </c>
      <c r="F35" s="18">
        <f t="shared" si="1"/>
        <v>934.51599999999644</v>
      </c>
      <c r="G35" s="19">
        <f t="shared" si="3"/>
        <v>26.800000000000011</v>
      </c>
      <c r="H35" s="20">
        <f t="shared" si="2"/>
        <v>9.8088000000000761</v>
      </c>
    </row>
    <row r="36" spans="1:8" ht="13" x14ac:dyDescent="0.15">
      <c r="A36" s="12">
        <v>45555</v>
      </c>
      <c r="B36" s="13" t="s">
        <v>6</v>
      </c>
      <c r="C36" s="14">
        <v>0.93659999999999999</v>
      </c>
      <c r="D36" s="16">
        <v>536</v>
      </c>
      <c r="E36" s="17">
        <f t="shared" si="0"/>
        <v>33.982399999999984</v>
      </c>
      <c r="F36" s="18">
        <f t="shared" si="1"/>
        <v>1869.0319999999992</v>
      </c>
      <c r="G36" s="19">
        <f t="shared" si="3"/>
        <v>26.800000000000011</v>
      </c>
      <c r="H36" s="20">
        <f t="shared" si="2"/>
        <v>-7.1823999999999728</v>
      </c>
    </row>
    <row r="37" spans="1:8" ht="13" x14ac:dyDescent="0.15">
      <c r="A37" s="12">
        <v>45558</v>
      </c>
      <c r="B37" s="13" t="s">
        <v>2</v>
      </c>
      <c r="C37" s="14">
        <v>0.94969999999999999</v>
      </c>
      <c r="D37" s="16">
        <v>537</v>
      </c>
      <c r="E37" s="17">
        <f t="shared" si="0"/>
        <v>27.011099999999999</v>
      </c>
      <c r="F37" s="18">
        <f t="shared" si="1"/>
        <v>1485.6105</v>
      </c>
      <c r="G37" s="19">
        <f t="shared" si="3"/>
        <v>26.850000000000023</v>
      </c>
      <c r="H37" s="20">
        <f t="shared" si="2"/>
        <v>-0.16109999999997626</v>
      </c>
    </row>
    <row r="38" spans="1:8" ht="13" x14ac:dyDescent="0.15">
      <c r="A38" s="12">
        <v>45559</v>
      </c>
      <c r="B38" s="13" t="s">
        <v>3</v>
      </c>
      <c r="C38" s="14">
        <v>0.9516</v>
      </c>
      <c r="D38" s="16">
        <v>537</v>
      </c>
      <c r="E38" s="17">
        <f t="shared" si="0"/>
        <v>25.990799999999979</v>
      </c>
      <c r="F38" s="18">
        <f t="shared" si="1"/>
        <v>1429.4939999999988</v>
      </c>
      <c r="G38" s="19">
        <f t="shared" si="3"/>
        <v>26.850000000000023</v>
      </c>
      <c r="H38" s="20">
        <f t="shared" si="2"/>
        <v>0.85920000000004393</v>
      </c>
    </row>
    <row r="39" spans="1:8" ht="13" x14ac:dyDescent="0.15">
      <c r="A39" s="12">
        <v>45560</v>
      </c>
      <c r="B39" s="13" t="s">
        <v>4</v>
      </c>
      <c r="C39" s="14">
        <v>0.97770000000000001</v>
      </c>
      <c r="D39" s="16">
        <v>537</v>
      </c>
      <c r="E39" s="17">
        <f t="shared" ref="E39:E70" si="4">D39-(C39*D39)</f>
        <v>11.975099999999998</v>
      </c>
      <c r="F39" s="18">
        <f t="shared" si="1"/>
        <v>658.63049999999987</v>
      </c>
      <c r="G39" s="19">
        <f t="shared" si="3"/>
        <v>26.850000000000023</v>
      </c>
      <c r="H39" s="20">
        <f t="shared" si="2"/>
        <v>14.874900000000025</v>
      </c>
    </row>
    <row r="40" spans="1:8" ht="13" x14ac:dyDescent="0.15">
      <c r="A40" s="12">
        <v>45561</v>
      </c>
      <c r="B40" s="13" t="s">
        <v>5</v>
      </c>
      <c r="C40" s="14">
        <v>0.97019999999999995</v>
      </c>
      <c r="D40" s="16">
        <v>537</v>
      </c>
      <c r="E40" s="17">
        <f t="shared" si="4"/>
        <v>16.002600000000029</v>
      </c>
      <c r="F40" s="18">
        <f t="shared" si="1"/>
        <v>880.14300000000162</v>
      </c>
      <c r="G40" s="19">
        <f t="shared" si="3"/>
        <v>26.850000000000023</v>
      </c>
      <c r="H40" s="20">
        <f t="shared" si="2"/>
        <v>10.847399999999993</v>
      </c>
    </row>
    <row r="41" spans="1:8" ht="13" x14ac:dyDescent="0.15">
      <c r="A41" s="12">
        <v>45562</v>
      </c>
      <c r="B41" s="13" t="s">
        <v>6</v>
      </c>
      <c r="C41" s="14">
        <v>0.93669999999999998</v>
      </c>
      <c r="D41" s="16">
        <v>537</v>
      </c>
      <c r="E41" s="17">
        <f t="shared" si="4"/>
        <v>33.992099999999994</v>
      </c>
      <c r="F41" s="18">
        <f t="shared" si="1"/>
        <v>1869.5654999999997</v>
      </c>
      <c r="G41" s="19">
        <f t="shared" si="3"/>
        <v>26.850000000000023</v>
      </c>
      <c r="H41" s="20">
        <f t="shared" si="2"/>
        <v>-7.1420999999999708</v>
      </c>
    </row>
    <row r="42" spans="1:8" ht="13" x14ac:dyDescent="0.15">
      <c r="A42" s="12">
        <v>45565</v>
      </c>
      <c r="B42" s="13" t="s">
        <v>2</v>
      </c>
      <c r="C42" s="14">
        <v>0.94810000000000005</v>
      </c>
      <c r="D42" s="16">
        <v>539</v>
      </c>
      <c r="E42" s="17">
        <f t="shared" si="4"/>
        <v>27.974099999999964</v>
      </c>
      <c r="F42" s="18">
        <f t="shared" si="1"/>
        <v>1538.5754999999981</v>
      </c>
      <c r="G42" s="19">
        <f t="shared" si="3"/>
        <v>26.950000000000045</v>
      </c>
      <c r="H42" s="20">
        <f t="shared" si="2"/>
        <v>-1.024099999999919</v>
      </c>
    </row>
    <row r="43" spans="1:8" ht="13" x14ac:dyDescent="0.15">
      <c r="A43" s="12">
        <v>45566</v>
      </c>
      <c r="B43" s="13" t="s">
        <v>3</v>
      </c>
      <c r="C43" s="14">
        <v>0.97219999999999995</v>
      </c>
      <c r="D43" s="16">
        <v>539</v>
      </c>
      <c r="E43" s="17">
        <f t="shared" si="4"/>
        <v>14.984199999999987</v>
      </c>
      <c r="F43" s="18">
        <f t="shared" si="1"/>
        <v>824.13099999999929</v>
      </c>
      <c r="G43" s="19">
        <f t="shared" si="3"/>
        <v>26.950000000000045</v>
      </c>
      <c r="H43" s="20">
        <f t="shared" si="2"/>
        <v>11.965800000000058</v>
      </c>
    </row>
    <row r="44" spans="1:8" ht="13" x14ac:dyDescent="0.15">
      <c r="A44" s="12">
        <v>45567</v>
      </c>
      <c r="B44" s="13" t="s">
        <v>4</v>
      </c>
      <c r="C44" s="14">
        <v>0.97030000000000005</v>
      </c>
      <c r="D44" s="16">
        <v>539</v>
      </c>
      <c r="E44" s="17">
        <f t="shared" si="4"/>
        <v>16.008299999999963</v>
      </c>
      <c r="F44" s="18">
        <f t="shared" si="1"/>
        <v>880.45649999999796</v>
      </c>
      <c r="G44" s="19">
        <f t="shared" si="3"/>
        <v>26.950000000000045</v>
      </c>
      <c r="H44" s="20">
        <f t="shared" si="2"/>
        <v>10.941700000000083</v>
      </c>
    </row>
    <row r="45" spans="1:8" ht="13" x14ac:dyDescent="0.15">
      <c r="A45" s="12">
        <v>45568</v>
      </c>
      <c r="B45" s="13" t="s">
        <v>5</v>
      </c>
      <c r="C45" s="14">
        <v>0.96660000000000001</v>
      </c>
      <c r="D45" s="16">
        <v>539</v>
      </c>
      <c r="E45" s="17">
        <f t="shared" si="4"/>
        <v>18.002600000000029</v>
      </c>
      <c r="F45" s="18">
        <f t="shared" si="1"/>
        <v>990.14300000000162</v>
      </c>
      <c r="G45" s="19">
        <f t="shared" si="3"/>
        <v>26.950000000000045</v>
      </c>
      <c r="H45" s="20">
        <f t="shared" si="2"/>
        <v>8.947400000000016</v>
      </c>
    </row>
    <row r="46" spans="1:8" ht="13" x14ac:dyDescent="0.15">
      <c r="A46" s="12">
        <v>45569</v>
      </c>
      <c r="B46" s="13" t="s">
        <v>6</v>
      </c>
      <c r="C46" s="14">
        <v>0.92949999999999999</v>
      </c>
      <c r="D46" s="16">
        <v>539</v>
      </c>
      <c r="E46" s="17">
        <f t="shared" si="4"/>
        <v>37.999500000000012</v>
      </c>
      <c r="F46" s="18">
        <f t="shared" si="1"/>
        <v>2089.9725000000008</v>
      </c>
      <c r="G46" s="19">
        <f t="shared" si="3"/>
        <v>26.950000000000045</v>
      </c>
      <c r="H46" s="20">
        <f t="shared" si="2"/>
        <v>-11.049499999999966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0.93700000000000006</v>
      </c>
      <c r="D52" s="16">
        <v>540</v>
      </c>
      <c r="E52" s="17">
        <f t="shared" si="4"/>
        <v>34.019999999999982</v>
      </c>
      <c r="F52" s="18">
        <f t="shared" si="1"/>
        <v>1871.099999999999</v>
      </c>
      <c r="G52" s="19">
        <f t="shared" si="3"/>
        <v>27</v>
      </c>
      <c r="H52" s="20">
        <f t="shared" si="2"/>
        <v>-7.0199999999999818</v>
      </c>
    </row>
    <row r="53" spans="1:8" ht="13" x14ac:dyDescent="0.15">
      <c r="A53" s="12">
        <v>45580</v>
      </c>
      <c r="B53" s="13" t="s">
        <v>3</v>
      </c>
      <c r="C53" s="14">
        <v>0.95369999999999999</v>
      </c>
      <c r="D53" s="16">
        <v>540</v>
      </c>
      <c r="E53" s="17">
        <f t="shared" si="4"/>
        <v>25.001999999999953</v>
      </c>
      <c r="F53" s="18">
        <f t="shared" si="1"/>
        <v>1375.1099999999974</v>
      </c>
      <c r="G53" s="19">
        <f t="shared" si="3"/>
        <v>27</v>
      </c>
      <c r="H53" s="20">
        <f t="shared" si="2"/>
        <v>1.9980000000000473</v>
      </c>
    </row>
    <row r="54" spans="1:8" ht="13" x14ac:dyDescent="0.15">
      <c r="A54" s="12">
        <v>45581</v>
      </c>
      <c r="B54" s="13" t="s">
        <v>4</v>
      </c>
      <c r="C54" s="29">
        <v>0.96299999999999997</v>
      </c>
      <c r="D54" s="16">
        <v>540</v>
      </c>
      <c r="E54" s="17">
        <f t="shared" si="4"/>
        <v>19.980000000000018</v>
      </c>
      <c r="F54" s="18">
        <f t="shared" si="1"/>
        <v>1098.900000000001</v>
      </c>
      <c r="G54" s="19">
        <f t="shared" si="3"/>
        <v>27</v>
      </c>
      <c r="H54" s="20">
        <f t="shared" si="2"/>
        <v>7.0199999999999818</v>
      </c>
    </row>
    <row r="55" spans="1:8" ht="13" x14ac:dyDescent="0.15">
      <c r="A55" s="12">
        <v>45582</v>
      </c>
      <c r="B55" s="13" t="s">
        <v>5</v>
      </c>
      <c r="C55" s="14">
        <v>0.95189999999999997</v>
      </c>
      <c r="D55" s="16">
        <v>540</v>
      </c>
      <c r="E55" s="17">
        <f t="shared" si="4"/>
        <v>25.974000000000046</v>
      </c>
      <c r="F55" s="18">
        <f t="shared" si="1"/>
        <v>1428.5700000000024</v>
      </c>
      <c r="G55" s="19">
        <f t="shared" si="3"/>
        <v>27</v>
      </c>
      <c r="H55" s="20">
        <f t="shared" si="2"/>
        <v>1.0259999999999536</v>
      </c>
    </row>
    <row r="56" spans="1:8" ht="13" x14ac:dyDescent="0.15">
      <c r="A56" s="12">
        <v>45583</v>
      </c>
      <c r="B56" s="13" t="s">
        <v>6</v>
      </c>
      <c r="C56" s="14">
        <v>0.93489999999999995</v>
      </c>
      <c r="D56" s="16">
        <v>538</v>
      </c>
      <c r="E56" s="17">
        <f t="shared" si="4"/>
        <v>35.023800000000051</v>
      </c>
      <c r="F56" s="18">
        <f t="shared" si="1"/>
        <v>1926.3090000000029</v>
      </c>
      <c r="G56" s="19">
        <f t="shared" si="3"/>
        <v>26.900000000000034</v>
      </c>
      <c r="H56" s="20">
        <f t="shared" si="2"/>
        <v>-8.123800000000017</v>
      </c>
    </row>
    <row r="57" spans="1:8" ht="13" x14ac:dyDescent="0.15">
      <c r="A57" s="12">
        <v>45586</v>
      </c>
      <c r="B57" s="13" t="s">
        <v>2</v>
      </c>
      <c r="C57" s="14">
        <v>0.92710000000000004</v>
      </c>
      <c r="D57" s="16">
        <v>535</v>
      </c>
      <c r="E57" s="17">
        <f t="shared" si="4"/>
        <v>39.001499999999965</v>
      </c>
      <c r="F57" s="18">
        <f t="shared" si="1"/>
        <v>2145.0824999999982</v>
      </c>
      <c r="G57" s="19">
        <f t="shared" si="3"/>
        <v>26.75</v>
      </c>
      <c r="H57" s="20">
        <f t="shared" si="2"/>
        <v>-12.251499999999965</v>
      </c>
    </row>
    <row r="58" spans="1:8" ht="13" x14ac:dyDescent="0.15">
      <c r="A58" s="12">
        <v>45587</v>
      </c>
      <c r="B58" s="13" t="s">
        <v>3</v>
      </c>
      <c r="C58" s="14">
        <v>0.93840000000000001</v>
      </c>
      <c r="D58" s="16">
        <v>536</v>
      </c>
      <c r="E58" s="17">
        <f t="shared" si="4"/>
        <v>33.017600000000016</v>
      </c>
      <c r="F58" s="18">
        <f t="shared" si="1"/>
        <v>1815.9680000000008</v>
      </c>
      <c r="G58" s="19">
        <f t="shared" si="3"/>
        <v>26.800000000000011</v>
      </c>
      <c r="H58" s="20">
        <f t="shared" si="2"/>
        <v>-6.2176000000000045</v>
      </c>
    </row>
    <row r="59" spans="1:8" ht="13" x14ac:dyDescent="0.15">
      <c r="A59" s="12">
        <v>45588</v>
      </c>
      <c r="B59" s="13" t="s">
        <v>4</v>
      </c>
      <c r="C59" s="14">
        <v>0.97570000000000001</v>
      </c>
      <c r="D59" s="16">
        <v>536</v>
      </c>
      <c r="E59" s="17">
        <f t="shared" si="4"/>
        <v>13.024800000000027</v>
      </c>
      <c r="F59" s="18">
        <f t="shared" si="1"/>
        <v>716.36400000000151</v>
      </c>
      <c r="G59" s="19">
        <f t="shared" si="3"/>
        <v>26.800000000000011</v>
      </c>
      <c r="H59" s="20">
        <f t="shared" si="2"/>
        <v>13.775199999999984</v>
      </c>
    </row>
    <row r="60" spans="1:8" ht="13" x14ac:dyDescent="0.15">
      <c r="A60" s="12">
        <v>45589</v>
      </c>
      <c r="B60" s="13" t="s">
        <v>5</v>
      </c>
      <c r="C60" s="14">
        <v>0.96640000000000004</v>
      </c>
      <c r="D60" s="16">
        <v>536</v>
      </c>
      <c r="E60" s="17">
        <f t="shared" si="4"/>
        <v>18.009599999999978</v>
      </c>
      <c r="F60" s="18">
        <f t="shared" si="1"/>
        <v>990.52799999999877</v>
      </c>
      <c r="G60" s="19">
        <f t="shared" si="3"/>
        <v>26.800000000000011</v>
      </c>
      <c r="H60" s="20">
        <f t="shared" si="2"/>
        <v>8.7904000000000337</v>
      </c>
    </row>
    <row r="61" spans="1:8" ht="13" x14ac:dyDescent="0.15">
      <c r="A61" s="12">
        <v>45590</v>
      </c>
      <c r="B61" s="13" t="s">
        <v>6</v>
      </c>
      <c r="C61" s="14">
        <v>0.95150000000000001</v>
      </c>
      <c r="D61" s="16">
        <v>536</v>
      </c>
      <c r="E61" s="17">
        <f t="shared" si="4"/>
        <v>25.995999999999981</v>
      </c>
      <c r="F61" s="18">
        <f t="shared" si="1"/>
        <v>1429.7799999999988</v>
      </c>
      <c r="G61" s="19">
        <f t="shared" si="3"/>
        <v>26.800000000000011</v>
      </c>
      <c r="H61" s="20">
        <f t="shared" si="2"/>
        <v>0.80400000000003047</v>
      </c>
    </row>
    <row r="62" spans="1:8" ht="13" x14ac:dyDescent="0.15">
      <c r="A62" s="12">
        <v>45593</v>
      </c>
      <c r="B62" s="13" t="s">
        <v>2</v>
      </c>
      <c r="C62" s="14">
        <v>0.95150000000000001</v>
      </c>
      <c r="D62" s="16">
        <v>536</v>
      </c>
      <c r="E62" s="17">
        <f t="shared" si="4"/>
        <v>25.995999999999981</v>
      </c>
      <c r="F62" s="18">
        <f t="shared" si="1"/>
        <v>1429.7799999999988</v>
      </c>
      <c r="G62" s="19">
        <f t="shared" si="3"/>
        <v>26.800000000000011</v>
      </c>
      <c r="H62" s="20">
        <f t="shared" si="2"/>
        <v>0.80400000000003047</v>
      </c>
    </row>
    <row r="63" spans="1:8" ht="13" x14ac:dyDescent="0.15">
      <c r="A63" s="12">
        <v>45594</v>
      </c>
      <c r="B63" s="13" t="s">
        <v>3</v>
      </c>
      <c r="C63" s="14">
        <v>0.96460000000000001</v>
      </c>
      <c r="D63" s="16">
        <v>536</v>
      </c>
      <c r="E63" s="17">
        <f t="shared" si="4"/>
        <v>18.974399999999946</v>
      </c>
      <c r="F63" s="18">
        <f t="shared" si="1"/>
        <v>1043.5919999999969</v>
      </c>
      <c r="G63" s="19">
        <f t="shared" si="3"/>
        <v>26.800000000000011</v>
      </c>
      <c r="H63" s="20">
        <f t="shared" si="2"/>
        <v>7.8256000000000654</v>
      </c>
    </row>
    <row r="64" spans="1:8" ht="13" x14ac:dyDescent="0.15">
      <c r="A64" s="12">
        <v>45595</v>
      </c>
      <c r="B64" s="13" t="s">
        <v>4</v>
      </c>
      <c r="C64" s="14">
        <v>0.95509999999999995</v>
      </c>
      <c r="D64" s="16">
        <v>535</v>
      </c>
      <c r="E64" s="17">
        <f t="shared" si="4"/>
        <v>24.021500000000003</v>
      </c>
      <c r="F64" s="18">
        <f t="shared" si="1"/>
        <v>1321.1825000000001</v>
      </c>
      <c r="G64" s="19">
        <f t="shared" si="3"/>
        <v>26.75</v>
      </c>
      <c r="H64" s="20">
        <f t="shared" si="2"/>
        <v>2.7284999999999968</v>
      </c>
    </row>
    <row r="65" spans="1:8" ht="13" x14ac:dyDescent="0.15">
      <c r="A65" s="12">
        <v>45596</v>
      </c>
      <c r="B65" s="13" t="s">
        <v>5</v>
      </c>
      <c r="C65" s="14">
        <v>0.96819999999999995</v>
      </c>
      <c r="D65" s="16">
        <v>535</v>
      </c>
      <c r="E65" s="17">
        <f t="shared" si="4"/>
        <v>17.013000000000034</v>
      </c>
      <c r="F65" s="18">
        <f t="shared" si="1"/>
        <v>935.71500000000185</v>
      </c>
      <c r="G65" s="19">
        <f t="shared" si="3"/>
        <v>26.75</v>
      </c>
      <c r="H65" s="20">
        <f t="shared" si="2"/>
        <v>9.7369999999999663</v>
      </c>
    </row>
    <row r="66" spans="1:8" ht="13" x14ac:dyDescent="0.15">
      <c r="A66" s="12">
        <v>45597</v>
      </c>
      <c r="B66" s="13" t="s">
        <v>6</v>
      </c>
      <c r="C66" s="14">
        <v>0.90280000000000005</v>
      </c>
      <c r="D66" s="16">
        <v>535</v>
      </c>
      <c r="E66" s="17">
        <f t="shared" si="4"/>
        <v>52.001999999999953</v>
      </c>
      <c r="F66" s="18">
        <f t="shared" si="1"/>
        <v>2860.1099999999974</v>
      </c>
      <c r="G66" s="19">
        <f t="shared" si="3"/>
        <v>26.75</v>
      </c>
      <c r="H66" s="20">
        <f t="shared" si="2"/>
        <v>-25.251999999999953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0.95509999999999995</v>
      </c>
      <c r="D69" s="16">
        <v>535</v>
      </c>
      <c r="E69" s="17">
        <f t="shared" si="4"/>
        <v>24.021500000000003</v>
      </c>
      <c r="F69" s="18">
        <f t="shared" si="1"/>
        <v>1321.1825000000001</v>
      </c>
      <c r="G69" s="19">
        <f t="shared" si="3"/>
        <v>26.75</v>
      </c>
      <c r="H69" s="20">
        <f t="shared" si="2"/>
        <v>2.7284999999999968</v>
      </c>
    </row>
    <row r="70" spans="1:8" ht="13" x14ac:dyDescent="0.15">
      <c r="A70" s="12">
        <v>45603</v>
      </c>
      <c r="B70" s="13" t="s">
        <v>5</v>
      </c>
      <c r="C70" s="14">
        <v>0.96050000000000002</v>
      </c>
      <c r="D70" s="16">
        <v>532</v>
      </c>
      <c r="E70" s="17">
        <f t="shared" si="4"/>
        <v>21.01400000000001</v>
      </c>
      <c r="F70" s="18">
        <f t="shared" si="1"/>
        <v>1155.7700000000004</v>
      </c>
      <c r="G70" s="19">
        <f t="shared" si="3"/>
        <v>26.600000000000023</v>
      </c>
      <c r="H70" s="20">
        <f t="shared" si="2"/>
        <v>5.5860000000000127</v>
      </c>
    </row>
    <row r="71" spans="1:8" ht="13" x14ac:dyDescent="0.15">
      <c r="A71" s="12">
        <v>45604</v>
      </c>
      <c r="B71" s="13" t="s">
        <v>6</v>
      </c>
      <c r="C71" s="14">
        <v>0.95299999999999996</v>
      </c>
      <c r="D71" s="16">
        <v>532</v>
      </c>
      <c r="E71" s="17">
        <f t="shared" ref="E71:E102" si="5">D71-(C71*D71)</f>
        <v>25.004000000000019</v>
      </c>
      <c r="F71" s="18">
        <f t="shared" si="1"/>
        <v>1375.2200000000012</v>
      </c>
      <c r="G71" s="19">
        <f t="shared" si="3"/>
        <v>26.600000000000023</v>
      </c>
      <c r="H71" s="20">
        <f t="shared" si="2"/>
        <v>1.5960000000000036</v>
      </c>
    </row>
    <row r="72" spans="1:8" ht="13" x14ac:dyDescent="0.15">
      <c r="A72" s="12">
        <v>45607</v>
      </c>
      <c r="B72" s="13" t="s">
        <v>2</v>
      </c>
      <c r="C72" s="14">
        <v>0.95299999999999996</v>
      </c>
      <c r="D72" s="16">
        <v>532</v>
      </c>
      <c r="E72" s="17">
        <f t="shared" si="5"/>
        <v>25.004000000000019</v>
      </c>
      <c r="F72" s="18">
        <f t="shared" si="1"/>
        <v>1375.2200000000012</v>
      </c>
      <c r="G72" s="19">
        <f t="shared" si="3"/>
        <v>26.600000000000023</v>
      </c>
      <c r="H72" s="20">
        <f t="shared" si="2"/>
        <v>1.5960000000000036</v>
      </c>
    </row>
    <row r="73" spans="1:8" ht="13" x14ac:dyDescent="0.15">
      <c r="A73" s="12">
        <v>45608</v>
      </c>
      <c r="B73" s="13" t="s">
        <v>3</v>
      </c>
      <c r="C73" s="14">
        <v>0.94899999999999995</v>
      </c>
      <c r="D73" s="16">
        <v>529</v>
      </c>
      <c r="E73" s="17">
        <f t="shared" si="5"/>
        <v>26.979000000000042</v>
      </c>
      <c r="F73" s="18">
        <f t="shared" si="1"/>
        <v>1483.8450000000023</v>
      </c>
      <c r="G73" s="19">
        <f t="shared" si="3"/>
        <v>26.450000000000045</v>
      </c>
      <c r="H73" s="20">
        <f t="shared" si="2"/>
        <v>-0.52899999999999636</v>
      </c>
    </row>
    <row r="74" spans="1:8" ht="13" x14ac:dyDescent="0.15">
      <c r="A74" s="12">
        <v>45609</v>
      </c>
      <c r="B74" s="13" t="s">
        <v>4</v>
      </c>
      <c r="C74" s="14">
        <v>0.96409999999999996</v>
      </c>
      <c r="D74" s="16">
        <v>529</v>
      </c>
      <c r="E74" s="17">
        <f t="shared" si="5"/>
        <v>18.991100000000017</v>
      </c>
      <c r="F74" s="18">
        <f t="shared" si="1"/>
        <v>1044.510500000001</v>
      </c>
      <c r="G74" s="19">
        <f t="shared" si="3"/>
        <v>26.450000000000045</v>
      </c>
      <c r="H74" s="20">
        <f t="shared" si="2"/>
        <v>7.4589000000000283</v>
      </c>
    </row>
    <row r="75" spans="1:8" ht="13" x14ac:dyDescent="0.15">
      <c r="A75" s="12">
        <v>45610</v>
      </c>
      <c r="B75" s="13" t="s">
        <v>5</v>
      </c>
      <c r="C75" s="14">
        <v>0.94899999999999995</v>
      </c>
      <c r="D75" s="16">
        <v>529</v>
      </c>
      <c r="E75" s="17">
        <f t="shared" si="5"/>
        <v>26.979000000000042</v>
      </c>
      <c r="F75" s="18">
        <f t="shared" si="1"/>
        <v>1483.8450000000023</v>
      </c>
      <c r="G75" s="19">
        <f t="shared" si="3"/>
        <v>26.450000000000045</v>
      </c>
      <c r="H75" s="20">
        <f t="shared" si="2"/>
        <v>-0.52899999999999636</v>
      </c>
    </row>
    <row r="76" spans="1:8" ht="13" x14ac:dyDescent="0.15">
      <c r="A76" s="12">
        <v>45611</v>
      </c>
      <c r="B76" s="13" t="s">
        <v>6</v>
      </c>
      <c r="C76" s="14">
        <v>0.95269999999999999</v>
      </c>
      <c r="D76" s="16">
        <v>529</v>
      </c>
      <c r="E76" s="17">
        <f t="shared" si="5"/>
        <v>25.02170000000001</v>
      </c>
      <c r="F76" s="18">
        <f t="shared" si="1"/>
        <v>1376.1935000000005</v>
      </c>
      <c r="G76" s="19">
        <f t="shared" si="3"/>
        <v>26.450000000000045</v>
      </c>
      <c r="H76" s="20">
        <f t="shared" si="2"/>
        <v>1.4283000000000357</v>
      </c>
    </row>
    <row r="77" spans="1:8" ht="13" x14ac:dyDescent="0.15">
      <c r="A77" s="12">
        <v>45614</v>
      </c>
      <c r="B77" s="13" t="s">
        <v>2</v>
      </c>
      <c r="C77" s="14">
        <v>0.93010000000000004</v>
      </c>
      <c r="D77" s="16">
        <v>529</v>
      </c>
      <c r="E77" s="17">
        <f t="shared" si="5"/>
        <v>36.977100000000007</v>
      </c>
      <c r="F77" s="18">
        <f t="shared" si="1"/>
        <v>2033.7405000000003</v>
      </c>
      <c r="G77" s="19">
        <f t="shared" si="3"/>
        <v>26.450000000000045</v>
      </c>
      <c r="H77" s="20">
        <f t="shared" si="2"/>
        <v>-10.527099999999962</v>
      </c>
    </row>
    <row r="78" spans="1:8" ht="13" x14ac:dyDescent="0.15">
      <c r="A78" s="12">
        <v>45615</v>
      </c>
      <c r="B78" s="13" t="s">
        <v>3</v>
      </c>
      <c r="C78" s="14">
        <v>0.9546</v>
      </c>
      <c r="D78" s="16">
        <v>529</v>
      </c>
      <c r="E78" s="17">
        <f t="shared" si="5"/>
        <v>24.016599999999983</v>
      </c>
      <c r="F78" s="18">
        <f t="shared" si="1"/>
        <v>1320.9129999999991</v>
      </c>
      <c r="G78" s="19">
        <f t="shared" si="3"/>
        <v>26.450000000000045</v>
      </c>
      <c r="H78" s="20">
        <f t="shared" si="2"/>
        <v>2.4334000000000628</v>
      </c>
    </row>
    <row r="79" spans="1:8" ht="13" x14ac:dyDescent="0.15">
      <c r="A79" s="12">
        <v>45616</v>
      </c>
      <c r="B79" s="13" t="s">
        <v>4</v>
      </c>
      <c r="C79" s="14">
        <v>0.96789999999999998</v>
      </c>
      <c r="D79" s="16">
        <v>529</v>
      </c>
      <c r="E79" s="17">
        <f t="shared" si="5"/>
        <v>16.98090000000002</v>
      </c>
      <c r="F79" s="18">
        <f t="shared" si="1"/>
        <v>933.94950000000108</v>
      </c>
      <c r="G79" s="19">
        <f t="shared" si="3"/>
        <v>26.450000000000045</v>
      </c>
      <c r="H79" s="20">
        <f t="shared" si="2"/>
        <v>9.4691000000000258</v>
      </c>
    </row>
    <row r="80" spans="1:8" ht="13" x14ac:dyDescent="0.15">
      <c r="A80" s="12">
        <v>45617</v>
      </c>
      <c r="B80" s="13" t="s">
        <v>5</v>
      </c>
      <c r="C80" s="14">
        <v>0.95840000000000003</v>
      </c>
      <c r="D80" s="16">
        <v>529</v>
      </c>
      <c r="E80" s="17">
        <f t="shared" si="5"/>
        <v>22.006399999999985</v>
      </c>
      <c r="F80" s="18">
        <f t="shared" si="1"/>
        <v>1210.3519999999992</v>
      </c>
      <c r="G80" s="19">
        <f t="shared" si="3"/>
        <v>26.450000000000045</v>
      </c>
      <c r="H80" s="20">
        <f t="shared" si="2"/>
        <v>4.4436000000000604</v>
      </c>
    </row>
    <row r="81" spans="1:8" ht="13" x14ac:dyDescent="0.15">
      <c r="A81" s="12">
        <v>45618</v>
      </c>
      <c r="B81" s="13" t="s">
        <v>6</v>
      </c>
      <c r="C81" s="14">
        <v>0.90169999999999995</v>
      </c>
      <c r="D81" s="16">
        <v>529</v>
      </c>
      <c r="E81" s="17">
        <f t="shared" si="5"/>
        <v>52.000700000000052</v>
      </c>
      <c r="F81" s="18">
        <f t="shared" si="1"/>
        <v>2860.0385000000028</v>
      </c>
      <c r="G81" s="19">
        <f t="shared" si="3"/>
        <v>26.450000000000045</v>
      </c>
      <c r="H81" s="20">
        <f t="shared" si="2"/>
        <v>-25.550700000000006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0.94140000000000001</v>
      </c>
      <c r="D87" s="16">
        <v>529</v>
      </c>
      <c r="E87" s="17">
        <f t="shared" si="5"/>
        <v>30.99939999999998</v>
      </c>
      <c r="F87" s="18">
        <f t="shared" si="1"/>
        <v>1704.966999999999</v>
      </c>
      <c r="G87" s="19">
        <f t="shared" si="3"/>
        <v>26.450000000000045</v>
      </c>
      <c r="H87" s="20">
        <f t="shared" si="2"/>
        <v>-4.5493999999999346</v>
      </c>
    </row>
    <row r="88" spans="1:8" ht="13" x14ac:dyDescent="0.15">
      <c r="A88" s="12">
        <v>45629</v>
      </c>
      <c r="B88" s="13" t="s">
        <v>3</v>
      </c>
      <c r="C88" s="14">
        <v>0.9395</v>
      </c>
      <c r="D88" s="16">
        <v>529</v>
      </c>
      <c r="E88" s="17">
        <f t="shared" si="5"/>
        <v>32.004500000000007</v>
      </c>
      <c r="F88" s="18">
        <f t="shared" si="1"/>
        <v>1760.2475000000004</v>
      </c>
      <c r="G88" s="19">
        <f t="shared" si="3"/>
        <v>26.450000000000045</v>
      </c>
      <c r="H88" s="20">
        <f t="shared" si="2"/>
        <v>-5.5544999999999618</v>
      </c>
    </row>
    <row r="89" spans="1:8" ht="13" x14ac:dyDescent="0.15">
      <c r="A89" s="12">
        <v>45630</v>
      </c>
      <c r="B89" s="13" t="s">
        <v>4</v>
      </c>
      <c r="C89" s="14">
        <v>0.97919999999999996</v>
      </c>
      <c r="D89" s="16">
        <v>528</v>
      </c>
      <c r="E89" s="17">
        <f t="shared" si="5"/>
        <v>10.982399999999984</v>
      </c>
      <c r="F89" s="18">
        <f t="shared" si="1"/>
        <v>604.03199999999913</v>
      </c>
      <c r="G89" s="19">
        <f t="shared" si="3"/>
        <v>26.400000000000034</v>
      </c>
      <c r="H89" s="20">
        <f t="shared" si="2"/>
        <v>15.41760000000005</v>
      </c>
    </row>
    <row r="90" spans="1:8" ht="13" x14ac:dyDescent="0.15">
      <c r="A90" s="12">
        <v>45631</v>
      </c>
      <c r="B90" s="13" t="s">
        <v>5</v>
      </c>
      <c r="C90" s="14">
        <v>0.96020000000000005</v>
      </c>
      <c r="D90" s="16">
        <v>528</v>
      </c>
      <c r="E90" s="17">
        <f t="shared" si="5"/>
        <v>21.014399999999966</v>
      </c>
      <c r="F90" s="18">
        <f t="shared" si="1"/>
        <v>1155.7919999999981</v>
      </c>
      <c r="G90" s="19">
        <f t="shared" si="3"/>
        <v>26.400000000000034</v>
      </c>
      <c r="H90" s="20">
        <f t="shared" si="2"/>
        <v>5.3856000000000677</v>
      </c>
    </row>
    <row r="91" spans="1:8" ht="13" x14ac:dyDescent="0.15">
      <c r="A91" s="12">
        <v>45632</v>
      </c>
      <c r="B91" s="13" t="s">
        <v>6</v>
      </c>
      <c r="C91" s="14">
        <v>0.93179999999999996</v>
      </c>
      <c r="D91" s="16">
        <v>528</v>
      </c>
      <c r="E91" s="17">
        <f t="shared" si="5"/>
        <v>36.009600000000034</v>
      </c>
      <c r="F91" s="18">
        <f t="shared" si="1"/>
        <v>1980.5280000000018</v>
      </c>
      <c r="G91" s="19">
        <f t="shared" si="3"/>
        <v>26.400000000000034</v>
      </c>
      <c r="H91" s="20">
        <f t="shared" si="2"/>
        <v>-9.6096000000000004</v>
      </c>
    </row>
    <row r="92" spans="1:8" ht="13" x14ac:dyDescent="0.15">
      <c r="A92" s="12">
        <v>45635</v>
      </c>
      <c r="B92" s="13" t="s">
        <v>2</v>
      </c>
      <c r="C92" s="14">
        <v>0.94699999999999995</v>
      </c>
      <c r="D92" s="16">
        <v>528</v>
      </c>
      <c r="E92" s="17">
        <f t="shared" si="5"/>
        <v>27.984000000000037</v>
      </c>
      <c r="F92" s="18">
        <f t="shared" si="1"/>
        <v>1539.1200000000022</v>
      </c>
      <c r="G92" s="19">
        <f t="shared" si="3"/>
        <v>26.400000000000034</v>
      </c>
      <c r="H92" s="20">
        <f t="shared" si="2"/>
        <v>-1.5840000000000032</v>
      </c>
    </row>
    <row r="93" spans="1:8" ht="13" x14ac:dyDescent="0.15">
      <c r="A93" s="12">
        <v>45636</v>
      </c>
      <c r="B93" s="13" t="s">
        <v>3</v>
      </c>
      <c r="C93" s="14">
        <v>0.9677</v>
      </c>
      <c r="D93" s="16">
        <v>526</v>
      </c>
      <c r="E93" s="17">
        <f t="shared" si="5"/>
        <v>16.989800000000002</v>
      </c>
      <c r="F93" s="18">
        <f t="shared" si="1"/>
        <v>934.43900000000008</v>
      </c>
      <c r="G93" s="19">
        <f t="shared" si="3"/>
        <v>26.300000000000011</v>
      </c>
      <c r="H93" s="20">
        <f t="shared" si="2"/>
        <v>9.3102000000000089</v>
      </c>
    </row>
    <row r="94" spans="1:8" ht="13" x14ac:dyDescent="0.15">
      <c r="A94" s="12">
        <v>45637</v>
      </c>
      <c r="B94" s="13" t="s">
        <v>4</v>
      </c>
      <c r="C94" s="14">
        <v>0.94110000000000005</v>
      </c>
      <c r="D94" s="16">
        <v>526</v>
      </c>
      <c r="E94" s="17">
        <f t="shared" si="5"/>
        <v>30.981399999999951</v>
      </c>
      <c r="F94" s="18">
        <f t="shared" si="1"/>
        <v>1703.9769999999974</v>
      </c>
      <c r="G94" s="19">
        <f t="shared" si="3"/>
        <v>26.300000000000011</v>
      </c>
      <c r="H94" s="20">
        <f t="shared" si="2"/>
        <v>-4.6813999999999396</v>
      </c>
    </row>
    <row r="95" spans="1:8" ht="13" x14ac:dyDescent="0.15">
      <c r="A95" s="12">
        <v>45638</v>
      </c>
      <c r="B95" s="13" t="s">
        <v>5</v>
      </c>
      <c r="C95" s="14">
        <v>0.9506</v>
      </c>
      <c r="D95" s="16">
        <v>526</v>
      </c>
      <c r="E95" s="17">
        <f t="shared" si="5"/>
        <v>25.984399999999994</v>
      </c>
      <c r="F95" s="18">
        <f t="shared" si="1"/>
        <v>1429.1419999999996</v>
      </c>
      <c r="G95" s="19">
        <f t="shared" si="3"/>
        <v>26.300000000000011</v>
      </c>
      <c r="H95" s="20">
        <f t="shared" si="2"/>
        <v>0.31560000000001764</v>
      </c>
    </row>
    <row r="96" spans="1:8" ht="13" x14ac:dyDescent="0.15">
      <c r="A96" s="12">
        <v>45639</v>
      </c>
      <c r="B96" s="13" t="s">
        <v>6</v>
      </c>
      <c r="C96" s="14">
        <v>0.92779999999999996</v>
      </c>
      <c r="D96" s="16">
        <v>526</v>
      </c>
      <c r="E96" s="17">
        <f t="shared" si="5"/>
        <v>37.977200000000039</v>
      </c>
      <c r="F96" s="18">
        <f t="shared" si="1"/>
        <v>2088.7460000000019</v>
      </c>
      <c r="G96" s="19">
        <f t="shared" si="3"/>
        <v>26.300000000000011</v>
      </c>
      <c r="H96" s="20">
        <f t="shared" si="2"/>
        <v>-11.677200000000028</v>
      </c>
    </row>
    <row r="97" spans="1:8" ht="13" x14ac:dyDescent="0.15">
      <c r="A97" s="12">
        <v>45642</v>
      </c>
      <c r="B97" s="13" t="s">
        <v>2</v>
      </c>
      <c r="C97" s="14">
        <v>0.95630000000000004</v>
      </c>
      <c r="D97" s="16">
        <v>526</v>
      </c>
      <c r="E97" s="17">
        <f t="shared" si="5"/>
        <v>22.986199999999997</v>
      </c>
      <c r="F97" s="18">
        <f t="shared" si="1"/>
        <v>1264.2409999999998</v>
      </c>
      <c r="G97" s="19">
        <f t="shared" si="3"/>
        <v>26.300000000000011</v>
      </c>
      <c r="H97" s="20">
        <f t="shared" si="2"/>
        <v>3.3138000000000147</v>
      </c>
    </row>
    <row r="98" spans="1:8" ht="13" x14ac:dyDescent="0.15">
      <c r="A98" s="12">
        <v>45643</v>
      </c>
      <c r="B98" s="13" t="s">
        <v>3</v>
      </c>
      <c r="C98" s="14">
        <v>0.95250000000000001</v>
      </c>
      <c r="D98" s="16">
        <v>526</v>
      </c>
      <c r="E98" s="17">
        <f t="shared" si="5"/>
        <v>24.985000000000014</v>
      </c>
      <c r="F98" s="18">
        <f t="shared" si="1"/>
        <v>1374.1750000000006</v>
      </c>
      <c r="G98" s="19">
        <f t="shared" si="3"/>
        <v>26.300000000000011</v>
      </c>
      <c r="H98" s="20">
        <f t="shared" si="2"/>
        <v>1.3149999999999977</v>
      </c>
    </row>
    <row r="99" spans="1:8" ht="13" x14ac:dyDescent="0.15">
      <c r="A99" s="12">
        <v>45644</v>
      </c>
      <c r="B99" s="13" t="s">
        <v>4</v>
      </c>
      <c r="C99" s="14">
        <v>0.97350000000000003</v>
      </c>
      <c r="D99" s="16">
        <v>529</v>
      </c>
      <c r="E99" s="17">
        <f t="shared" si="5"/>
        <v>14.018500000000017</v>
      </c>
      <c r="F99" s="18">
        <f t="shared" si="1"/>
        <v>771.01750000000095</v>
      </c>
      <c r="G99" s="19">
        <f t="shared" si="3"/>
        <v>26.450000000000045</v>
      </c>
      <c r="H99" s="20">
        <f t="shared" si="2"/>
        <v>12.431500000000028</v>
      </c>
    </row>
    <row r="100" spans="1:8" ht="13" x14ac:dyDescent="0.15">
      <c r="A100" s="12">
        <v>45645</v>
      </c>
      <c r="B100" s="13" t="s">
        <v>5</v>
      </c>
      <c r="C100" s="14">
        <v>0.96220000000000006</v>
      </c>
      <c r="D100" s="16">
        <v>529</v>
      </c>
      <c r="E100" s="17">
        <f t="shared" si="5"/>
        <v>19.996199999999988</v>
      </c>
      <c r="F100" s="18">
        <f t="shared" si="1"/>
        <v>1099.7909999999993</v>
      </c>
      <c r="G100" s="19">
        <f t="shared" si="3"/>
        <v>26.450000000000045</v>
      </c>
      <c r="H100" s="20">
        <f t="shared" si="2"/>
        <v>6.4538000000000579</v>
      </c>
    </row>
    <row r="101" spans="1:8" ht="13" x14ac:dyDescent="0.15">
      <c r="A101" s="12">
        <v>45646</v>
      </c>
      <c r="B101" s="13" t="s">
        <v>6</v>
      </c>
      <c r="C101" s="14">
        <v>0.92249999999999999</v>
      </c>
      <c r="D101" s="16">
        <v>529</v>
      </c>
      <c r="E101" s="17">
        <f t="shared" si="5"/>
        <v>40.997500000000002</v>
      </c>
      <c r="F101" s="18">
        <f t="shared" si="1"/>
        <v>2254.8625000000002</v>
      </c>
      <c r="G101" s="19">
        <f t="shared" si="3"/>
        <v>26.450000000000045</v>
      </c>
      <c r="H101" s="20">
        <f t="shared" si="2"/>
        <v>-14.547499999999957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ref="E103:E132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0.91890000000000005</v>
      </c>
      <c r="D114" s="16">
        <v>530</v>
      </c>
      <c r="E114" s="17">
        <f t="shared" si="6"/>
        <v>42.982999999999947</v>
      </c>
      <c r="F114" s="18">
        <f t="shared" si="1"/>
        <v>2364.0649999999969</v>
      </c>
      <c r="G114" s="19">
        <f t="shared" si="3"/>
        <v>26.5</v>
      </c>
      <c r="H114" s="20">
        <f t="shared" si="2"/>
        <v>-16.482999999999947</v>
      </c>
    </row>
    <row r="115" spans="1:8" ht="13" x14ac:dyDescent="0.15">
      <c r="A115" s="12">
        <v>45666</v>
      </c>
      <c r="B115" s="13" t="s">
        <v>5</v>
      </c>
      <c r="C115" s="14">
        <v>0.92059999999999997</v>
      </c>
      <c r="D115" s="16">
        <v>529</v>
      </c>
      <c r="E115" s="17">
        <f t="shared" si="6"/>
        <v>42.002600000000029</v>
      </c>
      <c r="F115" s="18">
        <f t="shared" si="1"/>
        <v>2310.1430000000018</v>
      </c>
      <c r="G115" s="19">
        <f t="shared" si="3"/>
        <v>26.450000000000045</v>
      </c>
      <c r="H115" s="20">
        <f t="shared" si="2"/>
        <v>-15.552599999999984</v>
      </c>
    </row>
    <row r="116" spans="1:8" ht="13" x14ac:dyDescent="0.15">
      <c r="A116" s="12">
        <v>45667</v>
      </c>
      <c r="B116" s="13" t="s">
        <v>6</v>
      </c>
      <c r="C116" s="14">
        <v>0.90739999999999998</v>
      </c>
      <c r="D116" s="16">
        <v>529</v>
      </c>
      <c r="E116" s="17">
        <f t="shared" si="6"/>
        <v>48.985400000000027</v>
      </c>
      <c r="F116" s="18">
        <f t="shared" si="1"/>
        <v>2694.1970000000015</v>
      </c>
      <c r="G116" s="19">
        <f t="shared" si="3"/>
        <v>26.450000000000045</v>
      </c>
      <c r="H116" s="20">
        <f t="shared" si="2"/>
        <v>-22.535399999999981</v>
      </c>
    </row>
    <row r="117" spans="1:8" ht="13" x14ac:dyDescent="0.15">
      <c r="A117" s="12">
        <v>45670</v>
      </c>
      <c r="B117" s="13" t="s">
        <v>2</v>
      </c>
      <c r="C117" s="14">
        <v>0.95089999999999997</v>
      </c>
      <c r="D117" s="16">
        <v>530</v>
      </c>
      <c r="E117" s="17">
        <f t="shared" si="6"/>
        <v>26.023000000000025</v>
      </c>
      <c r="F117" s="18">
        <f t="shared" si="1"/>
        <v>1431.2650000000012</v>
      </c>
      <c r="G117" s="19">
        <f t="shared" si="3"/>
        <v>26.5</v>
      </c>
      <c r="H117" s="20">
        <f t="shared" si="2"/>
        <v>0.47699999999997544</v>
      </c>
    </row>
    <row r="118" spans="1:8" ht="13" x14ac:dyDescent="0.15">
      <c r="A118" s="12">
        <v>45671</v>
      </c>
      <c r="B118" s="13" t="s">
        <v>3</v>
      </c>
      <c r="C118" s="14">
        <v>0.97550000000000003</v>
      </c>
      <c r="D118" s="16">
        <v>530</v>
      </c>
      <c r="E118" s="17">
        <f t="shared" si="6"/>
        <v>12.985000000000014</v>
      </c>
      <c r="F118" s="18">
        <f t="shared" si="1"/>
        <v>714.17500000000075</v>
      </c>
      <c r="G118" s="19">
        <f t="shared" si="3"/>
        <v>26.5</v>
      </c>
      <c r="H118" s="20">
        <f t="shared" si="2"/>
        <v>13.514999999999986</v>
      </c>
    </row>
    <row r="119" spans="1:8" ht="13" x14ac:dyDescent="0.15">
      <c r="A119" s="12">
        <v>45672</v>
      </c>
      <c r="B119" s="13" t="s">
        <v>4</v>
      </c>
      <c r="C119" s="14">
        <v>0.96789999999999998</v>
      </c>
      <c r="D119" s="16">
        <v>530</v>
      </c>
      <c r="E119" s="17">
        <f t="shared" si="6"/>
        <v>17.013000000000034</v>
      </c>
      <c r="F119" s="18">
        <f t="shared" si="1"/>
        <v>935.71500000000185</v>
      </c>
      <c r="G119" s="19">
        <f t="shared" si="3"/>
        <v>26.5</v>
      </c>
      <c r="H119" s="20">
        <f t="shared" si="2"/>
        <v>9.4869999999999663</v>
      </c>
    </row>
    <row r="120" spans="1:8" ht="13" x14ac:dyDescent="0.15">
      <c r="A120" s="12">
        <v>45673</v>
      </c>
      <c r="B120" s="13" t="s">
        <v>5</v>
      </c>
      <c r="C120" s="14">
        <v>0.96230000000000004</v>
      </c>
      <c r="D120" s="16">
        <v>530</v>
      </c>
      <c r="E120" s="17">
        <f t="shared" si="6"/>
        <v>19.980999999999995</v>
      </c>
      <c r="F120" s="18">
        <f t="shared" si="1"/>
        <v>1098.9549999999997</v>
      </c>
      <c r="G120" s="19">
        <f t="shared" si="3"/>
        <v>26.5</v>
      </c>
      <c r="H120" s="20">
        <f t="shared" si="2"/>
        <v>6.5190000000000055</v>
      </c>
    </row>
    <row r="121" spans="1:8" ht="13" x14ac:dyDescent="0.15">
      <c r="A121" s="12">
        <v>45674</v>
      </c>
      <c r="B121" s="13" t="s">
        <v>6</v>
      </c>
      <c r="C121" s="14">
        <v>0.96789999999999998</v>
      </c>
      <c r="D121" s="16">
        <v>530</v>
      </c>
      <c r="E121" s="17">
        <f t="shared" si="6"/>
        <v>17.013000000000034</v>
      </c>
      <c r="F121" s="18">
        <f t="shared" si="1"/>
        <v>935.71500000000185</v>
      </c>
      <c r="G121" s="19">
        <f t="shared" si="3"/>
        <v>26.5</v>
      </c>
      <c r="H121" s="20">
        <f t="shared" si="2"/>
        <v>9.4869999999999663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0.83799999999999997</v>
      </c>
      <c r="D125" s="16">
        <v>531</v>
      </c>
      <c r="E125" s="17">
        <f t="shared" si="6"/>
        <v>86.021999999999991</v>
      </c>
      <c r="F125" s="18">
        <f t="shared" si="1"/>
        <v>4731.2099999999991</v>
      </c>
      <c r="G125" s="19">
        <f t="shared" si="3"/>
        <v>26.550000000000011</v>
      </c>
      <c r="H125" s="20">
        <f t="shared" si="2"/>
        <v>-59.47199999999998</v>
      </c>
    </row>
    <row r="126" spans="1:8" ht="13" x14ac:dyDescent="0.15">
      <c r="A126" s="12">
        <v>45681</v>
      </c>
      <c r="B126" s="13" t="s">
        <v>6</v>
      </c>
      <c r="C126" s="14">
        <v>0.91710000000000003</v>
      </c>
      <c r="D126" s="16">
        <v>531</v>
      </c>
      <c r="E126" s="17">
        <f t="shared" si="6"/>
        <v>44.019900000000007</v>
      </c>
      <c r="F126" s="18">
        <f t="shared" si="1"/>
        <v>2421.0945000000002</v>
      </c>
      <c r="G126" s="19">
        <f t="shared" si="3"/>
        <v>26.550000000000011</v>
      </c>
      <c r="H126" s="20">
        <f t="shared" si="2"/>
        <v>-17.469899999999996</v>
      </c>
    </row>
    <row r="127" spans="1:8" ht="13" x14ac:dyDescent="0.15">
      <c r="A127" s="12">
        <v>45684</v>
      </c>
      <c r="B127" s="13" t="s">
        <v>2</v>
      </c>
      <c r="C127" s="14">
        <v>0.95109999999999995</v>
      </c>
      <c r="D127" s="16">
        <v>532</v>
      </c>
      <c r="E127" s="17">
        <f t="shared" si="6"/>
        <v>26.014800000000037</v>
      </c>
      <c r="F127" s="18">
        <f t="shared" si="1"/>
        <v>1430.8140000000021</v>
      </c>
      <c r="G127" s="19">
        <f t="shared" si="3"/>
        <v>26.600000000000023</v>
      </c>
      <c r="H127" s="20">
        <f t="shared" si="2"/>
        <v>0.58519999999998618</v>
      </c>
    </row>
    <row r="128" spans="1:8" ht="13" x14ac:dyDescent="0.15">
      <c r="A128" s="12">
        <v>45685</v>
      </c>
      <c r="B128" s="13" t="s">
        <v>3</v>
      </c>
      <c r="C128" s="14">
        <v>0.9718</v>
      </c>
      <c r="D128" s="16">
        <v>532</v>
      </c>
      <c r="E128" s="17">
        <f t="shared" si="6"/>
        <v>15.002399999999966</v>
      </c>
      <c r="F128" s="18">
        <f t="shared" si="1"/>
        <v>825.13199999999813</v>
      </c>
      <c r="G128" s="19">
        <f t="shared" si="3"/>
        <v>26.600000000000023</v>
      </c>
      <c r="H128" s="20">
        <f t="shared" si="2"/>
        <v>11.597600000000057</v>
      </c>
    </row>
    <row r="129" spans="1:8" ht="13" x14ac:dyDescent="0.15">
      <c r="A129" s="12">
        <v>45686</v>
      </c>
      <c r="B129" s="13" t="s">
        <v>4</v>
      </c>
      <c r="C129" s="14">
        <v>0.97199999999999998</v>
      </c>
      <c r="D129" s="16">
        <v>535</v>
      </c>
      <c r="E129" s="17">
        <f t="shared" si="6"/>
        <v>14.980000000000018</v>
      </c>
      <c r="F129" s="18">
        <f t="shared" si="1"/>
        <v>823.900000000001</v>
      </c>
      <c r="G129" s="19">
        <f t="shared" si="3"/>
        <v>26.75</v>
      </c>
      <c r="H129" s="20">
        <f t="shared" si="2"/>
        <v>11.769999999999982</v>
      </c>
    </row>
    <row r="130" spans="1:8" ht="13" x14ac:dyDescent="0.15">
      <c r="A130" s="12">
        <v>45687</v>
      </c>
      <c r="B130" s="13" t="s">
        <v>5</v>
      </c>
      <c r="C130" s="14">
        <v>0.93640000000000001</v>
      </c>
      <c r="D130" s="16">
        <v>535</v>
      </c>
      <c r="E130" s="17">
        <f t="shared" si="6"/>
        <v>34.02600000000001</v>
      </c>
      <c r="F130" s="18">
        <f t="shared" si="1"/>
        <v>1871.4300000000005</v>
      </c>
      <c r="G130" s="19">
        <f t="shared" si="3"/>
        <v>26.75</v>
      </c>
      <c r="H130" s="20">
        <f t="shared" si="2"/>
        <v>-7.2760000000000105</v>
      </c>
    </row>
    <row r="131" spans="1:8" ht="13" x14ac:dyDescent="0.15">
      <c r="A131" s="12">
        <v>45688</v>
      </c>
      <c r="B131" s="13" t="s">
        <v>6</v>
      </c>
      <c r="C131" s="14">
        <v>0.92900000000000005</v>
      </c>
      <c r="D131" s="16">
        <v>535</v>
      </c>
      <c r="E131" s="17">
        <f t="shared" si="6"/>
        <v>37.984999999999957</v>
      </c>
      <c r="F131" s="18">
        <f t="shared" si="1"/>
        <v>2089.1749999999975</v>
      </c>
      <c r="G131" s="19">
        <f t="shared" si="3"/>
        <v>26.75</v>
      </c>
      <c r="H131" s="20">
        <f t="shared" si="2"/>
        <v>-11.234999999999957</v>
      </c>
    </row>
    <row r="132" spans="1:8" ht="13" x14ac:dyDescent="0.15">
      <c r="A132" s="12">
        <v>45691</v>
      </c>
      <c r="B132" s="13" t="s">
        <v>2</v>
      </c>
      <c r="C132" s="14">
        <v>0.82799999999999996</v>
      </c>
      <c r="D132" s="16">
        <v>535</v>
      </c>
      <c r="E132" s="17">
        <f t="shared" si="6"/>
        <v>92.020000000000039</v>
      </c>
      <c r="F132" s="18">
        <f t="shared" si="1"/>
        <v>5061.1000000000022</v>
      </c>
      <c r="G132" s="19">
        <f t="shared" si="3"/>
        <v>26.75</v>
      </c>
      <c r="H132" s="20">
        <f t="shared" si="2"/>
        <v>-65.270000000000039</v>
      </c>
    </row>
    <row r="133" spans="1:8" ht="13" x14ac:dyDescent="0.15">
      <c r="A133" s="12">
        <v>45692</v>
      </c>
      <c r="B133" s="13" t="s">
        <v>3</v>
      </c>
      <c r="C133" s="14">
        <v>0.96460000000000001</v>
      </c>
      <c r="D133" s="16">
        <v>536</v>
      </c>
      <c r="E133" s="17">
        <f>D134-(C133*D134)</f>
        <v>18.974399999999946</v>
      </c>
      <c r="F133" s="18">
        <f t="shared" si="1"/>
        <v>1043.5919999999969</v>
      </c>
      <c r="G133" s="19">
        <f>D134-(D134*G$3)</f>
        <v>26.800000000000011</v>
      </c>
      <c r="H133" s="20">
        <f t="shared" si="2"/>
        <v>7.8256000000000654</v>
      </c>
    </row>
    <row r="134" spans="1:8" ht="13" x14ac:dyDescent="0.15">
      <c r="A134" s="12">
        <v>45693</v>
      </c>
      <c r="B134" s="13" t="s">
        <v>4</v>
      </c>
      <c r="C134" s="14">
        <v>0.96079999999999999</v>
      </c>
      <c r="D134" s="16">
        <v>536</v>
      </c>
      <c r="E134" s="17" t="e">
        <f>#REF!-(C134*#REF!)</f>
        <v>#REF!</v>
      </c>
      <c r="F134" s="18" t="e">
        <f t="shared" si="1"/>
        <v>#REF!</v>
      </c>
      <c r="G134" s="19" t="e">
        <f>#REF!-(#REF!*G$3)</f>
        <v>#REF!</v>
      </c>
      <c r="H134" s="20" t="e">
        <f t="shared" si="2"/>
        <v>#REF!</v>
      </c>
    </row>
    <row r="135" spans="1:8" ht="13" x14ac:dyDescent="0.15">
      <c r="A135" s="12">
        <v>45694</v>
      </c>
      <c r="B135" s="13" t="s">
        <v>5</v>
      </c>
      <c r="C135" s="14">
        <v>0.96079999999999999</v>
      </c>
      <c r="D135" s="16">
        <v>536</v>
      </c>
      <c r="E135" s="17">
        <f t="shared" ref="E135:E181" si="7">D135-(C135*D135)</f>
        <v>21.011200000000031</v>
      </c>
      <c r="F135" s="18">
        <f t="shared" si="1"/>
        <v>1155.6160000000018</v>
      </c>
      <c r="G135" s="19">
        <f t="shared" ref="G135:G181" si="8">D135-(D135*G$3)</f>
        <v>26.800000000000011</v>
      </c>
      <c r="H135" s="20">
        <f t="shared" si="2"/>
        <v>5.7887999999999806</v>
      </c>
    </row>
    <row r="136" spans="1:8" ht="13" x14ac:dyDescent="0.15">
      <c r="A136" s="12">
        <v>45695</v>
      </c>
      <c r="B136" s="13" t="s">
        <v>6</v>
      </c>
      <c r="C136" s="14">
        <v>0.94589999999999996</v>
      </c>
      <c r="D136" s="16">
        <v>536</v>
      </c>
      <c r="E136" s="17">
        <f t="shared" si="7"/>
        <v>28.997600000000034</v>
      </c>
      <c r="F136" s="18">
        <f t="shared" si="1"/>
        <v>1594.8680000000018</v>
      </c>
      <c r="G136" s="19">
        <f t="shared" si="8"/>
        <v>26.800000000000011</v>
      </c>
      <c r="H136" s="20">
        <f t="shared" si="2"/>
        <v>-2.1976000000000226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8"/>
        <v>0</v>
      </c>
      <c r="H137" s="20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8"/>
        <v>0</v>
      </c>
      <c r="H138" s="20">
        <f t="shared" si="2"/>
        <v>0</v>
      </c>
    </row>
    <row r="139" spans="1:8" ht="13" x14ac:dyDescent="0.15">
      <c r="A139" s="12">
        <v>45700</v>
      </c>
      <c r="B139" s="13" t="s">
        <v>4</v>
      </c>
      <c r="C139" s="14">
        <v>0.95709999999999995</v>
      </c>
      <c r="D139" s="16">
        <v>536</v>
      </c>
      <c r="E139" s="17">
        <f t="shared" si="7"/>
        <v>22.994400000000041</v>
      </c>
      <c r="F139" s="18">
        <f t="shared" si="1"/>
        <v>1264.6920000000023</v>
      </c>
      <c r="G139" s="19">
        <f t="shared" si="8"/>
        <v>26.800000000000011</v>
      </c>
      <c r="H139" s="20">
        <f t="shared" si="2"/>
        <v>3.8055999999999699</v>
      </c>
    </row>
    <row r="140" spans="1:8" ht="13" x14ac:dyDescent="0.15">
      <c r="A140" s="12">
        <v>45701</v>
      </c>
      <c r="B140" s="13" t="s">
        <v>5</v>
      </c>
      <c r="C140" s="14">
        <v>0.95520000000000005</v>
      </c>
      <c r="D140" s="16">
        <v>536</v>
      </c>
      <c r="E140" s="17">
        <f t="shared" si="7"/>
        <v>24.01279999999997</v>
      </c>
      <c r="F140" s="18">
        <f t="shared" si="1"/>
        <v>1320.7039999999984</v>
      </c>
      <c r="G140" s="19">
        <f t="shared" si="8"/>
        <v>26.800000000000011</v>
      </c>
      <c r="H140" s="20">
        <f t="shared" si="2"/>
        <v>2.7872000000000412</v>
      </c>
    </row>
    <row r="141" spans="1:8" ht="13" x14ac:dyDescent="0.15">
      <c r="A141" s="12">
        <v>45702</v>
      </c>
      <c r="B141" s="13" t="s">
        <v>6</v>
      </c>
      <c r="C141" s="14">
        <v>0.96079999999999999</v>
      </c>
      <c r="D141" s="16">
        <v>536</v>
      </c>
      <c r="E141" s="17">
        <f t="shared" si="7"/>
        <v>21.011200000000031</v>
      </c>
      <c r="F141" s="18">
        <f t="shared" si="1"/>
        <v>1155.6160000000018</v>
      </c>
      <c r="G141" s="19">
        <f t="shared" si="8"/>
        <v>26.800000000000011</v>
      </c>
      <c r="H141" s="20">
        <f t="shared" si="2"/>
        <v>5.7887999999999806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8"/>
        <v>0</v>
      </c>
      <c r="H142" s="20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0.96079999999999999</v>
      </c>
      <c r="D143" s="16">
        <v>536</v>
      </c>
      <c r="E143" s="17">
        <f t="shared" si="7"/>
        <v>21.011200000000031</v>
      </c>
      <c r="F143" s="18">
        <f t="shared" si="1"/>
        <v>1155.6160000000018</v>
      </c>
      <c r="G143" s="19">
        <f t="shared" si="8"/>
        <v>26.800000000000011</v>
      </c>
      <c r="H143" s="20">
        <f t="shared" si="2"/>
        <v>5.7887999999999806</v>
      </c>
    </row>
    <row r="144" spans="1:8" ht="13" x14ac:dyDescent="0.15">
      <c r="A144" s="12">
        <v>45707</v>
      </c>
      <c r="B144" s="13" t="s">
        <v>4</v>
      </c>
      <c r="C144" s="14">
        <v>0.94779999999999998</v>
      </c>
      <c r="D144" s="16">
        <v>536</v>
      </c>
      <c r="E144" s="17">
        <f t="shared" si="7"/>
        <v>27.979199999999992</v>
      </c>
      <c r="F144" s="18">
        <f t="shared" si="1"/>
        <v>1538.8559999999995</v>
      </c>
      <c r="G144" s="19">
        <f t="shared" si="8"/>
        <v>26.800000000000011</v>
      </c>
      <c r="H144" s="20">
        <f t="shared" si="2"/>
        <v>-1.1791999999999803</v>
      </c>
    </row>
    <row r="145" spans="1:8" ht="13" x14ac:dyDescent="0.15">
      <c r="A145" s="12">
        <v>45708</v>
      </c>
      <c r="B145" s="13" t="s">
        <v>5</v>
      </c>
      <c r="C145" s="14">
        <v>0.88619999999999999</v>
      </c>
      <c r="D145" s="16">
        <v>536</v>
      </c>
      <c r="E145" s="17">
        <f t="shared" si="7"/>
        <v>60.996800000000007</v>
      </c>
      <c r="F145" s="18">
        <f t="shared" si="1"/>
        <v>3354.8240000000005</v>
      </c>
      <c r="G145" s="19">
        <f t="shared" si="8"/>
        <v>26.800000000000011</v>
      </c>
      <c r="H145" s="20">
        <f t="shared" si="2"/>
        <v>-34.196799999999996</v>
      </c>
    </row>
    <row r="146" spans="1:8" ht="13" x14ac:dyDescent="0.15">
      <c r="A146" s="12">
        <v>45709</v>
      </c>
      <c r="B146" s="13" t="s">
        <v>6</v>
      </c>
      <c r="C146" s="14">
        <v>0.93100000000000005</v>
      </c>
      <c r="D146" s="16">
        <v>536</v>
      </c>
      <c r="E146" s="17">
        <f t="shared" si="7"/>
        <v>36.98399999999998</v>
      </c>
      <c r="F146" s="18">
        <f t="shared" si="1"/>
        <v>2034.119999999999</v>
      </c>
      <c r="G146" s="19">
        <f t="shared" si="8"/>
        <v>26.800000000000011</v>
      </c>
      <c r="H146" s="20">
        <f t="shared" si="2"/>
        <v>-10.183999999999969</v>
      </c>
    </row>
    <row r="147" spans="1:8" ht="13" x14ac:dyDescent="0.15">
      <c r="A147" s="12">
        <v>45712</v>
      </c>
      <c r="B147" s="13" t="s">
        <v>2</v>
      </c>
      <c r="C147" s="14">
        <v>0.93459999999999999</v>
      </c>
      <c r="D147" s="16">
        <v>535</v>
      </c>
      <c r="E147" s="17">
        <f t="shared" si="7"/>
        <v>34.989000000000033</v>
      </c>
      <c r="F147" s="18">
        <f t="shared" si="1"/>
        <v>1924.3950000000018</v>
      </c>
      <c r="G147" s="19">
        <f t="shared" si="8"/>
        <v>26.75</v>
      </c>
      <c r="H147" s="20">
        <f t="shared" si="2"/>
        <v>-8.2390000000000327</v>
      </c>
    </row>
    <row r="148" spans="1:8" ht="13" x14ac:dyDescent="0.15">
      <c r="A148" s="12">
        <v>45713</v>
      </c>
      <c r="B148" s="13" t="s">
        <v>3</v>
      </c>
      <c r="C148" s="14">
        <v>0.93679999999999997</v>
      </c>
      <c r="D148" s="16">
        <v>538</v>
      </c>
      <c r="E148" s="17">
        <f t="shared" si="7"/>
        <v>34.001599999999996</v>
      </c>
      <c r="F148" s="18">
        <f t="shared" si="1"/>
        <v>1870.0879999999997</v>
      </c>
      <c r="G148" s="19">
        <f t="shared" si="8"/>
        <v>26.900000000000034</v>
      </c>
      <c r="H148" s="20">
        <f t="shared" si="2"/>
        <v>-7.1015999999999622</v>
      </c>
    </row>
    <row r="149" spans="1:8" ht="13" x14ac:dyDescent="0.15">
      <c r="A149" s="12">
        <v>45714</v>
      </c>
      <c r="B149" s="13" t="s">
        <v>4</v>
      </c>
      <c r="C149" s="14">
        <v>0.95889999999999997</v>
      </c>
      <c r="D149" s="16">
        <v>535</v>
      </c>
      <c r="E149" s="17">
        <f t="shared" si="7"/>
        <v>21.988500000000045</v>
      </c>
      <c r="F149" s="18">
        <f t="shared" si="1"/>
        <v>1209.3675000000026</v>
      </c>
      <c r="G149" s="19">
        <f t="shared" si="8"/>
        <v>26.75</v>
      </c>
      <c r="H149" s="20">
        <f t="shared" si="2"/>
        <v>4.7614999999999554</v>
      </c>
    </row>
    <row r="150" spans="1:8" ht="13" x14ac:dyDescent="0.15">
      <c r="A150" s="12">
        <v>45715</v>
      </c>
      <c r="B150" s="13" t="s">
        <v>5</v>
      </c>
      <c r="C150" s="14">
        <v>0.95889999999999997</v>
      </c>
      <c r="D150" s="16">
        <v>535</v>
      </c>
      <c r="E150" s="17">
        <f t="shared" si="7"/>
        <v>21.988500000000045</v>
      </c>
      <c r="F150" s="18">
        <f t="shared" si="1"/>
        <v>1209.3675000000026</v>
      </c>
      <c r="G150" s="19">
        <f t="shared" si="8"/>
        <v>26.75</v>
      </c>
      <c r="H150" s="20">
        <f t="shared" si="2"/>
        <v>4.7614999999999554</v>
      </c>
    </row>
    <row r="151" spans="1:8" ht="13" x14ac:dyDescent="0.15">
      <c r="A151" s="12">
        <v>45716</v>
      </c>
      <c r="B151" s="13" t="s">
        <v>6</v>
      </c>
      <c r="C151" s="14">
        <v>0.95140000000000002</v>
      </c>
      <c r="D151" s="16">
        <v>535</v>
      </c>
      <c r="E151" s="17">
        <f t="shared" si="7"/>
        <v>26.000999999999976</v>
      </c>
      <c r="F151" s="18">
        <f t="shared" si="1"/>
        <v>1430.0549999999987</v>
      </c>
      <c r="G151" s="19">
        <f t="shared" si="8"/>
        <v>26.75</v>
      </c>
      <c r="H151" s="20">
        <f t="shared" si="2"/>
        <v>0.74900000000002365</v>
      </c>
    </row>
    <row r="152" spans="1:8" ht="13" x14ac:dyDescent="0.15">
      <c r="A152" s="12">
        <v>45719</v>
      </c>
      <c r="B152" s="13" t="s">
        <v>2</v>
      </c>
      <c r="C152" s="14">
        <v>0.93659999999999999</v>
      </c>
      <c r="D152" s="16">
        <v>536</v>
      </c>
      <c r="E152" s="17">
        <f t="shared" si="7"/>
        <v>33.982399999999984</v>
      </c>
      <c r="F152" s="18">
        <f t="shared" si="1"/>
        <v>1869.0319999999992</v>
      </c>
      <c r="G152" s="19">
        <f t="shared" si="8"/>
        <v>26.800000000000011</v>
      </c>
      <c r="H152" s="20">
        <f t="shared" si="2"/>
        <v>-7.1823999999999728</v>
      </c>
    </row>
    <row r="153" spans="1:8" ht="13" x14ac:dyDescent="0.15">
      <c r="A153" s="12">
        <v>45720</v>
      </c>
      <c r="B153" s="13" t="s">
        <v>3</v>
      </c>
      <c r="C153" s="14">
        <v>0.91790000000000005</v>
      </c>
      <c r="D153" s="16">
        <v>536</v>
      </c>
      <c r="E153" s="17">
        <f t="shared" si="7"/>
        <v>44.005599999999959</v>
      </c>
      <c r="F153" s="18">
        <f t="shared" si="1"/>
        <v>2420.3079999999977</v>
      </c>
      <c r="G153" s="19">
        <f t="shared" si="8"/>
        <v>26.800000000000011</v>
      </c>
      <c r="H153" s="20">
        <f t="shared" si="2"/>
        <v>-17.205599999999947</v>
      </c>
    </row>
    <row r="154" spans="1:8" ht="13" x14ac:dyDescent="0.15">
      <c r="A154" s="12">
        <v>45721</v>
      </c>
      <c r="B154" s="13" t="s">
        <v>4</v>
      </c>
      <c r="C154" s="14">
        <v>0.9627</v>
      </c>
      <c r="D154" s="16">
        <v>536</v>
      </c>
      <c r="E154" s="17">
        <f t="shared" si="7"/>
        <v>19.992799999999988</v>
      </c>
      <c r="F154" s="18">
        <f t="shared" si="1"/>
        <v>1099.6039999999994</v>
      </c>
      <c r="G154" s="19">
        <f t="shared" si="8"/>
        <v>26.800000000000011</v>
      </c>
      <c r="H154" s="20">
        <f t="shared" si="2"/>
        <v>6.807200000000023</v>
      </c>
    </row>
    <row r="155" spans="1:8" ht="13" x14ac:dyDescent="0.15">
      <c r="A155" s="12">
        <v>45722</v>
      </c>
      <c r="B155" s="13" t="s">
        <v>5</v>
      </c>
      <c r="C155" s="14">
        <v>0.97589999999999999</v>
      </c>
      <c r="D155" s="16">
        <v>539</v>
      </c>
      <c r="E155" s="17">
        <f t="shared" si="7"/>
        <v>12.989900000000034</v>
      </c>
      <c r="F155" s="18">
        <f t="shared" si="1"/>
        <v>714.44450000000188</v>
      </c>
      <c r="G155" s="19">
        <f t="shared" si="8"/>
        <v>26.950000000000045</v>
      </c>
      <c r="H155" s="20">
        <f t="shared" si="2"/>
        <v>13.960100000000011</v>
      </c>
    </row>
    <row r="156" spans="1:8" ht="13" x14ac:dyDescent="0.15">
      <c r="A156" s="12">
        <v>45723</v>
      </c>
      <c r="B156" s="13" t="s">
        <v>6</v>
      </c>
      <c r="C156" s="14">
        <v>0.9425</v>
      </c>
      <c r="D156" s="16">
        <v>539</v>
      </c>
      <c r="E156" s="17">
        <f t="shared" si="7"/>
        <v>30.992500000000007</v>
      </c>
      <c r="F156" s="18">
        <f t="shared" si="1"/>
        <v>1704.5875000000003</v>
      </c>
      <c r="G156" s="19">
        <f t="shared" si="8"/>
        <v>26.950000000000045</v>
      </c>
      <c r="H156" s="20">
        <f t="shared" si="2"/>
        <v>-4.0424999999999613</v>
      </c>
    </row>
    <row r="157" spans="1:8" ht="13" x14ac:dyDescent="0.15">
      <c r="A157" s="34">
        <v>45726</v>
      </c>
      <c r="B157" s="35" t="s">
        <v>2</v>
      </c>
      <c r="C157" s="14">
        <v>0.91469999999999996</v>
      </c>
      <c r="D157" s="16">
        <v>539</v>
      </c>
      <c r="E157" s="17">
        <f t="shared" si="7"/>
        <v>45.976700000000051</v>
      </c>
      <c r="F157" s="18">
        <f t="shared" si="1"/>
        <v>2528.7185000000027</v>
      </c>
      <c r="G157" s="19">
        <f t="shared" si="8"/>
        <v>26.950000000000045</v>
      </c>
      <c r="H157" s="20">
        <f t="shared" si="2"/>
        <v>-19.026700000000005</v>
      </c>
    </row>
    <row r="158" spans="1:8" ht="15.75" customHeight="1" x14ac:dyDescent="0.15">
      <c r="A158" s="34">
        <v>45727</v>
      </c>
      <c r="B158" s="35" t="s">
        <v>3</v>
      </c>
      <c r="C158" s="79">
        <v>0.94620000000000004</v>
      </c>
      <c r="D158" s="81">
        <v>539</v>
      </c>
      <c r="E158" s="17">
        <f t="shared" si="7"/>
        <v>28.998199999999997</v>
      </c>
      <c r="F158" s="18">
        <f t="shared" si="1"/>
        <v>1594.9009999999998</v>
      </c>
      <c r="G158" s="19">
        <f t="shared" si="8"/>
        <v>26.950000000000045</v>
      </c>
      <c r="H158" s="20">
        <f t="shared" si="2"/>
        <v>-2.0481999999999516</v>
      </c>
    </row>
    <row r="159" spans="1:8" ht="15.75" customHeight="1" x14ac:dyDescent="0.15">
      <c r="A159" s="34">
        <v>45728</v>
      </c>
      <c r="B159" s="35" t="s">
        <v>4</v>
      </c>
      <c r="C159" s="79">
        <v>0.94620000000000004</v>
      </c>
      <c r="D159" s="81">
        <v>539</v>
      </c>
      <c r="E159" s="17">
        <f t="shared" si="7"/>
        <v>28.998199999999997</v>
      </c>
      <c r="F159" s="18">
        <f t="shared" ref="F159:F181" si="9">E159*$E$5</f>
        <v>1594.9009999999998</v>
      </c>
      <c r="G159" s="19">
        <f t="shared" si="8"/>
        <v>26.950000000000045</v>
      </c>
      <c r="H159" s="20">
        <f t="shared" ref="H159:H181" si="10">G159-E159</f>
        <v>-2.0481999999999516</v>
      </c>
    </row>
    <row r="160" spans="1:8" ht="15.75" customHeight="1" x14ac:dyDescent="0.15">
      <c r="A160" s="34">
        <v>45729</v>
      </c>
      <c r="B160" s="35" t="s">
        <v>5</v>
      </c>
      <c r="C160" s="79">
        <v>0.94810000000000005</v>
      </c>
      <c r="D160" s="81">
        <v>539</v>
      </c>
      <c r="E160" s="17">
        <f t="shared" si="7"/>
        <v>27.974099999999964</v>
      </c>
      <c r="F160" s="18">
        <f t="shared" si="9"/>
        <v>1538.5754999999981</v>
      </c>
      <c r="G160" s="19">
        <f t="shared" si="8"/>
        <v>26.950000000000045</v>
      </c>
      <c r="H160" s="20">
        <f t="shared" si="10"/>
        <v>-1.024099999999919</v>
      </c>
    </row>
    <row r="161" spans="1:8" ht="15.75" customHeight="1" x14ac:dyDescent="0.15">
      <c r="A161" s="34">
        <v>45730</v>
      </c>
      <c r="B161" s="35" t="s">
        <v>6</v>
      </c>
      <c r="C161" s="79">
        <v>0.87570000000000003</v>
      </c>
      <c r="D161" s="81">
        <v>539</v>
      </c>
      <c r="E161" s="17">
        <f t="shared" si="7"/>
        <v>66.997700000000009</v>
      </c>
      <c r="F161" s="18">
        <f t="shared" si="9"/>
        <v>3684.8735000000006</v>
      </c>
      <c r="G161" s="19">
        <f t="shared" si="8"/>
        <v>26.950000000000045</v>
      </c>
      <c r="H161" s="20">
        <f t="shared" si="10"/>
        <v>-40.047699999999963</v>
      </c>
    </row>
    <row r="162" spans="1:8" ht="15.75" customHeight="1" x14ac:dyDescent="0.15">
      <c r="A162" s="21">
        <v>45733</v>
      </c>
      <c r="B162" s="22" t="s">
        <v>2</v>
      </c>
      <c r="C162" s="80"/>
      <c r="D162" s="82"/>
      <c r="E162" s="17">
        <f t="shared" si="7"/>
        <v>0</v>
      </c>
      <c r="F162" s="18">
        <f t="shared" si="9"/>
        <v>0</v>
      </c>
      <c r="G162" s="19">
        <f t="shared" si="8"/>
        <v>0</v>
      </c>
      <c r="H162" s="20">
        <f t="shared" si="10"/>
        <v>0</v>
      </c>
    </row>
    <row r="163" spans="1:8" ht="15.75" customHeight="1" x14ac:dyDescent="0.15">
      <c r="A163" s="21">
        <v>45734</v>
      </c>
      <c r="B163" s="22" t="s">
        <v>3</v>
      </c>
      <c r="C163" s="80"/>
      <c r="D163" s="82"/>
      <c r="E163" s="17">
        <f t="shared" si="7"/>
        <v>0</v>
      </c>
      <c r="F163" s="18">
        <f t="shared" si="9"/>
        <v>0</v>
      </c>
      <c r="G163" s="19">
        <f t="shared" si="8"/>
        <v>0</v>
      </c>
      <c r="H163" s="20">
        <f t="shared" si="10"/>
        <v>0</v>
      </c>
    </row>
    <row r="164" spans="1:8" ht="15.75" customHeight="1" x14ac:dyDescent="0.15">
      <c r="A164" s="21">
        <v>45735</v>
      </c>
      <c r="B164" s="22" t="s">
        <v>4</v>
      </c>
      <c r="C164" s="80"/>
      <c r="D164" s="82"/>
      <c r="E164" s="17">
        <f t="shared" si="7"/>
        <v>0</v>
      </c>
      <c r="F164" s="18">
        <f t="shared" si="9"/>
        <v>0</v>
      </c>
      <c r="G164" s="19">
        <f t="shared" si="8"/>
        <v>0</v>
      </c>
      <c r="H164" s="20">
        <f t="shared" si="10"/>
        <v>0</v>
      </c>
    </row>
    <row r="165" spans="1:8" ht="15.75" customHeight="1" x14ac:dyDescent="0.15">
      <c r="A165" s="21">
        <v>45736</v>
      </c>
      <c r="B165" s="22" t="s">
        <v>5</v>
      </c>
      <c r="C165" s="80"/>
      <c r="D165" s="82"/>
      <c r="E165" s="17">
        <f t="shared" si="7"/>
        <v>0</v>
      </c>
      <c r="F165" s="18">
        <f t="shared" si="9"/>
        <v>0</v>
      </c>
      <c r="G165" s="19">
        <f t="shared" si="8"/>
        <v>0</v>
      </c>
      <c r="H165" s="20">
        <f t="shared" si="10"/>
        <v>0</v>
      </c>
    </row>
    <row r="166" spans="1:8" ht="15.75" customHeight="1" x14ac:dyDescent="0.15">
      <c r="A166" s="21">
        <v>45737</v>
      </c>
      <c r="B166" s="22" t="s">
        <v>6</v>
      </c>
      <c r="C166" s="80"/>
      <c r="D166" s="82"/>
      <c r="E166" s="17">
        <f t="shared" si="7"/>
        <v>0</v>
      </c>
      <c r="F166" s="18">
        <f t="shared" si="9"/>
        <v>0</v>
      </c>
      <c r="G166" s="19">
        <f t="shared" si="8"/>
        <v>0</v>
      </c>
      <c r="H166" s="20">
        <f t="shared" si="10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0.92749999999999999</v>
      </c>
      <c r="D167" s="81">
        <v>538</v>
      </c>
      <c r="E167" s="17">
        <f t="shared" si="7"/>
        <v>39.004999999999995</v>
      </c>
      <c r="F167" s="18">
        <f t="shared" si="9"/>
        <v>2145.2749999999996</v>
      </c>
      <c r="G167" s="19">
        <f t="shared" si="8"/>
        <v>26.900000000000034</v>
      </c>
      <c r="H167" s="20">
        <f t="shared" si="10"/>
        <v>-12.104999999999961</v>
      </c>
    </row>
    <row r="168" spans="1:8" ht="15.75" customHeight="1" x14ac:dyDescent="0.15">
      <c r="A168" s="12">
        <v>45741</v>
      </c>
      <c r="B168" s="13" t="s">
        <v>3</v>
      </c>
      <c r="C168" s="79">
        <v>0.97199999999999998</v>
      </c>
      <c r="D168" s="81">
        <v>535</v>
      </c>
      <c r="E168" s="17">
        <f t="shared" si="7"/>
        <v>14.980000000000018</v>
      </c>
      <c r="F168" s="18">
        <f t="shared" si="9"/>
        <v>823.900000000001</v>
      </c>
      <c r="G168" s="19">
        <f t="shared" si="8"/>
        <v>26.75</v>
      </c>
      <c r="H168" s="20">
        <f t="shared" si="10"/>
        <v>11.769999999999982</v>
      </c>
    </row>
    <row r="169" spans="1:8" ht="15.75" customHeight="1" x14ac:dyDescent="0.15">
      <c r="A169" s="12">
        <v>45742</v>
      </c>
      <c r="B169" s="13" t="s">
        <v>4</v>
      </c>
      <c r="C169" s="79">
        <v>0.96450000000000002</v>
      </c>
      <c r="D169" s="81">
        <v>535</v>
      </c>
      <c r="E169" s="17">
        <f t="shared" si="7"/>
        <v>18.99249999999995</v>
      </c>
      <c r="F169" s="18">
        <f t="shared" si="9"/>
        <v>1044.5874999999974</v>
      </c>
      <c r="G169" s="19">
        <f t="shared" si="8"/>
        <v>26.75</v>
      </c>
      <c r="H169" s="20">
        <f t="shared" si="10"/>
        <v>7.75750000000005</v>
      </c>
    </row>
    <row r="170" spans="1:8" ht="15.75" customHeight="1" x14ac:dyDescent="0.15">
      <c r="A170" s="12">
        <v>45743</v>
      </c>
      <c r="B170" s="13" t="s">
        <v>5</v>
      </c>
      <c r="C170" s="79">
        <v>0.9476</v>
      </c>
      <c r="D170" s="81">
        <v>534</v>
      </c>
      <c r="E170" s="17">
        <f t="shared" si="7"/>
        <v>27.981600000000014</v>
      </c>
      <c r="F170" s="18">
        <f t="shared" si="9"/>
        <v>1538.9880000000007</v>
      </c>
      <c r="G170" s="19">
        <f t="shared" si="8"/>
        <v>26.700000000000045</v>
      </c>
      <c r="H170" s="20">
        <f t="shared" si="10"/>
        <v>-1.281599999999969</v>
      </c>
    </row>
    <row r="171" spans="1:8" ht="15.75" customHeight="1" x14ac:dyDescent="0.15">
      <c r="A171" s="12">
        <v>45744</v>
      </c>
      <c r="B171" s="13" t="s">
        <v>6</v>
      </c>
      <c r="C171" s="79">
        <v>0.9476</v>
      </c>
      <c r="D171" s="81">
        <v>534</v>
      </c>
      <c r="E171" s="17">
        <f t="shared" si="7"/>
        <v>27.981600000000014</v>
      </c>
      <c r="F171" s="18">
        <f t="shared" si="9"/>
        <v>1538.9880000000007</v>
      </c>
      <c r="G171" s="19">
        <f t="shared" si="8"/>
        <v>26.700000000000045</v>
      </c>
      <c r="H171" s="20">
        <f t="shared" si="10"/>
        <v>-1.281599999999969</v>
      </c>
    </row>
    <row r="172" spans="1:8" ht="15.75" customHeight="1" x14ac:dyDescent="0.15">
      <c r="A172" s="12">
        <v>45747</v>
      </c>
      <c r="B172" s="13" t="s">
        <v>2</v>
      </c>
      <c r="C172" s="79">
        <v>0.93630000000000002</v>
      </c>
      <c r="D172" s="81">
        <v>534</v>
      </c>
      <c r="E172" s="17">
        <f t="shared" si="7"/>
        <v>34.015800000000013</v>
      </c>
      <c r="F172" s="18">
        <f t="shared" si="9"/>
        <v>1870.8690000000006</v>
      </c>
      <c r="G172" s="19">
        <f t="shared" si="8"/>
        <v>26.700000000000045</v>
      </c>
      <c r="H172" s="20">
        <f t="shared" si="10"/>
        <v>-7.3157999999999674</v>
      </c>
    </row>
    <row r="173" spans="1:8" ht="15.75" customHeight="1" x14ac:dyDescent="0.15">
      <c r="A173" s="12">
        <v>45748</v>
      </c>
      <c r="B173" s="13" t="s">
        <v>3</v>
      </c>
      <c r="C173" s="79">
        <v>0.93630000000000002</v>
      </c>
      <c r="D173" s="81">
        <v>534</v>
      </c>
      <c r="E173" s="17">
        <f t="shared" si="7"/>
        <v>34.015800000000013</v>
      </c>
      <c r="F173" s="18">
        <f t="shared" si="9"/>
        <v>1870.8690000000006</v>
      </c>
      <c r="G173" s="19">
        <f t="shared" si="8"/>
        <v>26.700000000000045</v>
      </c>
      <c r="H173" s="20">
        <f t="shared" si="10"/>
        <v>-7.3157999999999674</v>
      </c>
    </row>
    <row r="174" spans="1:8" ht="15.75" customHeight="1" x14ac:dyDescent="0.15">
      <c r="A174" s="12">
        <v>45749</v>
      </c>
      <c r="B174" s="13" t="s">
        <v>4</v>
      </c>
      <c r="C174" s="79">
        <v>0.94569999999999999</v>
      </c>
      <c r="D174" s="81">
        <v>534</v>
      </c>
      <c r="E174" s="17">
        <f t="shared" si="7"/>
        <v>28.996199999999988</v>
      </c>
      <c r="F174" s="18">
        <f t="shared" si="9"/>
        <v>1594.7909999999993</v>
      </c>
      <c r="G174" s="19">
        <f t="shared" si="8"/>
        <v>26.700000000000045</v>
      </c>
      <c r="H174" s="20">
        <f t="shared" si="10"/>
        <v>-2.2961999999999421</v>
      </c>
    </row>
    <row r="175" spans="1:8" ht="15.75" customHeight="1" x14ac:dyDescent="0.15">
      <c r="A175" s="12">
        <v>45750</v>
      </c>
      <c r="B175" s="13" t="s">
        <v>5</v>
      </c>
      <c r="C175" s="79">
        <v>0.94569999999999999</v>
      </c>
      <c r="D175" s="81">
        <v>534</v>
      </c>
      <c r="E175" s="17">
        <f t="shared" si="7"/>
        <v>28.996199999999988</v>
      </c>
      <c r="F175" s="18">
        <f t="shared" si="9"/>
        <v>1594.7909999999993</v>
      </c>
      <c r="G175" s="19">
        <f t="shared" si="8"/>
        <v>26.700000000000045</v>
      </c>
      <c r="H175" s="20">
        <f t="shared" si="10"/>
        <v>-2.2961999999999421</v>
      </c>
    </row>
    <row r="176" spans="1:8" ht="15.75" customHeight="1" x14ac:dyDescent="0.15">
      <c r="A176" s="12">
        <v>45751</v>
      </c>
      <c r="B176" s="13" t="s">
        <v>6</v>
      </c>
      <c r="C176" s="79">
        <v>0.93630000000000002</v>
      </c>
      <c r="D176" s="81">
        <v>534</v>
      </c>
      <c r="E176" s="17">
        <f t="shared" si="7"/>
        <v>34.015800000000013</v>
      </c>
      <c r="F176" s="18">
        <f t="shared" si="9"/>
        <v>1870.8690000000006</v>
      </c>
      <c r="G176" s="19">
        <f t="shared" si="8"/>
        <v>26.700000000000045</v>
      </c>
      <c r="H176" s="20">
        <f t="shared" si="10"/>
        <v>-7.3157999999999674</v>
      </c>
    </row>
    <row r="177" spans="1:8" ht="15.75" customHeight="1" x14ac:dyDescent="0.15">
      <c r="A177" s="12">
        <v>45754</v>
      </c>
      <c r="B177" s="13" t="s">
        <v>2</v>
      </c>
      <c r="C177" s="79">
        <v>0.93820000000000003</v>
      </c>
      <c r="D177" s="81">
        <v>534</v>
      </c>
      <c r="E177" s="17">
        <f t="shared" si="7"/>
        <v>33.001199999999983</v>
      </c>
      <c r="F177" s="18">
        <f t="shared" si="9"/>
        <v>1815.0659999999991</v>
      </c>
      <c r="G177" s="19">
        <f t="shared" si="8"/>
        <v>26.700000000000045</v>
      </c>
      <c r="H177" s="20">
        <f t="shared" si="10"/>
        <v>-6.3011999999999375</v>
      </c>
    </row>
    <row r="178" spans="1:8" ht="15.75" customHeight="1" x14ac:dyDescent="0.15">
      <c r="A178" s="12">
        <v>45755</v>
      </c>
      <c r="B178" s="13" t="s">
        <v>3</v>
      </c>
      <c r="C178" s="79">
        <v>0.96630000000000005</v>
      </c>
      <c r="D178" s="81">
        <v>534</v>
      </c>
      <c r="E178" s="17">
        <f t="shared" si="7"/>
        <v>17.995800000000031</v>
      </c>
      <c r="F178" s="18">
        <f t="shared" si="9"/>
        <v>989.76900000000171</v>
      </c>
      <c r="G178" s="19">
        <f t="shared" si="8"/>
        <v>26.700000000000045</v>
      </c>
      <c r="H178" s="20">
        <f t="shared" si="10"/>
        <v>8.7042000000000144</v>
      </c>
    </row>
    <row r="179" spans="1:8" ht="15.75" customHeight="1" x14ac:dyDescent="0.15">
      <c r="A179" s="12">
        <v>45756</v>
      </c>
      <c r="B179" s="13" t="s">
        <v>4</v>
      </c>
      <c r="C179" s="79">
        <v>0.95709999999999995</v>
      </c>
      <c r="D179" s="81">
        <v>536</v>
      </c>
      <c r="E179" s="17">
        <f t="shared" si="7"/>
        <v>22.994400000000041</v>
      </c>
      <c r="F179" s="18">
        <f t="shared" si="9"/>
        <v>1264.6920000000023</v>
      </c>
      <c r="G179" s="19">
        <f t="shared" si="8"/>
        <v>26.800000000000011</v>
      </c>
      <c r="H179" s="20">
        <f t="shared" si="10"/>
        <v>3.8055999999999699</v>
      </c>
    </row>
    <row r="180" spans="1:8" ht="15.75" customHeight="1" x14ac:dyDescent="0.15">
      <c r="A180" s="12">
        <v>45757</v>
      </c>
      <c r="B180" s="13" t="s">
        <v>5</v>
      </c>
      <c r="C180" s="79">
        <v>0.94220000000000004</v>
      </c>
      <c r="D180" s="81">
        <v>536</v>
      </c>
      <c r="E180" s="17">
        <f t="shared" si="7"/>
        <v>30.980799999999988</v>
      </c>
      <c r="F180" s="18">
        <f t="shared" si="9"/>
        <v>1703.9439999999993</v>
      </c>
      <c r="G180" s="19">
        <f t="shared" si="8"/>
        <v>26.800000000000011</v>
      </c>
      <c r="H180" s="20">
        <f t="shared" si="10"/>
        <v>-4.1807999999999765</v>
      </c>
    </row>
    <row r="181" spans="1:8" ht="15.75" customHeight="1" x14ac:dyDescent="0.15">
      <c r="A181" s="12">
        <v>45758</v>
      </c>
      <c r="B181" s="13" t="s">
        <v>6</v>
      </c>
      <c r="C181" s="79">
        <v>0.92910000000000004</v>
      </c>
      <c r="D181" s="81">
        <v>536</v>
      </c>
      <c r="E181" s="17">
        <f t="shared" si="7"/>
        <v>38.002399999999966</v>
      </c>
      <c r="F181" s="18">
        <f t="shared" si="9"/>
        <v>2090.1319999999982</v>
      </c>
      <c r="G181" s="19">
        <f t="shared" si="8"/>
        <v>26.800000000000011</v>
      </c>
      <c r="H181" s="20">
        <f t="shared" si="10"/>
        <v>-11.202399999999955</v>
      </c>
    </row>
  </sheetData>
  <autoFilter ref="A6:F157" xr:uid="{00000000-0009-0000-0000-000007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7">
    <cfRule type="cellIs" dxfId="67" priority="7" operator="lessThan">
      <formula>"92%"</formula>
    </cfRule>
  </conditionalFormatting>
  <conditionalFormatting sqref="C7:C157">
    <cfRule type="cellIs" dxfId="66" priority="4" operator="lessThan">
      <formula>"90%"</formula>
    </cfRule>
    <cfRule type="cellIs" dxfId="65" priority="5" operator="lessThan">
      <formula>"94%"</formula>
    </cfRule>
  </conditionalFormatting>
  <conditionalFormatting sqref="H1:H181">
    <cfRule type="cellIs" dxfId="64" priority="6" operator="lessThan">
      <formula>0</formula>
    </cfRule>
  </conditionalFormatting>
  <conditionalFormatting sqref="C158:C181">
    <cfRule type="cellIs" dxfId="23" priority="3" operator="lessThan">
      <formula>"92%"</formula>
    </cfRule>
  </conditionalFormatting>
  <conditionalFormatting sqref="C158:C181">
    <cfRule type="cellIs" dxfId="22" priority="1" operator="lessThan">
      <formula>"90%"</formula>
    </cfRule>
    <cfRule type="cellIs" dxfId="21" priority="2" operator="lessThan">
      <formula>"94%"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3763"/>
    <outlinePr summaryBelow="0" summaryRight="0"/>
    <pageSetUpPr fitToPage="1"/>
  </sheetPr>
  <dimension ref="A1:H181"/>
  <sheetViews>
    <sheetView topLeftCell="A137" workbookViewId="0">
      <selection activeCell="J175" sqref="J175"/>
    </sheetView>
  </sheetViews>
  <sheetFormatPr baseColWidth="10" defaultColWidth="12.5" defaultRowHeight="15.75" customHeight="1" x14ac:dyDescent="0.15"/>
  <cols>
    <col min="1" max="1" width="13.33203125" customWidth="1"/>
    <col min="2" max="2" width="17.83203125" customWidth="1"/>
    <col min="3" max="3" width="11.5" customWidth="1"/>
    <col min="4" max="4" width="12.5" customWidth="1"/>
    <col min="5" max="7" width="16.33203125" customWidth="1"/>
    <col min="8" max="8" width="17.5" customWidth="1"/>
  </cols>
  <sheetData>
    <row r="1" spans="1:8" ht="14" thickBot="1" x14ac:dyDescent="0.2">
      <c r="A1" s="40"/>
      <c r="B1" s="40"/>
      <c r="C1" s="40"/>
      <c r="D1" s="40"/>
      <c r="E1" s="41"/>
      <c r="F1" s="41"/>
      <c r="G1" s="42"/>
      <c r="H1" s="37">
        <f>SUM(H7:H157)</f>
        <v>44.12800000000766</v>
      </c>
    </row>
    <row r="2" spans="1:8" ht="17" thickTop="1" x14ac:dyDescent="0.2">
      <c r="A2" s="63" t="s">
        <v>28</v>
      </c>
      <c r="B2" s="64"/>
      <c r="C2" s="64"/>
      <c r="D2" s="64"/>
      <c r="E2" s="65" t="s">
        <v>0</v>
      </c>
      <c r="F2" s="66"/>
      <c r="G2" s="5" t="s">
        <v>8</v>
      </c>
      <c r="H2" s="67" t="s">
        <v>29</v>
      </c>
    </row>
    <row r="3" spans="1:8" ht="24" x14ac:dyDescent="0.25">
      <c r="A3" s="64"/>
      <c r="B3" s="64"/>
      <c r="C3" s="64"/>
      <c r="D3" s="64"/>
      <c r="E3" s="68">
        <f>SUM(F7:F128)</f>
        <v>318273.85150000005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1213</v>
      </c>
      <c r="E7" s="17">
        <f t="shared" ref="E7:E38" si="0">D7-(C7*D7)</f>
        <v>0</v>
      </c>
      <c r="F7" s="18">
        <f t="shared" ref="F7:F158" si="1">E7*$E$5</f>
        <v>0</v>
      </c>
      <c r="G7" s="19">
        <v>0</v>
      </c>
      <c r="H7" s="20">
        <f t="shared" ref="H7:H158" si="2">G7-E7</f>
        <v>0</v>
      </c>
    </row>
    <row r="8" spans="1:8" ht="13" x14ac:dyDescent="0.15">
      <c r="A8" s="12">
        <v>45517</v>
      </c>
      <c r="B8" s="13" t="s">
        <v>3</v>
      </c>
      <c r="C8" s="14">
        <v>0.98509999999999998</v>
      </c>
      <c r="D8" s="16">
        <v>1271</v>
      </c>
      <c r="E8" s="17">
        <f t="shared" si="0"/>
        <v>18.937900000000127</v>
      </c>
      <c r="F8" s="18">
        <f t="shared" si="1"/>
        <v>1041.584500000007</v>
      </c>
      <c r="G8" s="19">
        <f t="shared" ref="G8:G158" si="3">D8-(D8*G$3)</f>
        <v>63.549999999999955</v>
      </c>
      <c r="H8" s="20">
        <f t="shared" si="2"/>
        <v>44.612099999999828</v>
      </c>
    </row>
    <row r="9" spans="1:8" ht="13" x14ac:dyDescent="0.15">
      <c r="A9" s="12">
        <v>45518</v>
      </c>
      <c r="B9" s="13" t="s">
        <v>4</v>
      </c>
      <c r="C9" s="14">
        <v>0.98299999999999998</v>
      </c>
      <c r="D9" s="16">
        <v>1293</v>
      </c>
      <c r="E9" s="17">
        <f t="shared" si="0"/>
        <v>21.980999999999995</v>
      </c>
      <c r="F9" s="18">
        <f t="shared" si="1"/>
        <v>1208.9549999999997</v>
      </c>
      <c r="G9" s="19">
        <f t="shared" si="3"/>
        <v>64.650000000000091</v>
      </c>
      <c r="H9" s="20">
        <f t="shared" si="2"/>
        <v>42.669000000000096</v>
      </c>
    </row>
    <row r="10" spans="1:8" ht="13" x14ac:dyDescent="0.15">
      <c r="A10" s="12">
        <v>45519</v>
      </c>
      <c r="B10" s="13" t="s">
        <v>5</v>
      </c>
      <c r="C10" s="14">
        <v>0.97689999999999999</v>
      </c>
      <c r="D10" s="16">
        <v>1301</v>
      </c>
      <c r="E10" s="17">
        <f t="shared" si="0"/>
        <v>30.053100000000086</v>
      </c>
      <c r="F10" s="18">
        <f t="shared" si="1"/>
        <v>1652.9205000000047</v>
      </c>
      <c r="G10" s="19">
        <f t="shared" si="3"/>
        <v>65.049999999999955</v>
      </c>
      <c r="H10" s="20">
        <f t="shared" si="2"/>
        <v>34.996899999999869</v>
      </c>
    </row>
    <row r="11" spans="1:8" ht="13" x14ac:dyDescent="0.15">
      <c r="A11" s="12">
        <v>45520</v>
      </c>
      <c r="B11" s="13" t="s">
        <v>6</v>
      </c>
      <c r="C11" s="14">
        <v>0.95650000000000002</v>
      </c>
      <c r="D11" s="16">
        <v>1310</v>
      </c>
      <c r="E11" s="17">
        <f t="shared" si="0"/>
        <v>56.9849999999999</v>
      </c>
      <c r="F11" s="18">
        <f t="shared" si="1"/>
        <v>3134.1749999999947</v>
      </c>
      <c r="G11" s="19">
        <f t="shared" si="3"/>
        <v>65.5</v>
      </c>
      <c r="H11" s="20">
        <f t="shared" si="2"/>
        <v>8.5150000000001</v>
      </c>
    </row>
    <row r="12" spans="1:8" ht="13" x14ac:dyDescent="0.15">
      <c r="A12" s="12">
        <v>45523</v>
      </c>
      <c r="B12" s="13" t="s">
        <v>2</v>
      </c>
      <c r="C12" s="14">
        <v>0.96970000000000001</v>
      </c>
      <c r="D12" s="16">
        <v>1322</v>
      </c>
      <c r="E12" s="17">
        <f t="shared" si="0"/>
        <v>40.056599999999889</v>
      </c>
      <c r="F12" s="18">
        <f t="shared" si="1"/>
        <v>2203.1129999999939</v>
      </c>
      <c r="G12" s="19">
        <f t="shared" si="3"/>
        <v>66.100000000000136</v>
      </c>
      <c r="H12" s="20">
        <f t="shared" si="2"/>
        <v>26.043400000000247</v>
      </c>
    </row>
    <row r="13" spans="1:8" ht="13" x14ac:dyDescent="0.15">
      <c r="A13" s="12">
        <v>45524</v>
      </c>
      <c r="B13" s="13" t="s">
        <v>3</v>
      </c>
      <c r="C13" s="14">
        <v>0.96760000000000002</v>
      </c>
      <c r="D13" s="16">
        <v>1327</v>
      </c>
      <c r="E13" s="17">
        <f t="shared" si="0"/>
        <v>42.994799999999941</v>
      </c>
      <c r="F13" s="18">
        <f t="shared" si="1"/>
        <v>2364.7139999999968</v>
      </c>
      <c r="G13" s="19">
        <f t="shared" si="3"/>
        <v>66.350000000000136</v>
      </c>
      <c r="H13" s="20">
        <f t="shared" si="2"/>
        <v>23.355200000000195</v>
      </c>
    </row>
    <row r="14" spans="1:8" ht="13" x14ac:dyDescent="0.15">
      <c r="A14" s="12">
        <v>45525</v>
      </c>
      <c r="B14" s="13" t="s">
        <v>4</v>
      </c>
      <c r="C14" s="14">
        <v>0.94820000000000004</v>
      </c>
      <c r="D14" s="16">
        <v>1332</v>
      </c>
      <c r="E14" s="17">
        <f t="shared" si="0"/>
        <v>68.99759999999992</v>
      </c>
      <c r="F14" s="18">
        <f t="shared" si="1"/>
        <v>3794.8679999999958</v>
      </c>
      <c r="G14" s="19">
        <f t="shared" si="3"/>
        <v>66.600000000000136</v>
      </c>
      <c r="H14" s="20">
        <f t="shared" si="2"/>
        <v>-2.3975999999997839</v>
      </c>
    </row>
    <row r="15" spans="1:8" ht="13" x14ac:dyDescent="0.15">
      <c r="A15" s="12">
        <v>45526</v>
      </c>
      <c r="B15" s="13" t="s">
        <v>5</v>
      </c>
      <c r="C15" s="14">
        <v>0.96399999999999997</v>
      </c>
      <c r="D15" s="16">
        <v>1335</v>
      </c>
      <c r="E15" s="17">
        <f t="shared" si="0"/>
        <v>48.059999999999945</v>
      </c>
      <c r="F15" s="18">
        <f t="shared" si="1"/>
        <v>2643.299999999997</v>
      </c>
      <c r="G15" s="19">
        <f t="shared" si="3"/>
        <v>66.75</v>
      </c>
      <c r="H15" s="20">
        <f t="shared" si="2"/>
        <v>18.690000000000055</v>
      </c>
    </row>
    <row r="16" spans="1:8" ht="13" x14ac:dyDescent="0.15">
      <c r="A16" s="12">
        <v>45527</v>
      </c>
      <c r="B16" s="13" t="s">
        <v>6</v>
      </c>
      <c r="C16" s="14">
        <v>0.94540000000000002</v>
      </c>
      <c r="D16" s="16">
        <v>1338</v>
      </c>
      <c r="E16" s="17">
        <f t="shared" si="0"/>
        <v>73.054799999999886</v>
      </c>
      <c r="F16" s="18">
        <f t="shared" si="1"/>
        <v>4018.0139999999938</v>
      </c>
      <c r="G16" s="19">
        <f t="shared" si="3"/>
        <v>66.900000000000091</v>
      </c>
      <c r="H16" s="20">
        <f t="shared" si="2"/>
        <v>-6.1547999999997955</v>
      </c>
    </row>
    <row r="17" spans="1:8" ht="13" x14ac:dyDescent="0.15">
      <c r="A17" s="12">
        <v>45530</v>
      </c>
      <c r="B17" s="13" t="s">
        <v>2</v>
      </c>
      <c r="C17" s="14">
        <v>0.94869999999999999</v>
      </c>
      <c r="D17" s="16">
        <v>1345</v>
      </c>
      <c r="E17" s="17">
        <f t="shared" si="0"/>
        <v>68.998499999999922</v>
      </c>
      <c r="F17" s="18">
        <f t="shared" si="1"/>
        <v>3794.9174999999959</v>
      </c>
      <c r="G17" s="19">
        <f t="shared" si="3"/>
        <v>67.25</v>
      </c>
      <c r="H17" s="20">
        <f t="shared" si="2"/>
        <v>-1.7484999999999218</v>
      </c>
    </row>
    <row r="18" spans="1:8" ht="13" x14ac:dyDescent="0.15">
      <c r="A18" s="12">
        <v>45531</v>
      </c>
      <c r="B18" s="13" t="s">
        <v>3</v>
      </c>
      <c r="C18" s="14">
        <v>0.96289999999999998</v>
      </c>
      <c r="D18" s="16">
        <v>1348</v>
      </c>
      <c r="E18" s="17">
        <f t="shared" si="0"/>
        <v>50.010800000000017</v>
      </c>
      <c r="F18" s="18">
        <f t="shared" si="1"/>
        <v>2750.594000000001</v>
      </c>
      <c r="G18" s="19">
        <f t="shared" si="3"/>
        <v>67.400000000000091</v>
      </c>
      <c r="H18" s="20">
        <f t="shared" si="2"/>
        <v>17.389200000000073</v>
      </c>
    </row>
    <row r="19" spans="1:8" ht="13" x14ac:dyDescent="0.15">
      <c r="A19" s="12">
        <v>45532</v>
      </c>
      <c r="B19" s="13" t="s">
        <v>4</v>
      </c>
      <c r="C19" s="14">
        <v>0.96440000000000003</v>
      </c>
      <c r="D19" s="16">
        <v>1348</v>
      </c>
      <c r="E19" s="17">
        <f t="shared" si="0"/>
        <v>47.988799999999856</v>
      </c>
      <c r="F19" s="18">
        <f t="shared" si="1"/>
        <v>2639.3839999999918</v>
      </c>
      <c r="G19" s="19">
        <f t="shared" si="3"/>
        <v>67.400000000000091</v>
      </c>
      <c r="H19" s="20">
        <f t="shared" si="2"/>
        <v>19.411200000000235</v>
      </c>
    </row>
    <row r="20" spans="1:8" ht="13" x14ac:dyDescent="0.15">
      <c r="A20" s="12">
        <v>45533</v>
      </c>
      <c r="B20" s="13" t="s">
        <v>5</v>
      </c>
      <c r="C20" s="14">
        <v>0.95699999999999996</v>
      </c>
      <c r="D20" s="16">
        <v>1348</v>
      </c>
      <c r="E20" s="17">
        <f t="shared" si="0"/>
        <v>57.963999999999942</v>
      </c>
      <c r="F20" s="18">
        <f t="shared" si="1"/>
        <v>3188.0199999999968</v>
      </c>
      <c r="G20" s="19">
        <f t="shared" si="3"/>
        <v>67.400000000000091</v>
      </c>
      <c r="H20" s="20">
        <f t="shared" si="2"/>
        <v>9.4360000000001492</v>
      </c>
    </row>
    <row r="21" spans="1:8" ht="13" x14ac:dyDescent="0.15">
      <c r="A21" s="12">
        <v>45534</v>
      </c>
      <c r="B21" s="13" t="s">
        <v>6</v>
      </c>
      <c r="C21" s="14">
        <v>0.9466</v>
      </c>
      <c r="D21" s="16">
        <v>1348</v>
      </c>
      <c r="E21" s="17">
        <f t="shared" si="0"/>
        <v>71.983199999999897</v>
      </c>
      <c r="F21" s="18">
        <f t="shared" si="1"/>
        <v>3959.0759999999946</v>
      </c>
      <c r="G21" s="19">
        <f t="shared" si="3"/>
        <v>67.400000000000091</v>
      </c>
      <c r="H21" s="20">
        <f t="shared" si="2"/>
        <v>-4.5831999999998061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0.95279999999999998</v>
      </c>
      <c r="D23" s="16">
        <v>1357</v>
      </c>
      <c r="E23" s="17">
        <f t="shared" si="0"/>
        <v>64.050400000000081</v>
      </c>
      <c r="F23" s="18">
        <f t="shared" si="1"/>
        <v>3522.7720000000045</v>
      </c>
      <c r="G23" s="19">
        <f t="shared" si="3"/>
        <v>67.850000000000136</v>
      </c>
      <c r="H23" s="20">
        <f t="shared" si="2"/>
        <v>3.7996000000000549</v>
      </c>
    </row>
    <row r="24" spans="1:8" ht="13" x14ac:dyDescent="0.15">
      <c r="A24" s="12">
        <v>45539</v>
      </c>
      <c r="B24" s="13" t="s">
        <v>4</v>
      </c>
      <c r="C24" s="14">
        <v>0.96460000000000001</v>
      </c>
      <c r="D24" s="16">
        <v>1357</v>
      </c>
      <c r="E24" s="17">
        <f t="shared" si="0"/>
        <v>48.037800000000061</v>
      </c>
      <c r="F24" s="18">
        <f t="shared" si="1"/>
        <v>2642.0790000000034</v>
      </c>
      <c r="G24" s="19">
        <f t="shared" si="3"/>
        <v>67.850000000000136</v>
      </c>
      <c r="H24" s="20">
        <f t="shared" si="2"/>
        <v>19.812200000000075</v>
      </c>
    </row>
    <row r="25" spans="1:8" ht="13" x14ac:dyDescent="0.15">
      <c r="A25" s="12">
        <v>45540</v>
      </c>
      <c r="B25" s="13" t="s">
        <v>5</v>
      </c>
      <c r="C25" s="14">
        <v>0.96030000000000004</v>
      </c>
      <c r="D25" s="16">
        <v>1359</v>
      </c>
      <c r="E25" s="17">
        <f t="shared" si="0"/>
        <v>53.952299999999923</v>
      </c>
      <c r="F25" s="18">
        <f t="shared" si="1"/>
        <v>2967.3764999999958</v>
      </c>
      <c r="G25" s="19">
        <f t="shared" si="3"/>
        <v>67.950000000000045</v>
      </c>
      <c r="H25" s="20">
        <f t="shared" si="2"/>
        <v>13.997700000000123</v>
      </c>
    </row>
    <row r="26" spans="1:8" ht="13" x14ac:dyDescent="0.15">
      <c r="A26" s="12">
        <v>45541</v>
      </c>
      <c r="B26" s="13" t="s">
        <v>6</v>
      </c>
      <c r="C26" s="14">
        <v>0.94789999999999996</v>
      </c>
      <c r="D26" s="16">
        <v>1362</v>
      </c>
      <c r="E26" s="17">
        <f t="shared" si="0"/>
        <v>70.960199999999986</v>
      </c>
      <c r="F26" s="18">
        <f t="shared" si="1"/>
        <v>3902.8109999999992</v>
      </c>
      <c r="G26" s="19">
        <f t="shared" si="3"/>
        <v>68.100000000000136</v>
      </c>
      <c r="H26" s="20">
        <f t="shared" si="2"/>
        <v>-2.8601999999998498</v>
      </c>
    </row>
    <row r="27" spans="1:8" ht="13" x14ac:dyDescent="0.15">
      <c r="A27" s="12">
        <v>45544</v>
      </c>
      <c r="B27" s="13" t="s">
        <v>2</v>
      </c>
      <c r="C27" s="14">
        <v>0.96550000000000002</v>
      </c>
      <c r="D27" s="16">
        <v>1361</v>
      </c>
      <c r="E27" s="17">
        <f t="shared" si="0"/>
        <v>46.954500000000053</v>
      </c>
      <c r="F27" s="18">
        <f t="shared" si="1"/>
        <v>2582.4975000000031</v>
      </c>
      <c r="G27" s="19">
        <f t="shared" si="3"/>
        <v>68.049999999999955</v>
      </c>
      <c r="H27" s="20">
        <f t="shared" si="2"/>
        <v>21.095499999999902</v>
      </c>
    </row>
    <row r="28" spans="1:8" ht="13" x14ac:dyDescent="0.15">
      <c r="A28" s="12">
        <v>45545</v>
      </c>
      <c r="B28" s="13" t="s">
        <v>3</v>
      </c>
      <c r="C28" s="14">
        <v>0.96619999999999995</v>
      </c>
      <c r="D28" s="16">
        <v>1361</v>
      </c>
      <c r="E28" s="17">
        <f t="shared" si="0"/>
        <v>46.001800000000003</v>
      </c>
      <c r="F28" s="18">
        <f t="shared" si="1"/>
        <v>2530.0990000000002</v>
      </c>
      <c r="G28" s="19">
        <f t="shared" si="3"/>
        <v>68.049999999999955</v>
      </c>
      <c r="H28" s="20">
        <f t="shared" si="2"/>
        <v>22.048199999999952</v>
      </c>
    </row>
    <row r="29" spans="1:8" ht="13" x14ac:dyDescent="0.15">
      <c r="A29" s="12">
        <v>45546</v>
      </c>
      <c r="B29" s="13" t="s">
        <v>4</v>
      </c>
      <c r="C29" s="14">
        <v>0.95740000000000003</v>
      </c>
      <c r="D29" s="16">
        <v>1362</v>
      </c>
      <c r="E29" s="17">
        <f t="shared" si="0"/>
        <v>58.021199999999908</v>
      </c>
      <c r="F29" s="18">
        <f t="shared" si="1"/>
        <v>3191.1659999999947</v>
      </c>
      <c r="G29" s="19">
        <f t="shared" si="3"/>
        <v>68.100000000000136</v>
      </c>
      <c r="H29" s="20">
        <f t="shared" si="2"/>
        <v>10.078800000000228</v>
      </c>
    </row>
    <row r="30" spans="1:8" ht="13" x14ac:dyDescent="0.15">
      <c r="A30" s="12">
        <v>45547</v>
      </c>
      <c r="B30" s="13" t="s">
        <v>5</v>
      </c>
      <c r="C30" s="14">
        <v>0.96330000000000005</v>
      </c>
      <c r="D30" s="16">
        <v>1363</v>
      </c>
      <c r="E30" s="17">
        <f t="shared" si="0"/>
        <v>50.022099999999909</v>
      </c>
      <c r="F30" s="18">
        <f t="shared" si="1"/>
        <v>2751.2154999999948</v>
      </c>
      <c r="G30" s="19">
        <f t="shared" si="3"/>
        <v>68.150000000000091</v>
      </c>
      <c r="H30" s="20">
        <f t="shared" si="2"/>
        <v>18.127900000000182</v>
      </c>
    </row>
    <row r="31" spans="1:8" ht="13" x14ac:dyDescent="0.15">
      <c r="A31" s="12">
        <v>45548</v>
      </c>
      <c r="B31" s="13" t="s">
        <v>6</v>
      </c>
      <c r="C31" s="14">
        <v>0.9405</v>
      </c>
      <c r="D31" s="16">
        <v>1362</v>
      </c>
      <c r="E31" s="17">
        <f t="shared" si="0"/>
        <v>81.038999999999987</v>
      </c>
      <c r="F31" s="18">
        <f t="shared" si="1"/>
        <v>4457.1449999999995</v>
      </c>
      <c r="G31" s="19">
        <f t="shared" si="3"/>
        <v>68.100000000000136</v>
      </c>
      <c r="H31" s="20">
        <f t="shared" si="2"/>
        <v>-12.938999999999851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0.95960000000000001</v>
      </c>
      <c r="D33" s="16">
        <v>1362</v>
      </c>
      <c r="E33" s="17">
        <f t="shared" si="0"/>
        <v>55.024799999999914</v>
      </c>
      <c r="F33" s="18">
        <f t="shared" si="1"/>
        <v>3026.363999999995</v>
      </c>
      <c r="G33" s="19">
        <f t="shared" si="3"/>
        <v>68.100000000000136</v>
      </c>
      <c r="H33" s="20">
        <f t="shared" si="2"/>
        <v>13.075200000000223</v>
      </c>
    </row>
    <row r="34" spans="1:8" ht="13" x14ac:dyDescent="0.15">
      <c r="A34" s="12">
        <v>45553</v>
      </c>
      <c r="B34" s="13" t="s">
        <v>4</v>
      </c>
      <c r="C34" s="14">
        <v>0.9647</v>
      </c>
      <c r="D34" s="16">
        <v>1361</v>
      </c>
      <c r="E34" s="17">
        <f t="shared" si="0"/>
        <v>48.043300000000045</v>
      </c>
      <c r="F34" s="18">
        <f t="shared" si="1"/>
        <v>2642.3815000000022</v>
      </c>
      <c r="G34" s="19">
        <f t="shared" si="3"/>
        <v>68.049999999999955</v>
      </c>
      <c r="H34" s="20">
        <f t="shared" si="2"/>
        <v>20.00669999999991</v>
      </c>
    </row>
    <row r="35" spans="1:8" ht="13" x14ac:dyDescent="0.15">
      <c r="A35" s="12">
        <v>45554</v>
      </c>
      <c r="B35" s="13" t="s">
        <v>5</v>
      </c>
      <c r="C35" s="14">
        <v>0.97209999999999996</v>
      </c>
      <c r="D35" s="16">
        <v>1361</v>
      </c>
      <c r="E35" s="17">
        <f t="shared" si="0"/>
        <v>37.971900000000005</v>
      </c>
      <c r="F35" s="18">
        <f t="shared" si="1"/>
        <v>2088.4545000000003</v>
      </c>
      <c r="G35" s="19">
        <f t="shared" si="3"/>
        <v>68.049999999999955</v>
      </c>
      <c r="H35" s="20">
        <f t="shared" si="2"/>
        <v>30.078099999999949</v>
      </c>
    </row>
    <row r="36" spans="1:8" ht="13" x14ac:dyDescent="0.15">
      <c r="A36" s="43">
        <v>45555</v>
      </c>
      <c r="B36" s="44" t="s">
        <v>6</v>
      </c>
      <c r="C36" s="45">
        <v>0.95499999999999996</v>
      </c>
      <c r="D36" s="46">
        <v>1357</v>
      </c>
      <c r="E36" s="17">
        <f t="shared" si="0"/>
        <v>61.065000000000055</v>
      </c>
      <c r="F36" s="18">
        <f t="shared" si="1"/>
        <v>3358.575000000003</v>
      </c>
      <c r="G36" s="19">
        <f t="shared" si="3"/>
        <v>67.850000000000136</v>
      </c>
      <c r="H36" s="20">
        <f t="shared" si="2"/>
        <v>6.7850000000000819</v>
      </c>
    </row>
    <row r="37" spans="1:8" ht="13" x14ac:dyDescent="0.15">
      <c r="A37" s="12">
        <v>45558</v>
      </c>
      <c r="B37" s="13" t="s">
        <v>2</v>
      </c>
      <c r="C37" s="14">
        <v>0.95069999999999999</v>
      </c>
      <c r="D37" s="16">
        <v>1359</v>
      </c>
      <c r="E37" s="17">
        <f t="shared" si="0"/>
        <v>66.998700000000099</v>
      </c>
      <c r="F37" s="18">
        <f t="shared" si="1"/>
        <v>3684.9285000000054</v>
      </c>
      <c r="G37" s="19">
        <f t="shared" si="3"/>
        <v>67.950000000000045</v>
      </c>
      <c r="H37" s="20">
        <f t="shared" si="2"/>
        <v>0.95129999999994652</v>
      </c>
    </row>
    <row r="38" spans="1:8" ht="13" x14ac:dyDescent="0.15">
      <c r="A38" s="12">
        <v>45559</v>
      </c>
      <c r="B38" s="13" t="s">
        <v>3</v>
      </c>
      <c r="C38" s="14">
        <v>0.96760000000000002</v>
      </c>
      <c r="D38" s="16">
        <v>1359</v>
      </c>
      <c r="E38" s="17">
        <f t="shared" si="0"/>
        <v>44.031600000000026</v>
      </c>
      <c r="F38" s="18">
        <f t="shared" si="1"/>
        <v>2421.7380000000012</v>
      </c>
      <c r="G38" s="19">
        <f t="shared" si="3"/>
        <v>67.950000000000045</v>
      </c>
      <c r="H38" s="20">
        <f t="shared" si="2"/>
        <v>23.91840000000002</v>
      </c>
    </row>
    <row r="39" spans="1:8" ht="13" x14ac:dyDescent="0.15">
      <c r="A39" s="12">
        <v>45560</v>
      </c>
      <c r="B39" s="13" t="s">
        <v>4</v>
      </c>
      <c r="C39" s="14">
        <v>0.96389999999999998</v>
      </c>
      <c r="D39" s="16">
        <v>1359</v>
      </c>
      <c r="E39" s="17">
        <f t="shared" ref="E39:E70" si="4">D39-(C39*D39)</f>
        <v>49.059899999999971</v>
      </c>
      <c r="F39" s="18">
        <f t="shared" si="1"/>
        <v>2698.2944999999982</v>
      </c>
      <c r="G39" s="19">
        <f t="shared" si="3"/>
        <v>67.950000000000045</v>
      </c>
      <c r="H39" s="20">
        <f t="shared" si="2"/>
        <v>18.890100000000075</v>
      </c>
    </row>
    <row r="40" spans="1:8" ht="13" x14ac:dyDescent="0.15">
      <c r="A40" s="12">
        <v>45561</v>
      </c>
      <c r="B40" s="13" t="s">
        <v>5</v>
      </c>
      <c r="C40" s="14">
        <v>0.96250000000000002</v>
      </c>
      <c r="D40" s="16">
        <v>1360</v>
      </c>
      <c r="E40" s="17">
        <f t="shared" si="4"/>
        <v>51</v>
      </c>
      <c r="F40" s="18">
        <f t="shared" si="1"/>
        <v>2805</v>
      </c>
      <c r="G40" s="19">
        <f t="shared" si="3"/>
        <v>68</v>
      </c>
      <c r="H40" s="20">
        <f t="shared" si="2"/>
        <v>17</v>
      </c>
    </row>
    <row r="41" spans="1:8" ht="13" x14ac:dyDescent="0.15">
      <c r="A41" s="12">
        <v>45562</v>
      </c>
      <c r="B41" s="13" t="s">
        <v>6</v>
      </c>
      <c r="C41" s="14">
        <v>0.94779999999999998</v>
      </c>
      <c r="D41" s="16">
        <v>1359</v>
      </c>
      <c r="E41" s="17">
        <f t="shared" si="4"/>
        <v>70.939800000000105</v>
      </c>
      <c r="F41" s="18">
        <f t="shared" si="1"/>
        <v>3901.6890000000058</v>
      </c>
      <c r="G41" s="19">
        <f t="shared" si="3"/>
        <v>67.950000000000045</v>
      </c>
      <c r="H41" s="20">
        <f t="shared" si="2"/>
        <v>-2.9898000000000593</v>
      </c>
    </row>
    <row r="42" spans="1:8" ht="13" x14ac:dyDescent="0.15">
      <c r="A42" s="12">
        <v>45565</v>
      </c>
      <c r="B42" s="13" t="s">
        <v>2</v>
      </c>
      <c r="C42" s="14">
        <v>0.95299999999999996</v>
      </c>
      <c r="D42" s="16">
        <v>1361</v>
      </c>
      <c r="E42" s="17">
        <f t="shared" si="4"/>
        <v>63.967000000000098</v>
      </c>
      <c r="F42" s="18">
        <f t="shared" si="1"/>
        <v>3518.1850000000054</v>
      </c>
      <c r="G42" s="19">
        <f t="shared" si="3"/>
        <v>68.049999999999955</v>
      </c>
      <c r="H42" s="20">
        <f t="shared" si="2"/>
        <v>4.0829999999998563</v>
      </c>
    </row>
    <row r="43" spans="1:8" ht="13" x14ac:dyDescent="0.15">
      <c r="A43" s="12">
        <v>45566</v>
      </c>
      <c r="B43" s="13" t="s">
        <v>3</v>
      </c>
      <c r="C43" s="14">
        <v>0.96399999999999997</v>
      </c>
      <c r="D43" s="16">
        <v>1361</v>
      </c>
      <c r="E43" s="17">
        <f t="shared" si="4"/>
        <v>48.996000000000095</v>
      </c>
      <c r="F43" s="18">
        <f t="shared" si="1"/>
        <v>2694.7800000000052</v>
      </c>
      <c r="G43" s="19">
        <f t="shared" si="3"/>
        <v>68.049999999999955</v>
      </c>
      <c r="H43" s="20">
        <f t="shared" si="2"/>
        <v>19.05399999999986</v>
      </c>
    </row>
    <row r="44" spans="1:8" ht="13" x14ac:dyDescent="0.15">
      <c r="A44" s="12">
        <v>45567</v>
      </c>
      <c r="B44" s="13" t="s">
        <v>4</v>
      </c>
      <c r="C44" s="14">
        <v>0.96850000000000003</v>
      </c>
      <c r="D44" s="16">
        <v>1363</v>
      </c>
      <c r="E44" s="17">
        <f t="shared" si="4"/>
        <v>42.934500000000071</v>
      </c>
      <c r="F44" s="18">
        <f t="shared" si="1"/>
        <v>2361.3975000000037</v>
      </c>
      <c r="G44" s="19">
        <f t="shared" si="3"/>
        <v>68.150000000000091</v>
      </c>
      <c r="H44" s="20">
        <f t="shared" si="2"/>
        <v>25.21550000000002</v>
      </c>
    </row>
    <row r="45" spans="1:8" ht="13" x14ac:dyDescent="0.15">
      <c r="A45" s="12">
        <v>45568</v>
      </c>
      <c r="B45" s="13" t="s">
        <v>5</v>
      </c>
      <c r="C45" s="14">
        <v>0.96399999999999997</v>
      </c>
      <c r="D45" s="16">
        <v>1363</v>
      </c>
      <c r="E45" s="17">
        <f t="shared" si="4"/>
        <v>49.067999999999984</v>
      </c>
      <c r="F45" s="18">
        <f t="shared" si="1"/>
        <v>2698.7399999999989</v>
      </c>
      <c r="G45" s="19">
        <f t="shared" si="3"/>
        <v>68.150000000000091</v>
      </c>
      <c r="H45" s="20">
        <f t="shared" si="2"/>
        <v>19.082000000000107</v>
      </c>
    </row>
    <row r="46" spans="1:8" ht="13" x14ac:dyDescent="0.15">
      <c r="A46" s="12">
        <v>45569</v>
      </c>
      <c r="B46" s="13" t="s">
        <v>6</v>
      </c>
      <c r="C46" s="14">
        <v>0.94059999999999999</v>
      </c>
      <c r="D46" s="16">
        <v>1363</v>
      </c>
      <c r="E46" s="17">
        <f t="shared" si="4"/>
        <v>80.962199999999939</v>
      </c>
      <c r="F46" s="18">
        <f t="shared" si="1"/>
        <v>4452.9209999999966</v>
      </c>
      <c r="G46" s="19">
        <f t="shared" si="3"/>
        <v>68.150000000000091</v>
      </c>
      <c r="H46" s="20">
        <f t="shared" si="2"/>
        <v>-12.812199999999848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0.94199999999999995</v>
      </c>
      <c r="D52" s="16">
        <v>1363</v>
      </c>
      <c r="E52" s="17">
        <f t="shared" si="4"/>
        <v>79.054000000000087</v>
      </c>
      <c r="F52" s="18">
        <f t="shared" si="1"/>
        <v>4347.9700000000048</v>
      </c>
      <c r="G52" s="19">
        <f t="shared" si="3"/>
        <v>68.150000000000091</v>
      </c>
      <c r="H52" s="20">
        <f t="shared" si="2"/>
        <v>-10.903999999999996</v>
      </c>
    </row>
    <row r="53" spans="1:8" ht="13" x14ac:dyDescent="0.15">
      <c r="A53" s="12">
        <v>45580</v>
      </c>
      <c r="B53" s="13" t="s">
        <v>3</v>
      </c>
      <c r="C53" s="14">
        <v>0.96109999999999995</v>
      </c>
      <c r="D53" s="16">
        <v>1363</v>
      </c>
      <c r="E53" s="17">
        <f t="shared" si="4"/>
        <v>53.020700000000033</v>
      </c>
      <c r="F53" s="18">
        <f t="shared" si="1"/>
        <v>2916.1385000000018</v>
      </c>
      <c r="G53" s="19">
        <f t="shared" si="3"/>
        <v>68.150000000000091</v>
      </c>
      <c r="H53" s="20">
        <f t="shared" si="2"/>
        <v>15.129300000000057</v>
      </c>
    </row>
    <row r="54" spans="1:8" ht="13" x14ac:dyDescent="0.15">
      <c r="A54" s="12">
        <v>45581</v>
      </c>
      <c r="B54" s="13" t="s">
        <v>4</v>
      </c>
      <c r="C54" s="14">
        <v>0.96850000000000003</v>
      </c>
      <c r="D54" s="16">
        <v>1364</v>
      </c>
      <c r="E54" s="17">
        <f t="shared" si="4"/>
        <v>42.965999999999894</v>
      </c>
      <c r="F54" s="18">
        <f t="shared" si="1"/>
        <v>2363.1299999999942</v>
      </c>
      <c r="G54" s="19">
        <f t="shared" si="3"/>
        <v>68.200000000000045</v>
      </c>
      <c r="H54" s="20">
        <f t="shared" si="2"/>
        <v>25.234000000000151</v>
      </c>
    </row>
    <row r="55" spans="1:8" ht="13" x14ac:dyDescent="0.15">
      <c r="A55" s="12">
        <v>45582</v>
      </c>
      <c r="B55" s="13" t="s">
        <v>5</v>
      </c>
      <c r="C55" s="14">
        <v>0.96850000000000003</v>
      </c>
      <c r="D55" s="16">
        <v>1364</v>
      </c>
      <c r="E55" s="17">
        <f t="shared" si="4"/>
        <v>42.965999999999894</v>
      </c>
      <c r="F55" s="18">
        <f t="shared" si="1"/>
        <v>2363.1299999999942</v>
      </c>
      <c r="G55" s="19">
        <f t="shared" si="3"/>
        <v>68.200000000000045</v>
      </c>
      <c r="H55" s="20">
        <f t="shared" si="2"/>
        <v>25.234000000000151</v>
      </c>
    </row>
    <row r="56" spans="1:8" ht="13" x14ac:dyDescent="0.15">
      <c r="A56" s="12">
        <v>45583</v>
      </c>
      <c r="B56" s="13" t="s">
        <v>6</v>
      </c>
      <c r="C56" s="14">
        <v>0.95669999999999999</v>
      </c>
      <c r="D56" s="16">
        <v>1362</v>
      </c>
      <c r="E56" s="17">
        <f t="shared" si="4"/>
        <v>58.974600000000009</v>
      </c>
      <c r="F56" s="18">
        <f t="shared" si="1"/>
        <v>3243.6030000000005</v>
      </c>
      <c r="G56" s="19">
        <f t="shared" si="3"/>
        <v>68.100000000000136</v>
      </c>
      <c r="H56" s="20">
        <f t="shared" si="2"/>
        <v>9.125400000000127</v>
      </c>
    </row>
    <row r="57" spans="1:8" ht="13" x14ac:dyDescent="0.15">
      <c r="A57" s="12">
        <v>45586</v>
      </c>
      <c r="B57" s="13" t="s">
        <v>2</v>
      </c>
      <c r="C57" s="14">
        <v>0.96389999999999998</v>
      </c>
      <c r="D57" s="16">
        <v>1358</v>
      </c>
      <c r="E57" s="17">
        <f t="shared" si="4"/>
        <v>49.023799999999937</v>
      </c>
      <c r="F57" s="18">
        <f t="shared" si="1"/>
        <v>2696.3089999999966</v>
      </c>
      <c r="G57" s="19">
        <f t="shared" si="3"/>
        <v>67.900000000000091</v>
      </c>
      <c r="H57" s="20">
        <f t="shared" si="2"/>
        <v>18.876200000000154</v>
      </c>
    </row>
    <row r="58" spans="1:8" ht="13" x14ac:dyDescent="0.15">
      <c r="A58" s="12">
        <v>45587</v>
      </c>
      <c r="B58" s="13" t="s">
        <v>3</v>
      </c>
      <c r="C58" s="47">
        <v>0.9536</v>
      </c>
      <c r="D58" s="16">
        <v>1359</v>
      </c>
      <c r="E58" s="17">
        <f t="shared" si="4"/>
        <v>63.057600000000093</v>
      </c>
      <c r="F58" s="18">
        <f t="shared" si="1"/>
        <v>3468.1680000000051</v>
      </c>
      <c r="G58" s="19">
        <f t="shared" si="3"/>
        <v>67.950000000000045</v>
      </c>
      <c r="H58" s="20">
        <f t="shared" si="2"/>
        <v>4.8923999999999523</v>
      </c>
    </row>
    <row r="59" spans="1:8" ht="13" x14ac:dyDescent="0.15">
      <c r="A59" s="12">
        <v>45588</v>
      </c>
      <c r="B59" s="13" t="s">
        <v>4</v>
      </c>
      <c r="C59" s="14">
        <v>0.96179999999999999</v>
      </c>
      <c r="D59" s="16">
        <v>1360</v>
      </c>
      <c r="E59" s="17">
        <f t="shared" si="4"/>
        <v>51.951999999999998</v>
      </c>
      <c r="F59" s="18">
        <f t="shared" si="1"/>
        <v>2857.3599999999997</v>
      </c>
      <c r="G59" s="19">
        <f t="shared" si="3"/>
        <v>68</v>
      </c>
      <c r="H59" s="20">
        <f t="shared" si="2"/>
        <v>16.048000000000002</v>
      </c>
    </row>
    <row r="60" spans="1:8" ht="13" x14ac:dyDescent="0.15">
      <c r="A60" s="12">
        <v>45589</v>
      </c>
      <c r="B60" s="13" t="s">
        <v>5</v>
      </c>
      <c r="C60" s="47">
        <v>0.96099999999999997</v>
      </c>
      <c r="D60" s="16">
        <v>1359</v>
      </c>
      <c r="E60" s="17">
        <f t="shared" si="4"/>
        <v>53.000999999999976</v>
      </c>
      <c r="F60" s="18">
        <f t="shared" si="1"/>
        <v>2915.0549999999985</v>
      </c>
      <c r="G60" s="19">
        <f t="shared" si="3"/>
        <v>67.950000000000045</v>
      </c>
      <c r="H60" s="20">
        <f t="shared" si="2"/>
        <v>14.949000000000069</v>
      </c>
    </row>
    <row r="61" spans="1:8" ht="13" x14ac:dyDescent="0.15">
      <c r="A61" s="12">
        <v>45590</v>
      </c>
      <c r="B61" s="13" t="s">
        <v>6</v>
      </c>
      <c r="C61" s="14">
        <v>0.93820000000000003</v>
      </c>
      <c r="D61" s="16">
        <v>1359</v>
      </c>
      <c r="E61" s="17">
        <f t="shared" si="4"/>
        <v>83.986200000000053</v>
      </c>
      <c r="F61" s="18">
        <f t="shared" si="1"/>
        <v>4619.2410000000027</v>
      </c>
      <c r="G61" s="19">
        <f t="shared" si="3"/>
        <v>67.950000000000045</v>
      </c>
      <c r="H61" s="20">
        <f t="shared" si="2"/>
        <v>-16.036200000000008</v>
      </c>
    </row>
    <row r="62" spans="1:8" ht="13" x14ac:dyDescent="0.15">
      <c r="A62" s="12">
        <v>45593</v>
      </c>
      <c r="B62" s="13" t="s">
        <v>2</v>
      </c>
      <c r="C62" s="14">
        <v>0.95</v>
      </c>
      <c r="D62" s="16">
        <v>1361</v>
      </c>
      <c r="E62" s="17">
        <f t="shared" si="4"/>
        <v>68.049999999999955</v>
      </c>
      <c r="F62" s="18">
        <f t="shared" si="1"/>
        <v>3742.7499999999973</v>
      </c>
      <c r="G62" s="19">
        <f t="shared" si="3"/>
        <v>68.049999999999955</v>
      </c>
      <c r="H62" s="20">
        <f t="shared" si="2"/>
        <v>0</v>
      </c>
    </row>
    <row r="63" spans="1:8" ht="13" x14ac:dyDescent="0.15">
      <c r="A63" s="12">
        <v>45594</v>
      </c>
      <c r="B63" s="13" t="s">
        <v>3</v>
      </c>
      <c r="C63" s="14">
        <v>0.96689999999999998</v>
      </c>
      <c r="D63" s="16">
        <v>1360</v>
      </c>
      <c r="E63" s="17">
        <f t="shared" si="4"/>
        <v>45.016000000000076</v>
      </c>
      <c r="F63" s="18">
        <f t="shared" si="1"/>
        <v>2475.8800000000042</v>
      </c>
      <c r="G63" s="19">
        <f t="shared" si="3"/>
        <v>68</v>
      </c>
      <c r="H63" s="20">
        <f t="shared" si="2"/>
        <v>22.983999999999924</v>
      </c>
    </row>
    <row r="64" spans="1:8" ht="13" x14ac:dyDescent="0.15">
      <c r="A64" s="12">
        <v>45595</v>
      </c>
      <c r="B64" s="13" t="s">
        <v>4</v>
      </c>
      <c r="C64" s="14">
        <v>0.96909999999999996</v>
      </c>
      <c r="D64" s="16">
        <v>1358</v>
      </c>
      <c r="E64" s="17">
        <f t="shared" si="4"/>
        <v>41.962199999999939</v>
      </c>
      <c r="F64" s="18">
        <f t="shared" si="1"/>
        <v>2307.9209999999966</v>
      </c>
      <c r="G64" s="19">
        <f t="shared" si="3"/>
        <v>67.900000000000091</v>
      </c>
      <c r="H64" s="20">
        <f t="shared" si="2"/>
        <v>25.937800000000152</v>
      </c>
    </row>
    <row r="65" spans="1:8" ht="13" x14ac:dyDescent="0.15">
      <c r="A65" s="12">
        <v>45596</v>
      </c>
      <c r="B65" s="13" t="s">
        <v>5</v>
      </c>
      <c r="C65" s="14">
        <v>0.95660000000000001</v>
      </c>
      <c r="D65" s="16">
        <v>1358</v>
      </c>
      <c r="E65" s="17">
        <f t="shared" si="4"/>
        <v>58.937200000000075</v>
      </c>
      <c r="F65" s="18">
        <f t="shared" si="1"/>
        <v>3241.5460000000039</v>
      </c>
      <c r="G65" s="19">
        <f t="shared" si="3"/>
        <v>67.900000000000091</v>
      </c>
      <c r="H65" s="20">
        <f t="shared" si="2"/>
        <v>8.9628000000000156</v>
      </c>
    </row>
    <row r="66" spans="1:8" ht="13" x14ac:dyDescent="0.15">
      <c r="A66" s="12">
        <v>45597</v>
      </c>
      <c r="B66" s="13" t="s">
        <v>6</v>
      </c>
      <c r="C66" s="14">
        <v>0.9204</v>
      </c>
      <c r="D66" s="16">
        <v>1356</v>
      </c>
      <c r="E66" s="17">
        <f t="shared" si="4"/>
        <v>107.93759999999997</v>
      </c>
      <c r="F66" s="18">
        <f t="shared" si="1"/>
        <v>5936.5679999999984</v>
      </c>
      <c r="G66" s="19">
        <f t="shared" si="3"/>
        <v>67.799999999999955</v>
      </c>
      <c r="H66" s="20">
        <f t="shared" si="2"/>
        <v>-40.13760000000002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0.96760000000000002</v>
      </c>
      <c r="D69" s="16">
        <v>1312</v>
      </c>
      <c r="E69" s="17">
        <f t="shared" si="4"/>
        <v>42.508800000000065</v>
      </c>
      <c r="F69" s="18">
        <f t="shared" si="1"/>
        <v>2337.9840000000036</v>
      </c>
      <c r="G69" s="19">
        <f t="shared" si="3"/>
        <v>65.600000000000136</v>
      </c>
      <c r="H69" s="20">
        <f t="shared" si="2"/>
        <v>23.091200000000072</v>
      </c>
    </row>
    <row r="70" spans="1:8" ht="13" x14ac:dyDescent="0.15">
      <c r="A70" s="12">
        <v>45603</v>
      </c>
      <c r="B70" s="13" t="s">
        <v>5</v>
      </c>
      <c r="C70" s="14">
        <v>0.96460000000000001</v>
      </c>
      <c r="D70" s="16">
        <v>1355</v>
      </c>
      <c r="E70" s="17">
        <f t="shared" si="4"/>
        <v>47.966999999999871</v>
      </c>
      <c r="F70" s="18">
        <f t="shared" si="1"/>
        <v>2638.1849999999931</v>
      </c>
      <c r="G70" s="19">
        <f t="shared" si="3"/>
        <v>67.75</v>
      </c>
      <c r="H70" s="20">
        <f t="shared" si="2"/>
        <v>19.783000000000129</v>
      </c>
    </row>
    <row r="71" spans="1:8" ht="13" x14ac:dyDescent="0.15">
      <c r="A71" s="43">
        <v>45604</v>
      </c>
      <c r="B71" s="44" t="s">
        <v>6</v>
      </c>
      <c r="C71" s="45">
        <v>0.95350000000000001</v>
      </c>
      <c r="D71" s="46">
        <v>1354</v>
      </c>
      <c r="E71" s="17">
        <f t="shared" ref="E71:E102" si="5">D71-(C71*D71)</f>
        <v>62.961000000000013</v>
      </c>
      <c r="F71" s="18">
        <f t="shared" si="1"/>
        <v>3462.8550000000005</v>
      </c>
      <c r="G71" s="19">
        <f t="shared" si="3"/>
        <v>67.700000000000045</v>
      </c>
      <c r="H71" s="20">
        <f t="shared" si="2"/>
        <v>4.7390000000000327</v>
      </c>
    </row>
    <row r="72" spans="1:8" ht="13" x14ac:dyDescent="0.15">
      <c r="A72" s="12">
        <v>45607</v>
      </c>
      <c r="B72" s="13" t="s">
        <v>2</v>
      </c>
      <c r="C72" s="14">
        <v>0.9506</v>
      </c>
      <c r="D72" s="16">
        <v>1356</v>
      </c>
      <c r="E72" s="17">
        <f t="shared" si="5"/>
        <v>66.986400000000003</v>
      </c>
      <c r="F72" s="18">
        <f t="shared" si="1"/>
        <v>3684.2520000000004</v>
      </c>
      <c r="G72" s="19">
        <f t="shared" si="3"/>
        <v>67.799999999999955</v>
      </c>
      <c r="H72" s="20">
        <f t="shared" si="2"/>
        <v>0.81359999999995125</v>
      </c>
    </row>
    <row r="73" spans="1:8" ht="13" x14ac:dyDescent="0.15">
      <c r="A73" s="12">
        <v>45608</v>
      </c>
      <c r="B73" s="13" t="s">
        <v>3</v>
      </c>
      <c r="C73" s="14">
        <v>0.96830000000000005</v>
      </c>
      <c r="D73" s="16">
        <v>1357</v>
      </c>
      <c r="E73" s="17">
        <f t="shared" si="5"/>
        <v>43.01689999999985</v>
      </c>
      <c r="F73" s="18">
        <f t="shared" si="1"/>
        <v>2365.929499999992</v>
      </c>
      <c r="G73" s="19">
        <f t="shared" si="3"/>
        <v>67.850000000000136</v>
      </c>
      <c r="H73" s="20">
        <f t="shared" si="2"/>
        <v>24.833100000000286</v>
      </c>
    </row>
    <row r="74" spans="1:8" ht="13" x14ac:dyDescent="0.15">
      <c r="A74" s="12">
        <v>45609</v>
      </c>
      <c r="B74" s="13" t="s">
        <v>4</v>
      </c>
      <c r="C74" s="14">
        <v>0.94469999999999998</v>
      </c>
      <c r="D74" s="16">
        <v>1357</v>
      </c>
      <c r="E74" s="17">
        <f t="shared" si="5"/>
        <v>75.042100000000119</v>
      </c>
      <c r="F74" s="18">
        <f t="shared" si="1"/>
        <v>4127.3155000000061</v>
      </c>
      <c r="G74" s="19">
        <f t="shared" si="3"/>
        <v>67.850000000000136</v>
      </c>
      <c r="H74" s="20">
        <f t="shared" si="2"/>
        <v>-7.1920999999999822</v>
      </c>
    </row>
    <row r="75" spans="1:8" ht="13" x14ac:dyDescent="0.15">
      <c r="A75" s="12">
        <v>45610</v>
      </c>
      <c r="B75" s="13" t="s">
        <v>5</v>
      </c>
      <c r="C75" s="14">
        <v>0.94920000000000004</v>
      </c>
      <c r="D75" s="16">
        <v>1357</v>
      </c>
      <c r="E75" s="17">
        <f t="shared" si="5"/>
        <v>68.935600000000022</v>
      </c>
      <c r="F75" s="18">
        <f t="shared" si="1"/>
        <v>3791.4580000000014</v>
      </c>
      <c r="G75" s="19">
        <f t="shared" si="3"/>
        <v>67.850000000000136</v>
      </c>
      <c r="H75" s="20">
        <f t="shared" si="2"/>
        <v>-1.0855999999998858</v>
      </c>
    </row>
    <row r="76" spans="1:8" ht="13" x14ac:dyDescent="0.15">
      <c r="A76" s="12">
        <v>45611</v>
      </c>
      <c r="B76" s="13" t="s">
        <v>6</v>
      </c>
      <c r="C76" s="14">
        <v>0.94620000000000004</v>
      </c>
      <c r="D76" s="16">
        <v>1357</v>
      </c>
      <c r="E76" s="17">
        <f t="shared" si="5"/>
        <v>73.006599999999935</v>
      </c>
      <c r="F76" s="18">
        <f t="shared" si="1"/>
        <v>4015.3629999999966</v>
      </c>
      <c r="G76" s="19">
        <f t="shared" si="3"/>
        <v>67.850000000000136</v>
      </c>
      <c r="H76" s="20">
        <f t="shared" si="2"/>
        <v>-5.1565999999997985</v>
      </c>
    </row>
    <row r="77" spans="1:8" ht="13" x14ac:dyDescent="0.15">
      <c r="A77" s="12">
        <v>45614</v>
      </c>
      <c r="B77" s="13" t="s">
        <v>2</v>
      </c>
      <c r="C77" s="14">
        <v>0.94479999999999997</v>
      </c>
      <c r="D77" s="16">
        <v>1358</v>
      </c>
      <c r="E77" s="17">
        <f t="shared" si="5"/>
        <v>74.961600000000089</v>
      </c>
      <c r="F77" s="18">
        <f t="shared" si="1"/>
        <v>4122.8880000000045</v>
      </c>
      <c r="G77" s="19">
        <f t="shared" si="3"/>
        <v>67.900000000000091</v>
      </c>
      <c r="H77" s="20">
        <f t="shared" si="2"/>
        <v>-7.0615999999999985</v>
      </c>
    </row>
    <row r="78" spans="1:8" ht="13" x14ac:dyDescent="0.15">
      <c r="A78" s="12">
        <v>45615</v>
      </c>
      <c r="B78" s="13" t="s">
        <v>3</v>
      </c>
      <c r="C78" s="14">
        <v>0.9587</v>
      </c>
      <c r="D78" s="16">
        <v>1356</v>
      </c>
      <c r="E78" s="17">
        <f t="shared" si="5"/>
        <v>56.002799999999979</v>
      </c>
      <c r="F78" s="18">
        <f t="shared" si="1"/>
        <v>3080.1539999999986</v>
      </c>
      <c r="G78" s="19">
        <f t="shared" si="3"/>
        <v>67.799999999999955</v>
      </c>
      <c r="H78" s="20">
        <f t="shared" si="2"/>
        <v>11.797199999999975</v>
      </c>
    </row>
    <row r="79" spans="1:8" ht="13" x14ac:dyDescent="0.15">
      <c r="A79" s="12">
        <v>45616</v>
      </c>
      <c r="B79" s="13" t="s">
        <v>4</v>
      </c>
      <c r="C79" s="14">
        <v>0.95209999999999995</v>
      </c>
      <c r="D79" s="16">
        <v>1356</v>
      </c>
      <c r="E79" s="17">
        <f t="shared" si="5"/>
        <v>64.952400000000125</v>
      </c>
      <c r="F79" s="18">
        <f t="shared" si="1"/>
        <v>3572.3820000000069</v>
      </c>
      <c r="G79" s="19">
        <f t="shared" si="3"/>
        <v>67.799999999999955</v>
      </c>
      <c r="H79" s="20">
        <f t="shared" si="2"/>
        <v>2.8475999999998294</v>
      </c>
    </row>
    <row r="80" spans="1:8" ht="13" x14ac:dyDescent="0.15">
      <c r="A80" s="12">
        <v>45617</v>
      </c>
      <c r="B80" s="13" t="s">
        <v>5</v>
      </c>
      <c r="C80" s="14">
        <v>0.95499999999999996</v>
      </c>
      <c r="D80" s="16">
        <v>1357</v>
      </c>
      <c r="E80" s="17">
        <f t="shared" si="5"/>
        <v>61.065000000000055</v>
      </c>
      <c r="F80" s="18">
        <f t="shared" si="1"/>
        <v>3358.575000000003</v>
      </c>
      <c r="G80" s="19">
        <f t="shared" si="3"/>
        <v>67.850000000000136</v>
      </c>
      <c r="H80" s="20">
        <f t="shared" si="2"/>
        <v>6.7850000000000819</v>
      </c>
    </row>
    <row r="81" spans="1:8" ht="13" x14ac:dyDescent="0.15">
      <c r="A81" s="12">
        <v>45618</v>
      </c>
      <c r="B81" s="13" t="s">
        <v>6</v>
      </c>
      <c r="C81" s="14">
        <v>0.92849999999999999</v>
      </c>
      <c r="D81" s="16">
        <v>1357</v>
      </c>
      <c r="E81" s="17">
        <f t="shared" si="5"/>
        <v>97.025499999999965</v>
      </c>
      <c r="F81" s="18">
        <f t="shared" si="1"/>
        <v>5336.4024999999983</v>
      </c>
      <c r="G81" s="19">
        <f t="shared" si="3"/>
        <v>67.850000000000136</v>
      </c>
      <c r="H81" s="20">
        <f t="shared" si="2"/>
        <v>-29.175499999999829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0.95199999999999996</v>
      </c>
      <c r="D87" s="16">
        <v>1355</v>
      </c>
      <c r="E87" s="17">
        <f t="shared" si="5"/>
        <v>65.039999999999964</v>
      </c>
      <c r="F87" s="18">
        <f t="shared" si="1"/>
        <v>3577.199999999998</v>
      </c>
      <c r="G87" s="19">
        <f t="shared" si="3"/>
        <v>67.75</v>
      </c>
      <c r="H87" s="20">
        <f t="shared" si="2"/>
        <v>2.7100000000000364</v>
      </c>
    </row>
    <row r="88" spans="1:8" ht="13" x14ac:dyDescent="0.15">
      <c r="A88" s="12">
        <v>45629</v>
      </c>
      <c r="B88" s="13" t="s">
        <v>3</v>
      </c>
      <c r="C88" s="14">
        <v>0.95799999999999996</v>
      </c>
      <c r="D88" s="16">
        <v>1356</v>
      </c>
      <c r="E88" s="17">
        <f t="shared" si="5"/>
        <v>56.951999999999998</v>
      </c>
      <c r="F88" s="18">
        <f t="shared" si="1"/>
        <v>3132.3599999999997</v>
      </c>
      <c r="G88" s="19">
        <f t="shared" si="3"/>
        <v>67.799999999999955</v>
      </c>
      <c r="H88" s="20">
        <f t="shared" si="2"/>
        <v>10.847999999999956</v>
      </c>
    </row>
    <row r="89" spans="1:8" ht="13" x14ac:dyDescent="0.15">
      <c r="A89" s="12">
        <v>45630</v>
      </c>
      <c r="B89" s="13" t="s">
        <v>4</v>
      </c>
      <c r="C89" s="14">
        <v>0.95350000000000001</v>
      </c>
      <c r="D89" s="16">
        <v>1356</v>
      </c>
      <c r="E89" s="17">
        <f t="shared" si="5"/>
        <v>63.054000000000087</v>
      </c>
      <c r="F89" s="18">
        <f t="shared" si="1"/>
        <v>3467.9700000000048</v>
      </c>
      <c r="G89" s="19">
        <f t="shared" si="3"/>
        <v>67.799999999999955</v>
      </c>
      <c r="H89" s="20">
        <f t="shared" si="2"/>
        <v>4.7459999999998672</v>
      </c>
    </row>
    <row r="90" spans="1:8" ht="13" x14ac:dyDescent="0.15">
      <c r="A90" s="12">
        <v>45631</v>
      </c>
      <c r="B90" s="13" t="s">
        <v>5</v>
      </c>
      <c r="C90" s="14">
        <v>0.95279999999999998</v>
      </c>
      <c r="D90" s="16">
        <v>1357</v>
      </c>
      <c r="E90" s="17">
        <f t="shared" si="5"/>
        <v>64.050400000000081</v>
      </c>
      <c r="F90" s="18">
        <f t="shared" si="1"/>
        <v>3522.7720000000045</v>
      </c>
      <c r="G90" s="19">
        <f t="shared" si="3"/>
        <v>67.850000000000136</v>
      </c>
      <c r="H90" s="20">
        <f t="shared" si="2"/>
        <v>3.7996000000000549</v>
      </c>
    </row>
    <row r="91" spans="1:8" ht="13" x14ac:dyDescent="0.15">
      <c r="A91" s="12">
        <v>45632</v>
      </c>
      <c r="B91" s="13" t="s">
        <v>6</v>
      </c>
      <c r="C91" s="14">
        <v>0.94840000000000002</v>
      </c>
      <c r="D91" s="16">
        <v>1357</v>
      </c>
      <c r="E91" s="17">
        <f t="shared" si="5"/>
        <v>70.021199999999908</v>
      </c>
      <c r="F91" s="18">
        <f t="shared" si="1"/>
        <v>3851.1659999999947</v>
      </c>
      <c r="G91" s="19">
        <f t="shared" si="3"/>
        <v>67.850000000000136</v>
      </c>
      <c r="H91" s="20">
        <f t="shared" si="2"/>
        <v>-2.1711999999997715</v>
      </c>
    </row>
    <row r="92" spans="1:8" ht="13" x14ac:dyDescent="0.15">
      <c r="A92" s="12">
        <v>45635</v>
      </c>
      <c r="B92" s="13" t="s">
        <v>2</v>
      </c>
      <c r="C92" s="14">
        <v>0.94540000000000002</v>
      </c>
      <c r="D92" s="16">
        <v>1356</v>
      </c>
      <c r="E92" s="17">
        <f t="shared" si="5"/>
        <v>74.037599999999884</v>
      </c>
      <c r="F92" s="18">
        <f t="shared" si="1"/>
        <v>4072.0679999999938</v>
      </c>
      <c r="G92" s="19">
        <f t="shared" si="3"/>
        <v>67.799999999999955</v>
      </c>
      <c r="H92" s="20">
        <f t="shared" si="2"/>
        <v>-6.2375999999999294</v>
      </c>
    </row>
    <row r="93" spans="1:8" ht="13" x14ac:dyDescent="0.15">
      <c r="A93" s="12">
        <v>45636</v>
      </c>
      <c r="B93" s="13" t="s">
        <v>3</v>
      </c>
      <c r="C93" s="14">
        <v>0.94620000000000004</v>
      </c>
      <c r="D93" s="16">
        <v>1357</v>
      </c>
      <c r="E93" s="17">
        <f t="shared" si="5"/>
        <v>73.006599999999935</v>
      </c>
      <c r="F93" s="18">
        <f t="shared" si="1"/>
        <v>4015.3629999999966</v>
      </c>
      <c r="G93" s="19">
        <f t="shared" si="3"/>
        <v>67.850000000000136</v>
      </c>
      <c r="H93" s="20">
        <f t="shared" si="2"/>
        <v>-5.1565999999997985</v>
      </c>
    </row>
    <row r="94" spans="1:8" ht="13" x14ac:dyDescent="0.15">
      <c r="A94" s="12">
        <v>45637</v>
      </c>
      <c r="B94" s="13" t="s">
        <v>4</v>
      </c>
      <c r="C94" s="14">
        <v>0.94399999999999995</v>
      </c>
      <c r="D94" s="16">
        <v>1357</v>
      </c>
      <c r="E94" s="17">
        <f t="shared" si="5"/>
        <v>75.991999999999962</v>
      </c>
      <c r="F94" s="18">
        <f t="shared" si="1"/>
        <v>4179.5599999999977</v>
      </c>
      <c r="G94" s="19">
        <f t="shared" si="3"/>
        <v>67.850000000000136</v>
      </c>
      <c r="H94" s="20">
        <f t="shared" si="2"/>
        <v>-8.1419999999998254</v>
      </c>
    </row>
    <row r="95" spans="1:8" ht="13" x14ac:dyDescent="0.15">
      <c r="A95" s="12">
        <v>45638</v>
      </c>
      <c r="B95" s="13" t="s">
        <v>5</v>
      </c>
      <c r="C95" s="14">
        <v>0.94540000000000002</v>
      </c>
      <c r="D95" s="16">
        <v>1356</v>
      </c>
      <c r="E95" s="17">
        <f t="shared" si="5"/>
        <v>74.037599999999884</v>
      </c>
      <c r="F95" s="18">
        <f t="shared" si="1"/>
        <v>4072.0679999999938</v>
      </c>
      <c r="G95" s="19">
        <f t="shared" si="3"/>
        <v>67.799999999999955</v>
      </c>
      <c r="H95" s="20">
        <f t="shared" si="2"/>
        <v>-6.2375999999999294</v>
      </c>
    </row>
    <row r="96" spans="1:8" ht="13" x14ac:dyDescent="0.15">
      <c r="A96" s="12">
        <v>45639</v>
      </c>
      <c r="B96" s="13" t="s">
        <v>6</v>
      </c>
      <c r="C96" s="14">
        <v>0.9425</v>
      </c>
      <c r="D96" s="16">
        <v>1356</v>
      </c>
      <c r="E96" s="17">
        <f t="shared" si="5"/>
        <v>77.970000000000027</v>
      </c>
      <c r="F96" s="18">
        <f t="shared" si="1"/>
        <v>4288.3500000000013</v>
      </c>
      <c r="G96" s="19">
        <f t="shared" si="3"/>
        <v>67.799999999999955</v>
      </c>
      <c r="H96" s="20">
        <f t="shared" si="2"/>
        <v>-10.170000000000073</v>
      </c>
    </row>
    <row r="97" spans="1:8" ht="13" x14ac:dyDescent="0.15">
      <c r="A97" s="12">
        <v>45642</v>
      </c>
      <c r="B97" s="13" t="s">
        <v>2</v>
      </c>
      <c r="C97" s="14">
        <v>0.9476</v>
      </c>
      <c r="D97" s="16">
        <v>1356</v>
      </c>
      <c r="E97" s="17">
        <f t="shared" si="5"/>
        <v>71.054399999999987</v>
      </c>
      <c r="F97" s="18">
        <f t="shared" si="1"/>
        <v>3907.9919999999993</v>
      </c>
      <c r="G97" s="19">
        <f t="shared" si="3"/>
        <v>67.799999999999955</v>
      </c>
      <c r="H97" s="20">
        <f t="shared" si="2"/>
        <v>-3.2544000000000324</v>
      </c>
    </row>
    <row r="98" spans="1:8" ht="13" x14ac:dyDescent="0.15">
      <c r="A98" s="12">
        <v>45643</v>
      </c>
      <c r="B98" s="13" t="s">
        <v>3</v>
      </c>
      <c r="C98" s="14">
        <v>0.95950000000000002</v>
      </c>
      <c r="D98" s="16">
        <v>1359</v>
      </c>
      <c r="E98" s="17">
        <f t="shared" si="5"/>
        <v>55.039499999999862</v>
      </c>
      <c r="F98" s="18">
        <f t="shared" si="1"/>
        <v>3027.1724999999924</v>
      </c>
      <c r="G98" s="19">
        <f t="shared" si="3"/>
        <v>67.950000000000045</v>
      </c>
      <c r="H98" s="20">
        <f t="shared" si="2"/>
        <v>12.910500000000184</v>
      </c>
    </row>
    <row r="99" spans="1:8" ht="13" x14ac:dyDescent="0.15">
      <c r="A99" s="12">
        <v>45644</v>
      </c>
      <c r="B99" s="13" t="s">
        <v>4</v>
      </c>
      <c r="C99" s="14">
        <v>0.9536</v>
      </c>
      <c r="D99" s="16">
        <v>1358</v>
      </c>
      <c r="E99" s="17">
        <f t="shared" si="5"/>
        <v>63.011199999999917</v>
      </c>
      <c r="F99" s="18">
        <f t="shared" si="1"/>
        <v>3465.6159999999954</v>
      </c>
      <c r="G99" s="19">
        <f t="shared" si="3"/>
        <v>67.900000000000091</v>
      </c>
      <c r="H99" s="20">
        <f t="shared" si="2"/>
        <v>4.8888000000001739</v>
      </c>
    </row>
    <row r="100" spans="1:8" ht="13" x14ac:dyDescent="0.15">
      <c r="A100" s="12">
        <v>45645</v>
      </c>
      <c r="B100" s="13" t="s">
        <v>5</v>
      </c>
      <c r="C100" s="14">
        <v>0.94179999999999997</v>
      </c>
      <c r="D100" s="16">
        <v>1358</v>
      </c>
      <c r="E100" s="17">
        <f t="shared" si="5"/>
        <v>79.035599999999931</v>
      </c>
      <c r="F100" s="18">
        <f t="shared" si="1"/>
        <v>4346.957999999996</v>
      </c>
      <c r="G100" s="19">
        <f t="shared" si="3"/>
        <v>67.900000000000091</v>
      </c>
      <c r="H100" s="20">
        <f t="shared" si="2"/>
        <v>-11.13559999999984</v>
      </c>
    </row>
    <row r="101" spans="1:8" ht="13" x14ac:dyDescent="0.15">
      <c r="A101" s="12">
        <v>45646</v>
      </c>
      <c r="B101" s="13" t="s">
        <v>6</v>
      </c>
      <c r="C101" s="14">
        <v>0.90129999999999999</v>
      </c>
      <c r="D101" s="16">
        <v>1358</v>
      </c>
      <c r="E101" s="17">
        <f t="shared" si="5"/>
        <v>134.03459999999995</v>
      </c>
      <c r="F101" s="18">
        <f t="shared" si="1"/>
        <v>7371.9029999999975</v>
      </c>
      <c r="G101" s="19">
        <f t="shared" si="3"/>
        <v>67.900000000000091</v>
      </c>
      <c r="H101" s="20">
        <f t="shared" si="2"/>
        <v>-66.134599999999864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0.94689999999999996</v>
      </c>
      <c r="D114" s="16">
        <v>1355</v>
      </c>
      <c r="E114" s="17">
        <f t="shared" si="6"/>
        <v>71.950500000000147</v>
      </c>
      <c r="F114" s="18">
        <f t="shared" si="1"/>
        <v>3957.2775000000083</v>
      </c>
      <c r="G114" s="19">
        <f t="shared" si="3"/>
        <v>67.75</v>
      </c>
      <c r="H114" s="20">
        <f t="shared" si="2"/>
        <v>-4.2005000000001473</v>
      </c>
    </row>
    <row r="115" spans="1:8" ht="13" x14ac:dyDescent="0.15">
      <c r="A115" s="12">
        <v>45666</v>
      </c>
      <c r="B115" s="13" t="s">
        <v>5</v>
      </c>
      <c r="C115" s="14">
        <v>0.93510000000000004</v>
      </c>
      <c r="D115" s="16">
        <v>1357</v>
      </c>
      <c r="E115" s="17">
        <f t="shared" si="6"/>
        <v>88.069299999999885</v>
      </c>
      <c r="F115" s="18">
        <f t="shared" si="1"/>
        <v>4843.8114999999934</v>
      </c>
      <c r="G115" s="19">
        <f t="shared" si="3"/>
        <v>67.850000000000136</v>
      </c>
      <c r="H115" s="20">
        <f t="shared" si="2"/>
        <v>-20.219299999999748</v>
      </c>
    </row>
    <row r="116" spans="1:8" ht="13" x14ac:dyDescent="0.15">
      <c r="A116" s="43">
        <v>45667</v>
      </c>
      <c r="B116" s="44" t="s">
        <v>6</v>
      </c>
      <c r="C116" s="45">
        <v>0.93279999999999996</v>
      </c>
      <c r="D116" s="46">
        <v>1354</v>
      </c>
      <c r="E116" s="17">
        <f t="shared" si="6"/>
        <v>90.988800000000083</v>
      </c>
      <c r="F116" s="18">
        <f t="shared" si="1"/>
        <v>5004.3840000000046</v>
      </c>
      <c r="G116" s="19">
        <f t="shared" si="3"/>
        <v>67.700000000000045</v>
      </c>
      <c r="H116" s="20">
        <f t="shared" si="2"/>
        <v>-23.288800000000037</v>
      </c>
    </row>
    <row r="117" spans="1:8" ht="13" x14ac:dyDescent="0.15">
      <c r="A117" s="12">
        <v>45670</v>
      </c>
      <c r="B117" s="13" t="s">
        <v>2</v>
      </c>
      <c r="C117" s="14">
        <v>0.94920000000000004</v>
      </c>
      <c r="D117" s="16">
        <v>1357</v>
      </c>
      <c r="E117" s="17">
        <f t="shared" si="6"/>
        <v>68.935600000000022</v>
      </c>
      <c r="F117" s="18">
        <f t="shared" si="1"/>
        <v>3791.4580000000014</v>
      </c>
      <c r="G117" s="19">
        <f t="shared" si="3"/>
        <v>67.850000000000136</v>
      </c>
      <c r="H117" s="20">
        <f t="shared" si="2"/>
        <v>-1.0855999999998858</v>
      </c>
    </row>
    <row r="118" spans="1:8" ht="13" x14ac:dyDescent="0.15">
      <c r="A118" s="12">
        <v>45671</v>
      </c>
      <c r="B118" s="13" t="s">
        <v>3</v>
      </c>
      <c r="C118" s="14">
        <v>0.95140000000000002</v>
      </c>
      <c r="D118" s="16">
        <v>1358</v>
      </c>
      <c r="E118" s="17">
        <f t="shared" si="6"/>
        <v>65.998800000000074</v>
      </c>
      <c r="F118" s="18">
        <f t="shared" si="1"/>
        <v>3629.9340000000038</v>
      </c>
      <c r="G118" s="19">
        <f t="shared" si="3"/>
        <v>67.900000000000091</v>
      </c>
      <c r="H118" s="20">
        <f t="shared" si="2"/>
        <v>1.9012000000000171</v>
      </c>
    </row>
    <row r="119" spans="1:8" ht="13" x14ac:dyDescent="0.15">
      <c r="A119" s="12">
        <v>45672</v>
      </c>
      <c r="B119" s="13" t="s">
        <v>4</v>
      </c>
      <c r="C119" s="48">
        <v>0.95879999999999999</v>
      </c>
      <c r="D119" s="16">
        <v>1360</v>
      </c>
      <c r="E119" s="17">
        <f t="shared" si="6"/>
        <v>56.031999999999925</v>
      </c>
      <c r="F119" s="18">
        <f t="shared" si="1"/>
        <v>3081.7599999999957</v>
      </c>
      <c r="G119" s="19">
        <f t="shared" si="3"/>
        <v>68</v>
      </c>
      <c r="H119" s="20">
        <f t="shared" si="2"/>
        <v>11.968000000000075</v>
      </c>
    </row>
    <row r="120" spans="1:8" ht="13" x14ac:dyDescent="0.15">
      <c r="A120" s="12">
        <v>45673</v>
      </c>
      <c r="B120" s="13" t="s">
        <v>5</v>
      </c>
      <c r="C120" s="14">
        <v>0.95660000000000001</v>
      </c>
      <c r="D120" s="16">
        <v>1358</v>
      </c>
      <c r="E120" s="17">
        <f t="shared" si="6"/>
        <v>58.937200000000075</v>
      </c>
      <c r="F120" s="18">
        <f t="shared" si="1"/>
        <v>3241.5460000000039</v>
      </c>
      <c r="G120" s="19">
        <f t="shared" si="3"/>
        <v>67.900000000000091</v>
      </c>
      <c r="H120" s="20">
        <f t="shared" si="2"/>
        <v>8.9628000000000156</v>
      </c>
    </row>
    <row r="121" spans="1:8" ht="13" x14ac:dyDescent="0.15">
      <c r="A121" s="12">
        <v>45674</v>
      </c>
      <c r="B121" s="13" t="s">
        <v>6</v>
      </c>
      <c r="C121" s="14">
        <v>0.94699999999999995</v>
      </c>
      <c r="D121" s="16">
        <v>1358</v>
      </c>
      <c r="E121" s="17">
        <f t="shared" si="6"/>
        <v>71.97400000000016</v>
      </c>
      <c r="F121" s="18">
        <f t="shared" si="1"/>
        <v>3958.5700000000088</v>
      </c>
      <c r="G121" s="19">
        <f t="shared" si="3"/>
        <v>67.900000000000091</v>
      </c>
      <c r="H121" s="20">
        <f t="shared" si="2"/>
        <v>-4.0740000000000691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0.86819999999999997</v>
      </c>
      <c r="D125" s="16">
        <v>1358</v>
      </c>
      <c r="E125" s="17">
        <f t="shared" si="6"/>
        <v>178.98440000000005</v>
      </c>
      <c r="F125" s="18">
        <f t="shared" si="1"/>
        <v>9844.1420000000035</v>
      </c>
      <c r="G125" s="19">
        <f t="shared" si="3"/>
        <v>67.900000000000091</v>
      </c>
      <c r="H125" s="20">
        <f t="shared" si="2"/>
        <v>-111.08439999999996</v>
      </c>
    </row>
    <row r="126" spans="1:8" ht="13" x14ac:dyDescent="0.15">
      <c r="A126" s="12">
        <v>45681</v>
      </c>
      <c r="B126" s="13" t="s">
        <v>6</v>
      </c>
      <c r="C126" s="14">
        <v>0.93669999999999998</v>
      </c>
      <c r="D126" s="16">
        <v>1359</v>
      </c>
      <c r="E126" s="17">
        <f t="shared" si="6"/>
        <v>86.024699999999939</v>
      </c>
      <c r="F126" s="18">
        <f t="shared" si="1"/>
        <v>4731.3584999999966</v>
      </c>
      <c r="G126" s="19">
        <f t="shared" si="3"/>
        <v>67.950000000000045</v>
      </c>
      <c r="H126" s="20">
        <f t="shared" si="2"/>
        <v>-18.074699999999893</v>
      </c>
    </row>
    <row r="127" spans="1:8" ht="13" x14ac:dyDescent="0.15">
      <c r="A127" s="12">
        <v>45684</v>
      </c>
      <c r="B127" s="13" t="s">
        <v>2</v>
      </c>
      <c r="C127" s="14">
        <v>0.95</v>
      </c>
      <c r="D127" s="16">
        <v>1360</v>
      </c>
      <c r="E127" s="17">
        <f t="shared" si="6"/>
        <v>68</v>
      </c>
      <c r="F127" s="18">
        <f t="shared" si="1"/>
        <v>3740</v>
      </c>
      <c r="G127" s="19">
        <f t="shared" si="3"/>
        <v>68</v>
      </c>
      <c r="H127" s="20">
        <f t="shared" si="2"/>
        <v>0</v>
      </c>
    </row>
    <row r="128" spans="1:8" ht="13" x14ac:dyDescent="0.15">
      <c r="A128" s="12">
        <v>45685</v>
      </c>
      <c r="B128" s="13" t="s">
        <v>3</v>
      </c>
      <c r="C128" s="14">
        <v>0.95369999999999999</v>
      </c>
      <c r="D128" s="16">
        <v>1362</v>
      </c>
      <c r="E128" s="17">
        <f t="shared" si="6"/>
        <v>63.060600000000022</v>
      </c>
      <c r="F128" s="18">
        <f t="shared" si="1"/>
        <v>3468.3330000000014</v>
      </c>
      <c r="G128" s="19">
        <f t="shared" si="3"/>
        <v>68.100000000000136</v>
      </c>
      <c r="H128" s="20">
        <f t="shared" si="2"/>
        <v>5.0394000000001142</v>
      </c>
    </row>
    <row r="129" spans="1:8" ht="13" x14ac:dyDescent="0.15">
      <c r="A129" s="12">
        <v>45686</v>
      </c>
      <c r="B129" s="13" t="s">
        <v>4</v>
      </c>
      <c r="C129" s="14">
        <v>0.94420000000000004</v>
      </c>
      <c r="D129" s="16">
        <v>1361</v>
      </c>
      <c r="E129" s="17">
        <f t="shared" si="6"/>
        <v>75.94380000000001</v>
      </c>
      <c r="F129" s="18">
        <f t="shared" si="1"/>
        <v>4176.9090000000006</v>
      </c>
      <c r="G129" s="19">
        <f t="shared" si="3"/>
        <v>68.049999999999955</v>
      </c>
      <c r="H129" s="20">
        <f t="shared" si="2"/>
        <v>-7.8938000000000557</v>
      </c>
    </row>
    <row r="130" spans="1:8" ht="13" x14ac:dyDescent="0.15">
      <c r="A130" s="12">
        <v>45687</v>
      </c>
      <c r="B130" s="13" t="s">
        <v>5</v>
      </c>
      <c r="C130" s="47">
        <v>0.94630000000000003</v>
      </c>
      <c r="D130" s="16">
        <v>1360</v>
      </c>
      <c r="E130" s="17">
        <f t="shared" si="6"/>
        <v>73.031999999999925</v>
      </c>
      <c r="F130" s="18">
        <f t="shared" si="1"/>
        <v>4016.7599999999957</v>
      </c>
      <c r="G130" s="19">
        <f t="shared" si="3"/>
        <v>68</v>
      </c>
      <c r="H130" s="20">
        <f t="shared" si="2"/>
        <v>-5.0319999999999254</v>
      </c>
    </row>
    <row r="131" spans="1:8" ht="13" x14ac:dyDescent="0.15">
      <c r="A131" s="12">
        <v>45688</v>
      </c>
      <c r="B131" s="13" t="s">
        <v>6</v>
      </c>
      <c r="C131" s="47">
        <v>0.94340000000000002</v>
      </c>
      <c r="D131" s="16">
        <v>1360</v>
      </c>
      <c r="E131" s="17">
        <f t="shared" si="6"/>
        <v>76.975999999999885</v>
      </c>
      <c r="F131" s="18">
        <f t="shared" si="1"/>
        <v>4233.6799999999939</v>
      </c>
      <c r="G131" s="19">
        <f t="shared" si="3"/>
        <v>68</v>
      </c>
      <c r="H131" s="20">
        <f t="shared" si="2"/>
        <v>-8.9759999999998854</v>
      </c>
    </row>
    <row r="132" spans="1:8" ht="13" x14ac:dyDescent="0.15">
      <c r="A132" s="12">
        <v>45691</v>
      </c>
      <c r="B132" s="13" t="s">
        <v>2</v>
      </c>
      <c r="C132" s="14">
        <v>0.81950000000000001</v>
      </c>
      <c r="D132" s="16">
        <v>1357</v>
      </c>
      <c r="E132" s="17">
        <f t="shared" si="6"/>
        <v>244.93849999999998</v>
      </c>
      <c r="F132" s="18">
        <f t="shared" si="1"/>
        <v>13471.617499999998</v>
      </c>
      <c r="G132" s="19">
        <f t="shared" si="3"/>
        <v>67.850000000000136</v>
      </c>
      <c r="H132" s="20">
        <f t="shared" si="2"/>
        <v>-177.08849999999984</v>
      </c>
    </row>
    <row r="133" spans="1:8" ht="13" x14ac:dyDescent="0.15">
      <c r="A133" s="12">
        <v>45692</v>
      </c>
      <c r="B133" s="13" t="s">
        <v>3</v>
      </c>
      <c r="C133" s="14">
        <v>0.9536</v>
      </c>
      <c r="D133" s="16">
        <v>1358</v>
      </c>
      <c r="E133" s="17">
        <f t="shared" si="6"/>
        <v>63.011199999999917</v>
      </c>
      <c r="F133" s="18">
        <f t="shared" si="1"/>
        <v>3465.6159999999954</v>
      </c>
      <c r="G133" s="19">
        <f t="shared" si="3"/>
        <v>67.900000000000091</v>
      </c>
      <c r="H133" s="20">
        <f t="shared" si="2"/>
        <v>4.8888000000001739</v>
      </c>
    </row>
    <row r="134" spans="1:8" ht="13" x14ac:dyDescent="0.15">
      <c r="A134" s="12">
        <v>45693</v>
      </c>
      <c r="B134" s="13" t="s">
        <v>4</v>
      </c>
      <c r="C134" s="47">
        <v>0.94789999999999996</v>
      </c>
      <c r="D134" s="16">
        <v>1362</v>
      </c>
      <c r="E134" s="17">
        <f t="shared" si="6"/>
        <v>70.960199999999986</v>
      </c>
      <c r="F134" s="18">
        <f t="shared" si="1"/>
        <v>3902.8109999999992</v>
      </c>
      <c r="G134" s="19">
        <f t="shared" si="3"/>
        <v>68.100000000000136</v>
      </c>
      <c r="H134" s="20">
        <f t="shared" si="2"/>
        <v>-2.8601999999998498</v>
      </c>
    </row>
    <row r="135" spans="1:8" ht="13" x14ac:dyDescent="0.15">
      <c r="A135" s="12">
        <v>45694</v>
      </c>
      <c r="B135" s="13" t="s">
        <v>5</v>
      </c>
      <c r="C135" s="47">
        <v>0.94930000000000003</v>
      </c>
      <c r="D135" s="16">
        <v>1362</v>
      </c>
      <c r="E135" s="17">
        <f t="shared" ref="E135:E181" si="7">D135-(C135*D135)</f>
        <v>69.053400000000011</v>
      </c>
      <c r="F135" s="18">
        <f t="shared" si="1"/>
        <v>3797.9370000000008</v>
      </c>
      <c r="G135" s="19">
        <f t="shared" si="3"/>
        <v>68.100000000000136</v>
      </c>
      <c r="H135" s="20">
        <f t="shared" si="2"/>
        <v>-0.95339999999987413</v>
      </c>
    </row>
    <row r="136" spans="1:8" ht="13" x14ac:dyDescent="0.15">
      <c r="A136" s="12">
        <v>45695</v>
      </c>
      <c r="B136" s="13" t="s">
        <v>6</v>
      </c>
      <c r="C136" s="47">
        <v>0.93759999999999999</v>
      </c>
      <c r="D136" s="16">
        <v>1362</v>
      </c>
      <c r="E136" s="17">
        <f t="shared" si="7"/>
        <v>84.988800000000083</v>
      </c>
      <c r="F136" s="18">
        <f t="shared" si="1"/>
        <v>4674.3840000000046</v>
      </c>
      <c r="G136" s="19">
        <f t="shared" si="3"/>
        <v>68.100000000000136</v>
      </c>
      <c r="H136" s="20">
        <f t="shared" si="2"/>
        <v>-16.888799999999947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3" x14ac:dyDescent="0.15">
      <c r="A139" s="12">
        <v>45700</v>
      </c>
      <c r="B139" s="13" t="s">
        <v>4</v>
      </c>
      <c r="C139" s="47">
        <v>0.94199999999999995</v>
      </c>
      <c r="D139" s="16">
        <v>1363</v>
      </c>
      <c r="E139" s="17">
        <f t="shared" si="7"/>
        <v>79.054000000000087</v>
      </c>
      <c r="F139" s="18">
        <f t="shared" si="1"/>
        <v>4347.9700000000048</v>
      </c>
      <c r="G139" s="19">
        <f t="shared" si="3"/>
        <v>68.150000000000091</v>
      </c>
      <c r="H139" s="20">
        <f t="shared" si="2"/>
        <v>-10.903999999999996</v>
      </c>
    </row>
    <row r="140" spans="1:8" ht="13" x14ac:dyDescent="0.15">
      <c r="A140" s="12">
        <v>45701</v>
      </c>
      <c r="B140" s="13" t="s">
        <v>5</v>
      </c>
      <c r="C140" s="47">
        <v>0.93689999999999996</v>
      </c>
      <c r="D140" s="16">
        <v>1363</v>
      </c>
      <c r="E140" s="17">
        <f t="shared" si="7"/>
        <v>86.005300000000034</v>
      </c>
      <c r="F140" s="18">
        <f t="shared" si="1"/>
        <v>4730.2915000000021</v>
      </c>
      <c r="G140" s="19">
        <f t="shared" si="3"/>
        <v>68.150000000000091</v>
      </c>
      <c r="H140" s="20">
        <f t="shared" si="2"/>
        <v>-17.855299999999943</v>
      </c>
    </row>
    <row r="141" spans="1:8" ht="13" x14ac:dyDescent="0.15">
      <c r="A141" s="12">
        <v>45702</v>
      </c>
      <c r="B141" s="13" t="s">
        <v>6</v>
      </c>
      <c r="C141" s="47">
        <v>0.9294</v>
      </c>
      <c r="D141" s="16">
        <v>1359</v>
      </c>
      <c r="E141" s="17">
        <f t="shared" si="7"/>
        <v>95.945400000000063</v>
      </c>
      <c r="F141" s="18">
        <f t="shared" si="1"/>
        <v>5276.997000000003</v>
      </c>
      <c r="G141" s="19">
        <f t="shared" si="3"/>
        <v>67.950000000000045</v>
      </c>
      <c r="H141" s="20">
        <f t="shared" si="2"/>
        <v>-27.995400000000018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0.96240000000000003</v>
      </c>
      <c r="D143" s="16">
        <v>1356</v>
      </c>
      <c r="E143" s="17">
        <f t="shared" si="7"/>
        <v>50.985599999999977</v>
      </c>
      <c r="F143" s="18">
        <f t="shared" si="1"/>
        <v>2804.2079999999987</v>
      </c>
      <c r="G143" s="19">
        <f t="shared" si="3"/>
        <v>67.799999999999955</v>
      </c>
      <c r="H143" s="20">
        <f t="shared" si="2"/>
        <v>16.814399999999978</v>
      </c>
    </row>
    <row r="144" spans="1:8" ht="13" x14ac:dyDescent="0.15">
      <c r="A144" s="12">
        <v>45707</v>
      </c>
      <c r="B144" s="13" t="s">
        <v>4</v>
      </c>
      <c r="C144" s="14">
        <v>0.96530000000000005</v>
      </c>
      <c r="D144" s="16">
        <v>1353</v>
      </c>
      <c r="E144" s="17">
        <f t="shared" si="7"/>
        <v>46.949100000000044</v>
      </c>
      <c r="F144" s="18">
        <f t="shared" si="1"/>
        <v>2582.2005000000026</v>
      </c>
      <c r="G144" s="19">
        <f t="shared" si="3"/>
        <v>67.650000000000091</v>
      </c>
      <c r="H144" s="20">
        <f t="shared" si="2"/>
        <v>20.700900000000047</v>
      </c>
    </row>
    <row r="145" spans="1:8" ht="13" x14ac:dyDescent="0.15">
      <c r="A145" s="12">
        <v>45708</v>
      </c>
      <c r="B145" s="13" t="s">
        <v>5</v>
      </c>
      <c r="C145" s="14">
        <v>0.92010000000000003</v>
      </c>
      <c r="D145" s="16">
        <v>1352</v>
      </c>
      <c r="E145" s="17">
        <f t="shared" si="7"/>
        <v>108.02479999999991</v>
      </c>
      <c r="F145" s="18">
        <f t="shared" si="1"/>
        <v>5941.363999999995</v>
      </c>
      <c r="G145" s="19">
        <f t="shared" si="3"/>
        <v>67.600000000000136</v>
      </c>
      <c r="H145" s="20">
        <f t="shared" si="2"/>
        <v>-40.424799999999777</v>
      </c>
    </row>
    <row r="146" spans="1:8" ht="13" x14ac:dyDescent="0.15">
      <c r="A146" s="43">
        <v>45709</v>
      </c>
      <c r="B146" s="44" t="s">
        <v>6</v>
      </c>
      <c r="C146" s="45">
        <v>0.94079999999999997</v>
      </c>
      <c r="D146" s="46">
        <v>1352</v>
      </c>
      <c r="E146" s="17">
        <f t="shared" si="7"/>
        <v>80.038400000000138</v>
      </c>
      <c r="F146" s="18">
        <f t="shared" si="1"/>
        <v>4402.1120000000074</v>
      </c>
      <c r="G146" s="19">
        <f t="shared" si="3"/>
        <v>67.600000000000136</v>
      </c>
      <c r="H146" s="20">
        <f t="shared" si="2"/>
        <v>-12.438400000000001</v>
      </c>
    </row>
    <row r="147" spans="1:8" ht="13" x14ac:dyDescent="0.15">
      <c r="A147" s="12">
        <v>45712</v>
      </c>
      <c r="B147" s="13" t="s">
        <v>2</v>
      </c>
      <c r="C147" s="14">
        <v>0.9526</v>
      </c>
      <c r="D147" s="16">
        <v>1350</v>
      </c>
      <c r="E147" s="17">
        <f t="shared" si="7"/>
        <v>63.990000000000009</v>
      </c>
      <c r="F147" s="18">
        <f t="shared" si="1"/>
        <v>3519.4500000000007</v>
      </c>
      <c r="G147" s="19">
        <f t="shared" si="3"/>
        <v>67.5</v>
      </c>
      <c r="H147" s="20">
        <f t="shared" si="2"/>
        <v>3.5099999999999909</v>
      </c>
    </row>
    <row r="148" spans="1:8" ht="13" x14ac:dyDescent="0.15">
      <c r="A148" s="12">
        <v>45713</v>
      </c>
      <c r="B148" s="13" t="s">
        <v>3</v>
      </c>
      <c r="C148" s="14">
        <v>0.95850000000000002</v>
      </c>
      <c r="D148" s="16">
        <v>1350</v>
      </c>
      <c r="E148" s="17">
        <f t="shared" si="7"/>
        <v>56.024999999999864</v>
      </c>
      <c r="F148" s="18">
        <f t="shared" si="1"/>
        <v>3081.3749999999927</v>
      </c>
      <c r="G148" s="19">
        <f t="shared" si="3"/>
        <v>67.5</v>
      </c>
      <c r="H148" s="20">
        <f t="shared" si="2"/>
        <v>11.475000000000136</v>
      </c>
    </row>
    <row r="149" spans="1:8" ht="13" x14ac:dyDescent="0.15">
      <c r="A149" s="12">
        <v>45714</v>
      </c>
      <c r="B149" s="13" t="s">
        <v>4</v>
      </c>
      <c r="C149" s="14">
        <v>0.94599999999999995</v>
      </c>
      <c r="D149" s="16">
        <v>1358</v>
      </c>
      <c r="E149" s="17">
        <f t="shared" si="7"/>
        <v>73.332000000000107</v>
      </c>
      <c r="F149" s="18">
        <f t="shared" si="1"/>
        <v>4033.2600000000057</v>
      </c>
      <c r="G149" s="19">
        <f t="shared" si="3"/>
        <v>67.900000000000091</v>
      </c>
      <c r="H149" s="20">
        <f t="shared" si="2"/>
        <v>-5.4320000000000164</v>
      </c>
    </row>
    <row r="150" spans="1:8" ht="13" x14ac:dyDescent="0.15">
      <c r="A150" s="12">
        <v>45715</v>
      </c>
      <c r="B150" s="13" t="s">
        <v>5</v>
      </c>
      <c r="C150" s="14">
        <v>0.94850000000000001</v>
      </c>
      <c r="D150" s="16">
        <v>1358</v>
      </c>
      <c r="E150" s="17">
        <f t="shared" si="7"/>
        <v>69.936999999999898</v>
      </c>
      <c r="F150" s="18">
        <f t="shared" si="1"/>
        <v>3846.5349999999944</v>
      </c>
      <c r="G150" s="19">
        <f t="shared" si="3"/>
        <v>67.900000000000091</v>
      </c>
      <c r="H150" s="20">
        <f t="shared" si="2"/>
        <v>-2.0369999999998072</v>
      </c>
    </row>
    <row r="151" spans="1:8" ht="13" x14ac:dyDescent="0.15">
      <c r="A151" s="12">
        <v>45716</v>
      </c>
      <c r="B151" s="13" t="s">
        <v>6</v>
      </c>
      <c r="C151" s="14">
        <v>0.9415</v>
      </c>
      <c r="D151" s="16">
        <v>1358</v>
      </c>
      <c r="E151" s="17">
        <f t="shared" si="7"/>
        <v>79.442999999999984</v>
      </c>
      <c r="F151" s="18">
        <f t="shared" si="1"/>
        <v>4369.3649999999989</v>
      </c>
      <c r="G151" s="19">
        <f t="shared" si="3"/>
        <v>67.900000000000091</v>
      </c>
      <c r="H151" s="20">
        <f t="shared" si="2"/>
        <v>-11.542999999999893</v>
      </c>
    </row>
    <row r="152" spans="1:8" ht="13" x14ac:dyDescent="0.15">
      <c r="A152" s="12">
        <v>45719</v>
      </c>
      <c r="B152" s="13" t="s">
        <v>2</v>
      </c>
      <c r="C152" s="14">
        <v>0.94230000000000003</v>
      </c>
      <c r="D152" s="16">
        <v>1358</v>
      </c>
      <c r="E152" s="17">
        <f t="shared" si="7"/>
        <v>78.356600000000071</v>
      </c>
      <c r="F152" s="18">
        <f t="shared" si="1"/>
        <v>4309.6130000000039</v>
      </c>
      <c r="G152" s="19">
        <f t="shared" si="3"/>
        <v>67.900000000000091</v>
      </c>
      <c r="H152" s="20">
        <f t="shared" si="2"/>
        <v>-10.45659999999998</v>
      </c>
    </row>
    <row r="153" spans="1:8" ht="13" x14ac:dyDescent="0.15">
      <c r="A153" s="12">
        <v>45720</v>
      </c>
      <c r="B153" s="13" t="s">
        <v>3</v>
      </c>
      <c r="C153" s="14">
        <v>0.89390000000000003</v>
      </c>
      <c r="D153" s="16">
        <v>1348</v>
      </c>
      <c r="E153" s="17">
        <f t="shared" si="7"/>
        <v>143.02279999999996</v>
      </c>
      <c r="F153" s="18">
        <f t="shared" si="1"/>
        <v>7866.2539999999981</v>
      </c>
      <c r="G153" s="19">
        <f t="shared" si="3"/>
        <v>67.400000000000091</v>
      </c>
      <c r="H153" s="20">
        <f t="shared" si="2"/>
        <v>-75.62279999999987</v>
      </c>
    </row>
    <row r="154" spans="1:8" ht="13" x14ac:dyDescent="0.15">
      <c r="A154" s="12">
        <v>45721</v>
      </c>
      <c r="B154" s="13" t="s">
        <v>4</v>
      </c>
      <c r="C154" s="14">
        <v>0.94850000000000001</v>
      </c>
      <c r="D154" s="16">
        <v>1346</v>
      </c>
      <c r="E154" s="17">
        <f t="shared" si="7"/>
        <v>69.31899999999996</v>
      </c>
      <c r="F154" s="18">
        <f t="shared" si="1"/>
        <v>3812.5449999999978</v>
      </c>
      <c r="G154" s="19">
        <f t="shared" si="3"/>
        <v>67.299999999999955</v>
      </c>
      <c r="H154" s="20">
        <f t="shared" si="2"/>
        <v>-2.0190000000000055</v>
      </c>
    </row>
    <row r="155" spans="1:8" ht="13" x14ac:dyDescent="0.15">
      <c r="A155" s="12">
        <v>45722</v>
      </c>
      <c r="B155" s="13" t="s">
        <v>5</v>
      </c>
      <c r="C155" s="14">
        <v>0.94710000000000005</v>
      </c>
      <c r="D155" s="16">
        <v>1346</v>
      </c>
      <c r="E155" s="17">
        <f t="shared" si="7"/>
        <v>71.203399999999874</v>
      </c>
      <c r="F155" s="18">
        <f t="shared" si="1"/>
        <v>3916.1869999999931</v>
      </c>
      <c r="G155" s="19">
        <f t="shared" si="3"/>
        <v>67.299999999999955</v>
      </c>
      <c r="H155" s="20">
        <f t="shared" si="2"/>
        <v>-3.9033999999999196</v>
      </c>
    </row>
    <row r="156" spans="1:8" ht="13" x14ac:dyDescent="0.15">
      <c r="A156" s="12">
        <v>45723</v>
      </c>
      <c r="B156" s="13" t="s">
        <v>6</v>
      </c>
      <c r="C156" s="14">
        <v>0.94579999999999997</v>
      </c>
      <c r="D156" s="16">
        <v>1347</v>
      </c>
      <c r="E156" s="17">
        <f t="shared" si="7"/>
        <v>73.007399999999961</v>
      </c>
      <c r="F156" s="18">
        <f t="shared" si="1"/>
        <v>4015.4069999999979</v>
      </c>
      <c r="G156" s="19">
        <f t="shared" si="3"/>
        <v>67.350000000000136</v>
      </c>
      <c r="H156" s="20">
        <f t="shared" si="2"/>
        <v>-5.657399999999825</v>
      </c>
    </row>
    <row r="157" spans="1:8" ht="13" x14ac:dyDescent="0.15">
      <c r="A157" s="34">
        <v>45726</v>
      </c>
      <c r="B157" s="35" t="s">
        <v>2</v>
      </c>
      <c r="C157" s="14">
        <v>0.94599999999999995</v>
      </c>
      <c r="D157" s="16">
        <v>1358</v>
      </c>
      <c r="E157" s="17">
        <f t="shared" si="7"/>
        <v>73.332000000000107</v>
      </c>
      <c r="F157" s="18">
        <f t="shared" si="1"/>
        <v>4033.2600000000057</v>
      </c>
      <c r="G157" s="19">
        <f t="shared" si="3"/>
        <v>67.900000000000091</v>
      </c>
      <c r="H157" s="20">
        <f t="shared" si="2"/>
        <v>-5.4320000000000164</v>
      </c>
    </row>
    <row r="158" spans="1:8" ht="15.75" customHeight="1" x14ac:dyDescent="0.15">
      <c r="A158" s="34">
        <v>45727</v>
      </c>
      <c r="B158" s="35" t="s">
        <v>3</v>
      </c>
      <c r="C158" s="79">
        <v>0.95099999999999996</v>
      </c>
      <c r="D158" s="81">
        <v>1346</v>
      </c>
      <c r="E158" s="17">
        <f t="shared" si="7"/>
        <v>65.953999999999951</v>
      </c>
      <c r="F158" s="18">
        <f t="shared" si="1"/>
        <v>3627.4699999999975</v>
      </c>
      <c r="G158" s="19">
        <f t="shared" si="3"/>
        <v>67.299999999999955</v>
      </c>
      <c r="H158" s="20">
        <f t="shared" si="2"/>
        <v>1.3460000000000036</v>
      </c>
    </row>
    <row r="159" spans="1:8" ht="15.75" customHeight="1" x14ac:dyDescent="0.15">
      <c r="A159" s="34">
        <v>45728</v>
      </c>
      <c r="B159" s="35" t="s">
        <v>4</v>
      </c>
      <c r="C159" s="79">
        <v>0.95389999999999997</v>
      </c>
      <c r="D159" s="81">
        <v>1345</v>
      </c>
      <c r="E159" s="17">
        <f t="shared" si="7"/>
        <v>62.004500000000007</v>
      </c>
      <c r="F159" s="18">
        <f t="shared" ref="F159:F181" si="8">E159*$E$5</f>
        <v>3410.2475000000004</v>
      </c>
      <c r="G159" s="19">
        <f t="shared" ref="G159:G181" si="9">D159-(D159*G$3)</f>
        <v>67.25</v>
      </c>
      <c r="H159" s="20">
        <f t="shared" ref="H159:H181" si="10">G159-E159</f>
        <v>5.2454999999999927</v>
      </c>
    </row>
    <row r="160" spans="1:8" ht="15.75" customHeight="1" x14ac:dyDescent="0.15">
      <c r="A160" s="34">
        <v>45729</v>
      </c>
      <c r="B160" s="35" t="s">
        <v>5</v>
      </c>
      <c r="C160" s="79">
        <v>0.95389999999999997</v>
      </c>
      <c r="D160" s="81">
        <v>1345</v>
      </c>
      <c r="E160" s="17">
        <f t="shared" si="7"/>
        <v>62.004500000000007</v>
      </c>
      <c r="F160" s="18">
        <f t="shared" si="8"/>
        <v>3410.2475000000004</v>
      </c>
      <c r="G160" s="19">
        <f t="shared" si="9"/>
        <v>67.25</v>
      </c>
      <c r="H160" s="20">
        <f t="shared" si="10"/>
        <v>5.2454999999999927</v>
      </c>
    </row>
    <row r="161" spans="1:8" ht="15.75" customHeight="1" x14ac:dyDescent="0.15">
      <c r="A161" s="34">
        <v>45730</v>
      </c>
      <c r="B161" s="35" t="s">
        <v>6</v>
      </c>
      <c r="C161" s="79">
        <v>0.91069999999999995</v>
      </c>
      <c r="D161" s="81">
        <v>1345</v>
      </c>
      <c r="E161" s="17">
        <f t="shared" si="7"/>
        <v>120.10850000000005</v>
      </c>
      <c r="F161" s="18">
        <f t="shared" si="8"/>
        <v>6605.9675000000025</v>
      </c>
      <c r="G161" s="19">
        <f t="shared" si="9"/>
        <v>67.25</v>
      </c>
      <c r="H161" s="20">
        <f t="shared" si="10"/>
        <v>-52.858500000000049</v>
      </c>
    </row>
    <row r="162" spans="1:8" ht="15.75" customHeight="1" x14ac:dyDescent="0.15">
      <c r="A162" s="83">
        <v>45733</v>
      </c>
      <c r="B162" s="84" t="s">
        <v>2</v>
      </c>
      <c r="C162" s="85"/>
      <c r="D162" s="87"/>
      <c r="E162" s="17">
        <f t="shared" si="7"/>
        <v>0</v>
      </c>
      <c r="F162" s="18">
        <f t="shared" si="8"/>
        <v>0</v>
      </c>
      <c r="G162" s="19">
        <f t="shared" si="9"/>
        <v>0</v>
      </c>
      <c r="H162" s="20">
        <f t="shared" si="10"/>
        <v>0</v>
      </c>
    </row>
    <row r="163" spans="1:8" ht="15.75" customHeight="1" x14ac:dyDescent="0.15">
      <c r="A163" s="83">
        <v>45734</v>
      </c>
      <c r="B163" s="84" t="s">
        <v>3</v>
      </c>
      <c r="C163" s="85"/>
      <c r="D163" s="87"/>
      <c r="E163" s="17">
        <f t="shared" si="7"/>
        <v>0</v>
      </c>
      <c r="F163" s="18">
        <f t="shared" si="8"/>
        <v>0</v>
      </c>
      <c r="G163" s="19">
        <f t="shared" si="9"/>
        <v>0</v>
      </c>
      <c r="H163" s="20">
        <f t="shared" si="10"/>
        <v>0</v>
      </c>
    </row>
    <row r="164" spans="1:8" ht="15.75" customHeight="1" x14ac:dyDescent="0.15">
      <c r="A164" s="83">
        <v>45735</v>
      </c>
      <c r="B164" s="84" t="s">
        <v>4</v>
      </c>
      <c r="C164" s="85"/>
      <c r="D164" s="87"/>
      <c r="E164" s="17">
        <f t="shared" si="7"/>
        <v>0</v>
      </c>
      <c r="F164" s="18">
        <f t="shared" si="8"/>
        <v>0</v>
      </c>
      <c r="G164" s="19">
        <f t="shared" si="9"/>
        <v>0</v>
      </c>
      <c r="H164" s="20">
        <f t="shared" si="10"/>
        <v>0</v>
      </c>
    </row>
    <row r="165" spans="1:8" ht="15.75" customHeight="1" x14ac:dyDescent="0.15">
      <c r="A165" s="83">
        <v>45736</v>
      </c>
      <c r="B165" s="84" t="s">
        <v>5</v>
      </c>
      <c r="C165" s="85"/>
      <c r="D165" s="87"/>
      <c r="E165" s="17">
        <f t="shared" si="7"/>
        <v>0</v>
      </c>
      <c r="F165" s="18">
        <f t="shared" si="8"/>
        <v>0</v>
      </c>
      <c r="G165" s="19">
        <f t="shared" si="9"/>
        <v>0</v>
      </c>
      <c r="H165" s="20">
        <f t="shared" si="10"/>
        <v>0</v>
      </c>
    </row>
    <row r="166" spans="1:8" ht="15.75" customHeight="1" x14ac:dyDescent="0.15">
      <c r="A166" s="83">
        <v>45737</v>
      </c>
      <c r="B166" s="84" t="s">
        <v>6</v>
      </c>
      <c r="C166" s="85"/>
      <c r="D166" s="87"/>
      <c r="E166" s="17">
        <f t="shared" si="7"/>
        <v>0</v>
      </c>
      <c r="F166" s="18">
        <f t="shared" si="8"/>
        <v>0</v>
      </c>
      <c r="G166" s="19">
        <f t="shared" si="9"/>
        <v>0</v>
      </c>
      <c r="H166" s="20">
        <f t="shared" si="10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0.94059999999999999</v>
      </c>
      <c r="D167" s="81">
        <v>1345</v>
      </c>
      <c r="E167" s="17">
        <f t="shared" si="7"/>
        <v>79.893000000000029</v>
      </c>
      <c r="F167" s="18">
        <f t="shared" si="8"/>
        <v>4394.1150000000016</v>
      </c>
      <c r="G167" s="19">
        <f t="shared" si="9"/>
        <v>67.25</v>
      </c>
      <c r="H167" s="20">
        <f t="shared" si="10"/>
        <v>-12.643000000000029</v>
      </c>
    </row>
    <row r="168" spans="1:8" ht="15.75" customHeight="1" x14ac:dyDescent="0.15">
      <c r="A168" s="12">
        <v>45741</v>
      </c>
      <c r="B168" s="13" t="s">
        <v>3</v>
      </c>
      <c r="C168" s="79">
        <v>0.95250000000000001</v>
      </c>
      <c r="D168" s="81">
        <v>1348</v>
      </c>
      <c r="E168" s="17">
        <f t="shared" si="7"/>
        <v>64.029999999999973</v>
      </c>
      <c r="F168" s="18">
        <f t="shared" si="8"/>
        <v>3521.6499999999987</v>
      </c>
      <c r="G168" s="19">
        <f t="shared" si="9"/>
        <v>67.400000000000091</v>
      </c>
      <c r="H168" s="20">
        <f t="shared" si="10"/>
        <v>3.3700000000001182</v>
      </c>
    </row>
    <row r="169" spans="1:8" ht="15.75" customHeight="1" x14ac:dyDescent="0.15">
      <c r="A169" s="12">
        <v>45742</v>
      </c>
      <c r="B169" s="13" t="s">
        <v>4</v>
      </c>
      <c r="C169" s="79">
        <v>0.94869999999999999</v>
      </c>
      <c r="D169" s="81">
        <v>1348</v>
      </c>
      <c r="E169" s="17">
        <f t="shared" si="7"/>
        <v>69.152399999999943</v>
      </c>
      <c r="F169" s="18">
        <f t="shared" si="8"/>
        <v>3803.3819999999969</v>
      </c>
      <c r="G169" s="19">
        <f t="shared" si="9"/>
        <v>67.400000000000091</v>
      </c>
      <c r="H169" s="20">
        <f t="shared" si="10"/>
        <v>-1.7523999999998523</v>
      </c>
    </row>
    <row r="170" spans="1:8" ht="15.75" customHeight="1" x14ac:dyDescent="0.15">
      <c r="A170" s="12">
        <v>45743</v>
      </c>
      <c r="B170" s="13" t="s">
        <v>5</v>
      </c>
      <c r="C170" s="79">
        <v>0.94650000000000001</v>
      </c>
      <c r="D170" s="81">
        <v>1348</v>
      </c>
      <c r="E170" s="17">
        <f t="shared" si="7"/>
        <v>72.117999999999938</v>
      </c>
      <c r="F170" s="18">
        <f t="shared" si="8"/>
        <v>3966.4899999999966</v>
      </c>
      <c r="G170" s="19">
        <f t="shared" si="9"/>
        <v>67.400000000000091</v>
      </c>
      <c r="H170" s="20">
        <f t="shared" si="10"/>
        <v>-4.7179999999998472</v>
      </c>
    </row>
    <row r="171" spans="1:8" ht="15.75" customHeight="1" x14ac:dyDescent="0.15">
      <c r="A171" s="12">
        <v>45744</v>
      </c>
      <c r="B171" s="13" t="s">
        <v>6</v>
      </c>
      <c r="C171" s="79">
        <v>0.94850000000000001</v>
      </c>
      <c r="D171" s="81">
        <v>1348</v>
      </c>
      <c r="E171" s="17">
        <f t="shared" si="7"/>
        <v>69.422000000000025</v>
      </c>
      <c r="F171" s="18">
        <f t="shared" si="8"/>
        <v>3818.2100000000014</v>
      </c>
      <c r="G171" s="19">
        <f t="shared" si="9"/>
        <v>67.400000000000091</v>
      </c>
      <c r="H171" s="20">
        <f t="shared" si="10"/>
        <v>-2.0219999999999345</v>
      </c>
    </row>
    <row r="172" spans="1:8" ht="15.75" customHeight="1" x14ac:dyDescent="0.15">
      <c r="A172" s="12">
        <v>45747</v>
      </c>
      <c r="B172" s="13" t="s">
        <v>2</v>
      </c>
      <c r="C172" s="79">
        <v>0.94510000000000005</v>
      </c>
      <c r="D172" s="81">
        <v>1349</v>
      </c>
      <c r="E172" s="17">
        <f t="shared" si="7"/>
        <v>74.06009999999992</v>
      </c>
      <c r="F172" s="18">
        <f t="shared" si="8"/>
        <v>4073.3054999999958</v>
      </c>
      <c r="G172" s="19">
        <f t="shared" si="9"/>
        <v>67.450000000000045</v>
      </c>
      <c r="H172" s="20">
        <f t="shared" si="10"/>
        <v>-6.6100999999998749</v>
      </c>
    </row>
    <row r="173" spans="1:8" ht="15.75" customHeight="1" x14ac:dyDescent="0.15">
      <c r="A173" s="12">
        <v>45748</v>
      </c>
      <c r="B173" s="13" t="s">
        <v>3</v>
      </c>
      <c r="C173" s="79">
        <v>0.94650000000000001</v>
      </c>
      <c r="D173" s="81">
        <v>1349</v>
      </c>
      <c r="E173" s="17">
        <f t="shared" si="7"/>
        <v>72.171499999999924</v>
      </c>
      <c r="F173" s="18">
        <f t="shared" si="8"/>
        <v>3969.4324999999958</v>
      </c>
      <c r="G173" s="19">
        <f t="shared" si="9"/>
        <v>67.450000000000045</v>
      </c>
      <c r="H173" s="20">
        <f t="shared" si="10"/>
        <v>-4.7214999999998781</v>
      </c>
    </row>
    <row r="174" spans="1:8" ht="15.75" customHeight="1" x14ac:dyDescent="0.15">
      <c r="A174" s="12">
        <v>45749</v>
      </c>
      <c r="B174" s="13" t="s">
        <v>4</v>
      </c>
      <c r="C174" s="79">
        <v>0.94850000000000001</v>
      </c>
      <c r="D174" s="81">
        <v>1349</v>
      </c>
      <c r="E174" s="17">
        <f t="shared" si="7"/>
        <v>69.473500000000058</v>
      </c>
      <c r="F174" s="18">
        <f t="shared" si="8"/>
        <v>3821.0425000000032</v>
      </c>
      <c r="G174" s="19">
        <f t="shared" si="9"/>
        <v>67.450000000000045</v>
      </c>
      <c r="H174" s="20">
        <f t="shared" si="10"/>
        <v>-2.0235000000000127</v>
      </c>
    </row>
    <row r="175" spans="1:8" ht="15.75" customHeight="1" x14ac:dyDescent="0.15">
      <c r="A175" s="12">
        <v>45750</v>
      </c>
      <c r="B175" s="13" t="s">
        <v>5</v>
      </c>
      <c r="C175" s="79">
        <v>0.95150000000000001</v>
      </c>
      <c r="D175" s="81">
        <v>1346</v>
      </c>
      <c r="E175" s="17">
        <f t="shared" si="7"/>
        <v>65.280999999999949</v>
      </c>
      <c r="F175" s="18">
        <f t="shared" si="8"/>
        <v>3590.4549999999972</v>
      </c>
      <c r="G175" s="19">
        <f t="shared" si="9"/>
        <v>67.299999999999955</v>
      </c>
      <c r="H175" s="20">
        <f t="shared" si="10"/>
        <v>2.0190000000000055</v>
      </c>
    </row>
    <row r="176" spans="1:8" ht="15.75" customHeight="1" x14ac:dyDescent="0.15">
      <c r="A176" s="12">
        <v>45751</v>
      </c>
      <c r="B176" s="13" t="s">
        <v>6</v>
      </c>
      <c r="C176" s="79">
        <v>0.9486</v>
      </c>
      <c r="D176" s="81">
        <v>1346</v>
      </c>
      <c r="E176" s="17">
        <f t="shared" si="7"/>
        <v>69.184400000000096</v>
      </c>
      <c r="F176" s="18">
        <f t="shared" si="8"/>
        <v>3805.1420000000053</v>
      </c>
      <c r="G176" s="19">
        <f t="shared" si="9"/>
        <v>67.299999999999955</v>
      </c>
      <c r="H176" s="20">
        <f t="shared" si="10"/>
        <v>-1.8844000000001415</v>
      </c>
    </row>
    <row r="177" spans="1:8" ht="15.75" customHeight="1" x14ac:dyDescent="0.15">
      <c r="A177" s="12">
        <v>45754</v>
      </c>
      <c r="B177" s="13" t="s">
        <v>2</v>
      </c>
      <c r="C177" s="79">
        <v>0.94679999999999997</v>
      </c>
      <c r="D177" s="81">
        <v>1350</v>
      </c>
      <c r="E177" s="17">
        <f t="shared" si="7"/>
        <v>71.819999999999936</v>
      </c>
      <c r="F177" s="18">
        <f t="shared" si="8"/>
        <v>3950.0999999999967</v>
      </c>
      <c r="G177" s="19">
        <f t="shared" si="9"/>
        <v>67.5</v>
      </c>
      <c r="H177" s="20">
        <f t="shared" si="10"/>
        <v>-4.3199999999999363</v>
      </c>
    </row>
    <row r="178" spans="1:8" ht="15.75" customHeight="1" x14ac:dyDescent="0.15">
      <c r="A178" s="12">
        <v>45755</v>
      </c>
      <c r="B178" s="13" t="s">
        <v>3</v>
      </c>
      <c r="C178" s="79">
        <v>0.94799999999999995</v>
      </c>
      <c r="D178" s="81">
        <v>1350</v>
      </c>
      <c r="E178" s="17">
        <f t="shared" si="7"/>
        <v>70.200000000000045</v>
      </c>
      <c r="F178" s="18">
        <f t="shared" si="8"/>
        <v>3861.0000000000027</v>
      </c>
      <c r="G178" s="19">
        <f t="shared" si="9"/>
        <v>67.5</v>
      </c>
      <c r="H178" s="20">
        <f t="shared" si="10"/>
        <v>-2.7000000000000455</v>
      </c>
    </row>
    <row r="179" spans="1:8" ht="15.75" customHeight="1" x14ac:dyDescent="0.15">
      <c r="A179" s="12">
        <v>45756</v>
      </c>
      <c r="B179" s="13" t="s">
        <v>4</v>
      </c>
      <c r="C179" s="79">
        <v>0.94710000000000005</v>
      </c>
      <c r="D179" s="81">
        <v>1349</v>
      </c>
      <c r="E179" s="17">
        <f t="shared" si="7"/>
        <v>71.362099999999828</v>
      </c>
      <c r="F179" s="18">
        <f t="shared" si="8"/>
        <v>3924.9154999999905</v>
      </c>
      <c r="G179" s="19">
        <f t="shared" si="9"/>
        <v>67.450000000000045</v>
      </c>
      <c r="H179" s="20">
        <f t="shared" si="10"/>
        <v>-3.9120999999997821</v>
      </c>
    </row>
    <row r="180" spans="1:8" ht="15.75" customHeight="1" x14ac:dyDescent="0.15">
      <c r="A180" s="12">
        <v>45757</v>
      </c>
      <c r="B180" s="13" t="s">
        <v>5</v>
      </c>
      <c r="C180" s="79">
        <v>0.95140000000000002</v>
      </c>
      <c r="D180" s="81">
        <v>1345</v>
      </c>
      <c r="E180" s="17">
        <f t="shared" si="7"/>
        <v>65.366999999999962</v>
      </c>
      <c r="F180" s="18">
        <f t="shared" si="8"/>
        <v>3595.1849999999977</v>
      </c>
      <c r="G180" s="19">
        <f t="shared" si="9"/>
        <v>67.25</v>
      </c>
      <c r="H180" s="20">
        <f t="shared" si="10"/>
        <v>1.8830000000000382</v>
      </c>
    </row>
    <row r="181" spans="1:8" ht="15.75" customHeight="1" x14ac:dyDescent="0.15">
      <c r="A181" s="43">
        <v>45758</v>
      </c>
      <c r="B181" s="44" t="s">
        <v>6</v>
      </c>
      <c r="C181" s="86">
        <v>0.9486</v>
      </c>
      <c r="D181" s="81">
        <v>1345</v>
      </c>
      <c r="E181" s="17">
        <f t="shared" si="7"/>
        <v>69.133000000000038</v>
      </c>
      <c r="F181" s="18">
        <f t="shared" si="8"/>
        <v>3802.3150000000023</v>
      </c>
      <c r="G181" s="19">
        <f t="shared" si="9"/>
        <v>67.25</v>
      </c>
      <c r="H181" s="20">
        <f t="shared" si="10"/>
        <v>-1.8830000000000382</v>
      </c>
    </row>
  </sheetData>
  <autoFilter ref="A6:F157" xr:uid="{00000000-0009-0000-0000-000008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7">
    <cfRule type="cellIs" dxfId="63" priority="7" operator="lessThan">
      <formula>"92%"</formula>
    </cfRule>
  </conditionalFormatting>
  <conditionalFormatting sqref="C7:C157">
    <cfRule type="cellIs" dxfId="62" priority="4" operator="lessThan">
      <formula>"90%"</formula>
    </cfRule>
    <cfRule type="cellIs" dxfId="61" priority="5" operator="lessThan">
      <formula>"94%"</formula>
    </cfRule>
  </conditionalFormatting>
  <conditionalFormatting sqref="H1:H181">
    <cfRule type="cellIs" dxfId="60" priority="6" operator="lessThan">
      <formula>0</formula>
    </cfRule>
  </conditionalFormatting>
  <conditionalFormatting sqref="C158:C181">
    <cfRule type="cellIs" dxfId="20" priority="3" operator="lessThan">
      <formula>"92%"</formula>
    </cfRule>
  </conditionalFormatting>
  <conditionalFormatting sqref="C158:C181">
    <cfRule type="cellIs" dxfId="19" priority="1" operator="lessThan">
      <formula>"90%"</formula>
    </cfRule>
    <cfRule type="cellIs" dxfId="18" priority="2" operator="lessThan">
      <formula>"94%"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73763"/>
    <outlinePr summaryBelow="0" summaryRight="0"/>
  </sheetPr>
  <dimension ref="A1:H181"/>
  <sheetViews>
    <sheetView workbookViewId="0">
      <pane ySplit="6" topLeftCell="A150" activePane="bottomLeft" state="frozen"/>
      <selection pane="bottomLeft" activeCell="I167" sqref="I167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17.5" customWidth="1"/>
  </cols>
  <sheetData>
    <row r="1" spans="1:8" ht="27" thickBot="1" x14ac:dyDescent="0.3">
      <c r="A1" s="1" t="s">
        <v>30</v>
      </c>
      <c r="B1" s="1"/>
      <c r="C1" s="1"/>
      <c r="D1" s="1"/>
      <c r="E1" s="2"/>
      <c r="F1" s="2"/>
      <c r="G1" s="3"/>
      <c r="H1" s="37">
        <f>SUM(H7:H156)</f>
        <v>-1129.3415999999943</v>
      </c>
    </row>
    <row r="2" spans="1:8" ht="17" thickTop="1" x14ac:dyDescent="0.2">
      <c r="A2" s="63" t="s">
        <v>31</v>
      </c>
      <c r="B2" s="64"/>
      <c r="C2" s="64"/>
      <c r="D2" s="64"/>
      <c r="E2" s="65" t="s">
        <v>0</v>
      </c>
      <c r="F2" s="66"/>
      <c r="G2" s="5" t="s">
        <v>8</v>
      </c>
      <c r="H2" s="67" t="s">
        <v>32</v>
      </c>
    </row>
    <row r="3" spans="1:8" ht="24" x14ac:dyDescent="0.25">
      <c r="A3" s="64"/>
      <c r="B3" s="64"/>
      <c r="C3" s="64"/>
      <c r="D3" s="64"/>
      <c r="E3" s="68">
        <f>SUM(F7:F128)</f>
        <v>306724.0055000002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49">
        <v>1</v>
      </c>
      <c r="D7" s="16">
        <v>924</v>
      </c>
      <c r="E7" s="17">
        <f t="shared" ref="E7:E38" si="0">D7-(C7*D7)</f>
        <v>0</v>
      </c>
      <c r="F7" s="18">
        <f t="shared" ref="F7:F157" si="1">E7*$E$5</f>
        <v>0</v>
      </c>
      <c r="G7" s="19">
        <v>0</v>
      </c>
      <c r="H7" s="20">
        <f t="shared" ref="H7:H157" si="2">G7-E7</f>
        <v>0</v>
      </c>
    </row>
    <row r="8" spans="1:8" ht="13" x14ac:dyDescent="0.15">
      <c r="A8" s="12">
        <v>45517</v>
      </c>
      <c r="B8" s="13" t="s">
        <v>3</v>
      </c>
      <c r="C8" s="14">
        <v>0.96679999999999999</v>
      </c>
      <c r="D8" s="16">
        <v>964</v>
      </c>
      <c r="E8" s="17">
        <f t="shared" si="0"/>
        <v>32.004800000000046</v>
      </c>
      <c r="F8" s="18">
        <f t="shared" si="1"/>
        <v>1760.2640000000024</v>
      </c>
      <c r="G8" s="19">
        <f t="shared" ref="G8:G157" si="3">D8-(D8*G$3)</f>
        <v>48.200000000000045</v>
      </c>
      <c r="H8" s="20">
        <f t="shared" si="2"/>
        <v>16.1952</v>
      </c>
    </row>
    <row r="9" spans="1:8" ht="13" x14ac:dyDescent="0.15">
      <c r="A9" s="12">
        <v>45518</v>
      </c>
      <c r="B9" s="13" t="s">
        <v>4</v>
      </c>
      <c r="C9" s="14">
        <v>0.96950000000000003</v>
      </c>
      <c r="D9" s="16">
        <v>986</v>
      </c>
      <c r="E9" s="17">
        <f t="shared" si="0"/>
        <v>30.072999999999979</v>
      </c>
      <c r="F9" s="18">
        <f t="shared" si="1"/>
        <v>1654.014999999999</v>
      </c>
      <c r="G9" s="19">
        <f t="shared" si="3"/>
        <v>49.300000000000068</v>
      </c>
      <c r="H9" s="20">
        <f t="shared" si="2"/>
        <v>19.227000000000089</v>
      </c>
    </row>
    <row r="10" spans="1:8" ht="13" x14ac:dyDescent="0.15">
      <c r="A10" s="12">
        <v>45519</v>
      </c>
      <c r="B10" s="13" t="s">
        <v>5</v>
      </c>
      <c r="C10" s="14">
        <v>0.97309999999999997</v>
      </c>
      <c r="D10" s="16">
        <v>1002</v>
      </c>
      <c r="E10" s="17">
        <f t="shared" si="0"/>
        <v>26.953800000000001</v>
      </c>
      <c r="F10" s="18">
        <f t="shared" si="1"/>
        <v>1482.4590000000001</v>
      </c>
      <c r="G10" s="19">
        <f t="shared" si="3"/>
        <v>50.100000000000023</v>
      </c>
      <c r="H10" s="20">
        <f t="shared" si="2"/>
        <v>23.146200000000022</v>
      </c>
    </row>
    <row r="11" spans="1:8" ht="13" x14ac:dyDescent="0.15">
      <c r="A11" s="12">
        <v>45520</v>
      </c>
      <c r="B11" s="13" t="s">
        <v>6</v>
      </c>
      <c r="C11" s="14">
        <v>0.95420000000000005</v>
      </c>
      <c r="D11" s="16">
        <v>1004</v>
      </c>
      <c r="E11" s="17">
        <f t="shared" si="0"/>
        <v>45.983199999999897</v>
      </c>
      <c r="F11" s="18">
        <f t="shared" si="1"/>
        <v>2529.0759999999946</v>
      </c>
      <c r="G11" s="19">
        <f t="shared" si="3"/>
        <v>50.200000000000045</v>
      </c>
      <c r="H11" s="20">
        <f t="shared" si="2"/>
        <v>4.2168000000001484</v>
      </c>
    </row>
    <row r="12" spans="1:8" ht="13" x14ac:dyDescent="0.15">
      <c r="A12" s="12">
        <v>45523</v>
      </c>
      <c r="B12" s="13" t="s">
        <v>2</v>
      </c>
      <c r="C12" s="14">
        <v>0.96060000000000001</v>
      </c>
      <c r="D12" s="16">
        <v>1015</v>
      </c>
      <c r="E12" s="17">
        <f t="shared" si="0"/>
        <v>39.990999999999985</v>
      </c>
      <c r="F12" s="18">
        <f t="shared" si="1"/>
        <v>2199.5049999999992</v>
      </c>
      <c r="G12" s="19">
        <f t="shared" si="3"/>
        <v>50.75</v>
      </c>
      <c r="H12" s="20">
        <f t="shared" si="2"/>
        <v>10.759000000000015</v>
      </c>
    </row>
    <row r="13" spans="1:8" ht="13" x14ac:dyDescent="0.15">
      <c r="A13" s="12">
        <v>45524</v>
      </c>
      <c r="B13" s="13" t="s">
        <v>3</v>
      </c>
      <c r="C13" s="14">
        <v>0.96189999999999998</v>
      </c>
      <c r="D13" s="16">
        <v>1024</v>
      </c>
      <c r="E13" s="17">
        <f t="shared" si="0"/>
        <v>39.014400000000023</v>
      </c>
      <c r="F13" s="18">
        <f t="shared" si="1"/>
        <v>2145.7920000000013</v>
      </c>
      <c r="G13" s="19">
        <f t="shared" si="3"/>
        <v>51.200000000000045</v>
      </c>
      <c r="H13" s="20">
        <f t="shared" si="2"/>
        <v>12.185600000000022</v>
      </c>
    </row>
    <row r="14" spans="1:8" ht="13" x14ac:dyDescent="0.15">
      <c r="A14" s="12">
        <v>45525</v>
      </c>
      <c r="B14" s="13" t="s">
        <v>4</v>
      </c>
      <c r="C14" s="14">
        <v>0.96399999999999997</v>
      </c>
      <c r="D14" s="16">
        <v>1027</v>
      </c>
      <c r="E14" s="17">
        <f t="shared" si="0"/>
        <v>36.97199999999998</v>
      </c>
      <c r="F14" s="18">
        <f t="shared" si="1"/>
        <v>2033.4599999999989</v>
      </c>
      <c r="G14" s="19">
        <f t="shared" si="3"/>
        <v>51.350000000000023</v>
      </c>
      <c r="H14" s="20">
        <f t="shared" si="2"/>
        <v>14.378000000000043</v>
      </c>
    </row>
    <row r="15" spans="1:8" ht="13" x14ac:dyDescent="0.15">
      <c r="A15" s="12">
        <v>45526</v>
      </c>
      <c r="B15" s="13" t="s">
        <v>5</v>
      </c>
      <c r="C15" s="14">
        <v>0.95730000000000004</v>
      </c>
      <c r="D15" s="16">
        <v>1031</v>
      </c>
      <c r="E15" s="17">
        <f t="shared" si="0"/>
        <v>44.023699999999963</v>
      </c>
      <c r="F15" s="18">
        <f t="shared" si="1"/>
        <v>2421.3034999999982</v>
      </c>
      <c r="G15" s="19">
        <f t="shared" si="3"/>
        <v>51.550000000000068</v>
      </c>
      <c r="H15" s="20">
        <f t="shared" si="2"/>
        <v>7.5263000000001057</v>
      </c>
    </row>
    <row r="16" spans="1:8" ht="13" x14ac:dyDescent="0.15">
      <c r="A16" s="12">
        <v>45527</v>
      </c>
      <c r="B16" s="13" t="s">
        <v>6</v>
      </c>
      <c r="C16" s="14">
        <v>0.9264</v>
      </c>
      <c r="D16" s="16">
        <v>1033</v>
      </c>
      <c r="E16" s="17">
        <f t="shared" si="0"/>
        <v>76.028800000000047</v>
      </c>
      <c r="F16" s="18">
        <f t="shared" si="1"/>
        <v>4181.5840000000026</v>
      </c>
      <c r="G16" s="19">
        <f t="shared" si="3"/>
        <v>51.650000000000091</v>
      </c>
      <c r="H16" s="20">
        <f t="shared" si="2"/>
        <v>-24.378799999999956</v>
      </c>
    </row>
    <row r="17" spans="1:8" ht="13" x14ac:dyDescent="0.15">
      <c r="A17" s="12">
        <v>45530</v>
      </c>
      <c r="B17" s="13" t="s">
        <v>2</v>
      </c>
      <c r="C17" s="14">
        <v>0.9335</v>
      </c>
      <c r="D17" s="16">
        <v>1037</v>
      </c>
      <c r="E17" s="17">
        <f t="shared" si="0"/>
        <v>68.960500000000025</v>
      </c>
      <c r="F17" s="18">
        <f t="shared" si="1"/>
        <v>3792.8275000000012</v>
      </c>
      <c r="G17" s="19">
        <f t="shared" si="3"/>
        <v>51.850000000000023</v>
      </c>
      <c r="H17" s="20">
        <f t="shared" si="2"/>
        <v>-17.110500000000002</v>
      </c>
    </row>
    <row r="18" spans="1:8" ht="13" x14ac:dyDescent="0.15">
      <c r="A18" s="12">
        <v>45531</v>
      </c>
      <c r="B18" s="13" t="s">
        <v>3</v>
      </c>
      <c r="C18" s="14">
        <v>0.93740000000000001</v>
      </c>
      <c r="D18" s="16">
        <v>1038</v>
      </c>
      <c r="E18" s="17">
        <f t="shared" si="0"/>
        <v>64.978799999999978</v>
      </c>
      <c r="F18" s="18">
        <f t="shared" si="1"/>
        <v>3573.8339999999989</v>
      </c>
      <c r="G18" s="19">
        <f t="shared" si="3"/>
        <v>51.900000000000091</v>
      </c>
      <c r="H18" s="20">
        <f t="shared" si="2"/>
        <v>-13.078799999999887</v>
      </c>
    </row>
    <row r="19" spans="1:8" ht="13" x14ac:dyDescent="0.15">
      <c r="A19" s="12">
        <v>45532</v>
      </c>
      <c r="B19" s="13" t="s">
        <v>4</v>
      </c>
      <c r="C19" s="14">
        <v>0.94699999999999995</v>
      </c>
      <c r="D19" s="16">
        <v>1038</v>
      </c>
      <c r="E19" s="17">
        <f t="shared" si="0"/>
        <v>55.01400000000001</v>
      </c>
      <c r="F19" s="18">
        <f t="shared" si="1"/>
        <v>3025.7700000000004</v>
      </c>
      <c r="G19" s="19">
        <f t="shared" si="3"/>
        <v>51.900000000000091</v>
      </c>
      <c r="H19" s="20">
        <f t="shared" si="2"/>
        <v>-3.1139999999999191</v>
      </c>
    </row>
    <row r="20" spans="1:8" ht="13" x14ac:dyDescent="0.15">
      <c r="A20" s="12">
        <v>45533</v>
      </c>
      <c r="B20" s="13" t="s">
        <v>5</v>
      </c>
      <c r="C20" s="14">
        <v>0.95579999999999998</v>
      </c>
      <c r="D20" s="16">
        <v>1040</v>
      </c>
      <c r="E20" s="17">
        <f t="shared" si="0"/>
        <v>45.968000000000075</v>
      </c>
      <c r="F20" s="18">
        <f t="shared" si="1"/>
        <v>2528.2400000000043</v>
      </c>
      <c r="G20" s="19">
        <f t="shared" si="3"/>
        <v>52</v>
      </c>
      <c r="H20" s="20">
        <f t="shared" si="2"/>
        <v>6.0319999999999254</v>
      </c>
    </row>
    <row r="21" spans="1:8" ht="13" x14ac:dyDescent="0.15">
      <c r="A21" s="12">
        <v>45534</v>
      </c>
      <c r="B21" s="13" t="s">
        <v>6</v>
      </c>
      <c r="C21" s="14">
        <v>0.93269999999999997</v>
      </c>
      <c r="D21" s="16">
        <v>1040</v>
      </c>
      <c r="E21" s="17">
        <f t="shared" si="0"/>
        <v>69.992000000000075</v>
      </c>
      <c r="F21" s="18">
        <f t="shared" si="1"/>
        <v>3849.560000000004</v>
      </c>
      <c r="G21" s="19">
        <f t="shared" si="3"/>
        <v>52</v>
      </c>
      <c r="H21" s="20">
        <f t="shared" si="2"/>
        <v>-17.992000000000075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0.95109999999999995</v>
      </c>
      <c r="D23" s="16">
        <v>1044</v>
      </c>
      <c r="E23" s="17">
        <f t="shared" si="0"/>
        <v>51.051600000000008</v>
      </c>
      <c r="F23" s="18">
        <f t="shared" si="1"/>
        <v>2807.8380000000006</v>
      </c>
      <c r="G23" s="19">
        <f t="shared" si="3"/>
        <v>52.200000000000045</v>
      </c>
      <c r="H23" s="20">
        <f t="shared" si="2"/>
        <v>1.1484000000000378</v>
      </c>
    </row>
    <row r="24" spans="1:8" ht="13" x14ac:dyDescent="0.15">
      <c r="A24" s="12">
        <v>45539</v>
      </c>
      <c r="B24" s="13" t="s">
        <v>4</v>
      </c>
      <c r="C24" s="14">
        <v>0.95889999999999997</v>
      </c>
      <c r="D24" s="16">
        <v>1044</v>
      </c>
      <c r="E24" s="17">
        <f t="shared" si="0"/>
        <v>42.908400000000029</v>
      </c>
      <c r="F24" s="18">
        <f t="shared" si="1"/>
        <v>2359.9620000000014</v>
      </c>
      <c r="G24" s="19">
        <f t="shared" si="3"/>
        <v>52.200000000000045</v>
      </c>
      <c r="H24" s="20">
        <f t="shared" si="2"/>
        <v>9.2916000000000167</v>
      </c>
    </row>
    <row r="25" spans="1:8" ht="13" x14ac:dyDescent="0.15">
      <c r="A25" s="12">
        <v>45540</v>
      </c>
      <c r="B25" s="13" t="s">
        <v>5</v>
      </c>
      <c r="C25" s="14">
        <v>0.95009999999999994</v>
      </c>
      <c r="D25" s="16">
        <v>1042</v>
      </c>
      <c r="E25" s="17">
        <f t="shared" si="0"/>
        <v>51.995800000000031</v>
      </c>
      <c r="F25" s="18">
        <f t="shared" si="1"/>
        <v>2859.7690000000016</v>
      </c>
      <c r="G25" s="19">
        <f t="shared" si="3"/>
        <v>52.100000000000023</v>
      </c>
      <c r="H25" s="20">
        <f t="shared" si="2"/>
        <v>0.10419999999999163</v>
      </c>
    </row>
    <row r="26" spans="1:8" ht="13" x14ac:dyDescent="0.15">
      <c r="A26" s="12">
        <v>45541</v>
      </c>
      <c r="B26" s="13" t="s">
        <v>6</v>
      </c>
      <c r="C26" s="14">
        <v>0.94520000000000004</v>
      </c>
      <c r="D26" s="16">
        <v>1040</v>
      </c>
      <c r="E26" s="17">
        <f t="shared" si="0"/>
        <v>56.991999999999962</v>
      </c>
      <c r="F26" s="18">
        <f t="shared" si="1"/>
        <v>3134.5599999999977</v>
      </c>
      <c r="G26" s="19">
        <f t="shared" si="3"/>
        <v>52</v>
      </c>
      <c r="H26" s="20">
        <f t="shared" si="2"/>
        <v>-4.9919999999999618</v>
      </c>
    </row>
    <row r="27" spans="1:8" ht="13" x14ac:dyDescent="0.15">
      <c r="A27" s="12">
        <v>45544</v>
      </c>
      <c r="B27" s="13" t="s">
        <v>2</v>
      </c>
      <c r="C27" s="14">
        <v>0.95099999999999996</v>
      </c>
      <c r="D27" s="16">
        <v>1040</v>
      </c>
      <c r="E27" s="17">
        <f t="shared" si="0"/>
        <v>50.960000000000036</v>
      </c>
      <c r="F27" s="18">
        <f t="shared" si="1"/>
        <v>2802.800000000002</v>
      </c>
      <c r="G27" s="19">
        <f t="shared" si="3"/>
        <v>52</v>
      </c>
      <c r="H27" s="20">
        <f t="shared" si="2"/>
        <v>1.0399999999999636</v>
      </c>
    </row>
    <row r="28" spans="1:8" ht="13" x14ac:dyDescent="0.15">
      <c r="A28" s="12">
        <v>45545</v>
      </c>
      <c r="B28" s="13" t="s">
        <v>3</v>
      </c>
      <c r="C28" s="14">
        <v>0.96630000000000005</v>
      </c>
      <c r="D28" s="16">
        <v>1041</v>
      </c>
      <c r="E28" s="17">
        <f t="shared" si="0"/>
        <v>35.081699999999955</v>
      </c>
      <c r="F28" s="18">
        <f t="shared" si="1"/>
        <v>1929.4934999999975</v>
      </c>
      <c r="G28" s="19">
        <f t="shared" si="3"/>
        <v>52.050000000000068</v>
      </c>
      <c r="H28" s="20">
        <f t="shared" si="2"/>
        <v>16.968300000000113</v>
      </c>
    </row>
    <row r="29" spans="1:8" ht="13" x14ac:dyDescent="0.15">
      <c r="A29" s="12">
        <v>45546</v>
      </c>
      <c r="B29" s="13" t="s">
        <v>4</v>
      </c>
      <c r="C29" s="14">
        <v>0.94820000000000004</v>
      </c>
      <c r="D29" s="16">
        <v>1041</v>
      </c>
      <c r="E29" s="17">
        <f t="shared" si="0"/>
        <v>53.923799999999915</v>
      </c>
      <c r="F29" s="18">
        <f t="shared" si="1"/>
        <v>2965.8089999999952</v>
      </c>
      <c r="G29" s="19">
        <f t="shared" si="3"/>
        <v>52.050000000000068</v>
      </c>
      <c r="H29" s="20">
        <f t="shared" si="2"/>
        <v>-1.8737999999998465</v>
      </c>
    </row>
    <row r="30" spans="1:8" ht="13" x14ac:dyDescent="0.15">
      <c r="A30" s="12">
        <v>45547</v>
      </c>
      <c r="B30" s="13" t="s">
        <v>5</v>
      </c>
      <c r="C30" s="14">
        <v>0.94820000000000004</v>
      </c>
      <c r="D30" s="16">
        <v>1041</v>
      </c>
      <c r="E30" s="17">
        <f t="shared" si="0"/>
        <v>53.923799999999915</v>
      </c>
      <c r="F30" s="18">
        <f t="shared" si="1"/>
        <v>2965.8089999999952</v>
      </c>
      <c r="G30" s="19">
        <f t="shared" si="3"/>
        <v>52.050000000000068</v>
      </c>
      <c r="H30" s="20">
        <f t="shared" si="2"/>
        <v>-1.8737999999998465</v>
      </c>
    </row>
    <row r="31" spans="1:8" ht="13" x14ac:dyDescent="0.15">
      <c r="A31" s="12">
        <v>45548</v>
      </c>
      <c r="B31" s="13" t="s">
        <v>6</v>
      </c>
      <c r="C31" s="14">
        <v>0.93940000000000001</v>
      </c>
      <c r="D31" s="16">
        <v>1041</v>
      </c>
      <c r="E31" s="17">
        <f t="shared" si="0"/>
        <v>63.084600000000023</v>
      </c>
      <c r="F31" s="18">
        <f t="shared" si="1"/>
        <v>3469.6530000000012</v>
      </c>
      <c r="G31" s="19">
        <f t="shared" si="3"/>
        <v>52.050000000000068</v>
      </c>
      <c r="H31" s="20">
        <f t="shared" si="2"/>
        <v>-11.034599999999955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0.9587</v>
      </c>
      <c r="D33" s="16">
        <v>1042</v>
      </c>
      <c r="E33" s="17">
        <f t="shared" si="0"/>
        <v>43.034599999999955</v>
      </c>
      <c r="F33" s="18">
        <f t="shared" si="1"/>
        <v>2366.9029999999975</v>
      </c>
      <c r="G33" s="19">
        <f t="shared" si="3"/>
        <v>52.100000000000023</v>
      </c>
      <c r="H33" s="20">
        <f t="shared" si="2"/>
        <v>9.0654000000000678</v>
      </c>
    </row>
    <row r="34" spans="1:8" ht="13" x14ac:dyDescent="0.15">
      <c r="A34" s="12">
        <v>45553</v>
      </c>
      <c r="B34" s="13" t="s">
        <v>4</v>
      </c>
      <c r="C34" s="14">
        <v>0.95009999999999994</v>
      </c>
      <c r="D34" s="16">
        <v>1042</v>
      </c>
      <c r="E34" s="17">
        <f t="shared" si="0"/>
        <v>51.995800000000031</v>
      </c>
      <c r="F34" s="18">
        <f t="shared" si="1"/>
        <v>2859.7690000000016</v>
      </c>
      <c r="G34" s="19">
        <f t="shared" si="3"/>
        <v>52.100000000000023</v>
      </c>
      <c r="H34" s="20">
        <f t="shared" si="2"/>
        <v>0.10419999999999163</v>
      </c>
    </row>
    <row r="35" spans="1:8" ht="13" x14ac:dyDescent="0.15">
      <c r="A35" s="12">
        <v>45554</v>
      </c>
      <c r="B35" s="13" t="s">
        <v>5</v>
      </c>
      <c r="C35" s="14">
        <v>0.9415</v>
      </c>
      <c r="D35" s="16">
        <v>1042</v>
      </c>
      <c r="E35" s="17">
        <f t="shared" si="0"/>
        <v>60.956999999999994</v>
      </c>
      <c r="F35" s="18">
        <f t="shared" si="1"/>
        <v>3352.6349999999998</v>
      </c>
      <c r="G35" s="19">
        <f t="shared" si="3"/>
        <v>52.100000000000023</v>
      </c>
      <c r="H35" s="20">
        <f t="shared" si="2"/>
        <v>-8.8569999999999709</v>
      </c>
    </row>
    <row r="36" spans="1:8" ht="13" x14ac:dyDescent="0.15">
      <c r="A36" s="12">
        <v>45555</v>
      </c>
      <c r="B36" s="13" t="s">
        <v>6</v>
      </c>
      <c r="C36" s="14">
        <v>0.77700000000000002</v>
      </c>
      <c r="D36" s="16">
        <v>1043</v>
      </c>
      <c r="E36" s="17">
        <f t="shared" si="0"/>
        <v>232.58899999999994</v>
      </c>
      <c r="F36" s="18">
        <f t="shared" si="1"/>
        <v>12792.394999999997</v>
      </c>
      <c r="G36" s="19">
        <f t="shared" si="3"/>
        <v>52.150000000000091</v>
      </c>
      <c r="H36" s="20">
        <f t="shared" si="2"/>
        <v>-180.43899999999985</v>
      </c>
    </row>
    <row r="37" spans="1:8" ht="13" x14ac:dyDescent="0.15">
      <c r="A37" s="12">
        <v>45558</v>
      </c>
      <c r="B37" s="13" t="s">
        <v>2</v>
      </c>
      <c r="C37" s="14">
        <v>0.94620000000000004</v>
      </c>
      <c r="D37" s="16">
        <v>1041</v>
      </c>
      <c r="E37" s="17">
        <f t="shared" si="0"/>
        <v>56.005799999999908</v>
      </c>
      <c r="F37" s="18">
        <f t="shared" si="1"/>
        <v>3080.318999999995</v>
      </c>
      <c r="G37" s="19">
        <f t="shared" si="3"/>
        <v>52.050000000000068</v>
      </c>
      <c r="H37" s="20">
        <f t="shared" si="2"/>
        <v>-3.9557999999998401</v>
      </c>
    </row>
    <row r="38" spans="1:8" ht="13" x14ac:dyDescent="0.15">
      <c r="A38" s="12">
        <v>45559</v>
      </c>
      <c r="B38" s="13" t="s">
        <v>3</v>
      </c>
      <c r="C38" s="14">
        <v>0.96060000000000001</v>
      </c>
      <c r="D38" s="16">
        <v>1041</v>
      </c>
      <c r="E38" s="17">
        <f t="shared" si="0"/>
        <v>41.0154</v>
      </c>
      <c r="F38" s="18">
        <f t="shared" si="1"/>
        <v>2255.8469999999998</v>
      </c>
      <c r="G38" s="19">
        <f t="shared" si="3"/>
        <v>52.050000000000068</v>
      </c>
      <c r="H38" s="20">
        <f t="shared" si="2"/>
        <v>11.034600000000069</v>
      </c>
    </row>
    <row r="39" spans="1:8" ht="13" x14ac:dyDescent="0.15">
      <c r="A39" s="12">
        <v>45560</v>
      </c>
      <c r="B39" s="13" t="s">
        <v>4</v>
      </c>
      <c r="C39" s="14">
        <v>0.9587</v>
      </c>
      <c r="D39" s="16">
        <v>1040</v>
      </c>
      <c r="E39" s="17">
        <f t="shared" ref="E39:E70" si="4">D39-(C39*D39)</f>
        <v>42.951999999999998</v>
      </c>
      <c r="F39" s="18">
        <f t="shared" si="1"/>
        <v>2362.3599999999997</v>
      </c>
      <c r="G39" s="19">
        <f t="shared" si="3"/>
        <v>52</v>
      </c>
      <c r="H39" s="20">
        <f t="shared" si="2"/>
        <v>9.0480000000000018</v>
      </c>
    </row>
    <row r="40" spans="1:8" ht="13" x14ac:dyDescent="0.15">
      <c r="A40" s="12">
        <v>45561</v>
      </c>
      <c r="B40" s="13" t="s">
        <v>5</v>
      </c>
      <c r="C40" s="14">
        <v>0.95489999999999997</v>
      </c>
      <c r="D40" s="16">
        <v>1042</v>
      </c>
      <c r="E40" s="17">
        <f t="shared" si="4"/>
        <v>46.994199999999978</v>
      </c>
      <c r="F40" s="18">
        <f t="shared" si="1"/>
        <v>2584.6809999999987</v>
      </c>
      <c r="G40" s="19">
        <f t="shared" si="3"/>
        <v>52.100000000000023</v>
      </c>
      <c r="H40" s="20">
        <f t="shared" si="2"/>
        <v>5.1058000000000447</v>
      </c>
    </row>
    <row r="41" spans="1:8" ht="13" x14ac:dyDescent="0.15">
      <c r="A41" s="12">
        <v>45562</v>
      </c>
      <c r="B41" s="13" t="s">
        <v>6</v>
      </c>
      <c r="C41" s="14">
        <v>0.95689999999999997</v>
      </c>
      <c r="D41" s="16">
        <v>1043</v>
      </c>
      <c r="E41" s="17">
        <f t="shared" si="4"/>
        <v>44.953300000000013</v>
      </c>
      <c r="F41" s="18">
        <f t="shared" si="1"/>
        <v>2472.4315000000006</v>
      </c>
      <c r="G41" s="19">
        <f t="shared" si="3"/>
        <v>52.150000000000091</v>
      </c>
      <c r="H41" s="20">
        <f t="shared" si="2"/>
        <v>7.196700000000078</v>
      </c>
    </row>
    <row r="42" spans="1:8" ht="13" x14ac:dyDescent="0.15">
      <c r="A42" s="12">
        <v>45565</v>
      </c>
      <c r="B42" s="13" t="s">
        <v>2</v>
      </c>
      <c r="C42" s="14">
        <v>0.95779999999999998</v>
      </c>
      <c r="D42" s="16">
        <v>1042</v>
      </c>
      <c r="E42" s="17">
        <f t="shared" si="4"/>
        <v>43.972399999999993</v>
      </c>
      <c r="F42" s="18">
        <f t="shared" si="1"/>
        <v>2418.4819999999995</v>
      </c>
      <c r="G42" s="19">
        <f t="shared" si="3"/>
        <v>52.100000000000023</v>
      </c>
      <c r="H42" s="20">
        <f t="shared" si="2"/>
        <v>8.1276000000000295</v>
      </c>
    </row>
    <row r="43" spans="1:8" ht="13" x14ac:dyDescent="0.15">
      <c r="A43" s="12">
        <v>45566</v>
      </c>
      <c r="B43" s="13" t="s">
        <v>3</v>
      </c>
      <c r="C43" s="14">
        <v>0.96360000000000001</v>
      </c>
      <c r="D43" s="16">
        <v>1043</v>
      </c>
      <c r="E43" s="17">
        <f t="shared" si="4"/>
        <v>37.965199999999982</v>
      </c>
      <c r="F43" s="18">
        <f t="shared" si="1"/>
        <v>2088.0859999999989</v>
      </c>
      <c r="G43" s="19">
        <f t="shared" si="3"/>
        <v>52.150000000000091</v>
      </c>
      <c r="H43" s="20">
        <f t="shared" si="2"/>
        <v>14.184800000000109</v>
      </c>
    </row>
    <row r="44" spans="1:8" ht="13" x14ac:dyDescent="0.15">
      <c r="A44" s="12">
        <v>45567</v>
      </c>
      <c r="B44" s="13" t="s">
        <v>4</v>
      </c>
      <c r="C44" s="14">
        <v>0.96450000000000002</v>
      </c>
      <c r="D44" s="16">
        <v>1043</v>
      </c>
      <c r="E44" s="17">
        <f t="shared" si="4"/>
        <v>37.026499999999942</v>
      </c>
      <c r="F44" s="18">
        <f t="shared" si="1"/>
        <v>2036.4574999999968</v>
      </c>
      <c r="G44" s="19">
        <f t="shared" si="3"/>
        <v>52.150000000000091</v>
      </c>
      <c r="H44" s="20">
        <f t="shared" si="2"/>
        <v>15.123500000000149</v>
      </c>
    </row>
    <row r="45" spans="1:8" ht="13" x14ac:dyDescent="0.15">
      <c r="A45" s="12">
        <v>45568</v>
      </c>
      <c r="B45" s="13" t="s">
        <v>5</v>
      </c>
      <c r="C45" s="14">
        <v>0.95689999999999997</v>
      </c>
      <c r="D45" s="16">
        <v>1044</v>
      </c>
      <c r="E45" s="17">
        <f t="shared" si="4"/>
        <v>44.996399999999994</v>
      </c>
      <c r="F45" s="18">
        <f t="shared" si="1"/>
        <v>2474.8019999999997</v>
      </c>
      <c r="G45" s="19">
        <f t="shared" si="3"/>
        <v>52.200000000000045</v>
      </c>
      <c r="H45" s="20">
        <f t="shared" si="2"/>
        <v>7.2036000000000513</v>
      </c>
    </row>
    <row r="46" spans="1:8" ht="13" x14ac:dyDescent="0.15">
      <c r="A46" s="12">
        <v>45569</v>
      </c>
      <c r="B46" s="13" t="s">
        <v>6</v>
      </c>
      <c r="C46" s="14">
        <v>0.93400000000000005</v>
      </c>
      <c r="D46" s="16">
        <v>1045</v>
      </c>
      <c r="E46" s="17">
        <f t="shared" si="4"/>
        <v>68.969999999999914</v>
      </c>
      <c r="F46" s="18">
        <f t="shared" si="1"/>
        <v>3793.3499999999954</v>
      </c>
      <c r="G46" s="19">
        <f t="shared" si="3"/>
        <v>52.25</v>
      </c>
      <c r="H46" s="20">
        <f t="shared" si="2"/>
        <v>-16.719999999999914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0.91859999999999997</v>
      </c>
      <c r="D52" s="16">
        <v>1044</v>
      </c>
      <c r="E52" s="17">
        <f t="shared" si="4"/>
        <v>84.981600000000071</v>
      </c>
      <c r="F52" s="18">
        <f t="shared" si="1"/>
        <v>4673.9880000000039</v>
      </c>
      <c r="G52" s="19">
        <f t="shared" si="3"/>
        <v>52.200000000000045</v>
      </c>
      <c r="H52" s="20">
        <f t="shared" si="2"/>
        <v>-32.781600000000026</v>
      </c>
    </row>
    <row r="53" spans="1:8" ht="13" x14ac:dyDescent="0.15">
      <c r="A53" s="12">
        <v>45580</v>
      </c>
      <c r="B53" s="13" t="s">
        <v>3</v>
      </c>
      <c r="C53" s="14">
        <v>0.95040000000000002</v>
      </c>
      <c r="D53" s="16">
        <v>1047</v>
      </c>
      <c r="E53" s="17">
        <f t="shared" si="4"/>
        <v>51.93119999999999</v>
      </c>
      <c r="F53" s="18">
        <f t="shared" si="1"/>
        <v>2856.2159999999994</v>
      </c>
      <c r="G53" s="19">
        <f t="shared" si="3"/>
        <v>52.350000000000023</v>
      </c>
      <c r="H53" s="20">
        <f t="shared" si="2"/>
        <v>0.41880000000003292</v>
      </c>
    </row>
    <row r="54" spans="1:8" ht="13" x14ac:dyDescent="0.15">
      <c r="A54" s="12">
        <v>45581</v>
      </c>
      <c r="B54" s="13" t="s">
        <v>4</v>
      </c>
      <c r="C54" s="29">
        <v>0.95609999999999995</v>
      </c>
      <c r="D54" s="16">
        <v>1048</v>
      </c>
      <c r="E54" s="17">
        <f t="shared" si="4"/>
        <v>46.007200000000012</v>
      </c>
      <c r="F54" s="18">
        <f t="shared" si="1"/>
        <v>2530.3960000000006</v>
      </c>
      <c r="G54" s="19">
        <f t="shared" si="3"/>
        <v>52.400000000000091</v>
      </c>
      <c r="H54" s="20">
        <f t="shared" si="2"/>
        <v>6.3928000000000793</v>
      </c>
    </row>
    <row r="55" spans="1:8" ht="13" x14ac:dyDescent="0.15">
      <c r="A55" s="12">
        <v>45582</v>
      </c>
      <c r="B55" s="13" t="s">
        <v>5</v>
      </c>
      <c r="C55" s="14">
        <v>0.93989999999999996</v>
      </c>
      <c r="D55" s="16">
        <v>1048</v>
      </c>
      <c r="E55" s="17">
        <f t="shared" si="4"/>
        <v>62.984800000000064</v>
      </c>
      <c r="F55" s="18">
        <f t="shared" si="1"/>
        <v>3464.1640000000034</v>
      </c>
      <c r="G55" s="19">
        <f t="shared" si="3"/>
        <v>52.400000000000091</v>
      </c>
      <c r="H55" s="20">
        <f t="shared" si="2"/>
        <v>-10.584799999999973</v>
      </c>
    </row>
    <row r="56" spans="1:8" ht="13" x14ac:dyDescent="0.15">
      <c r="A56" s="12">
        <v>45583</v>
      </c>
      <c r="B56" s="13" t="s">
        <v>6</v>
      </c>
      <c r="C56" s="14">
        <v>0.93210000000000004</v>
      </c>
      <c r="D56" s="16">
        <v>1045</v>
      </c>
      <c r="E56" s="17">
        <f t="shared" si="4"/>
        <v>70.955499999999915</v>
      </c>
      <c r="F56" s="18">
        <f t="shared" si="1"/>
        <v>3902.5524999999952</v>
      </c>
      <c r="G56" s="19">
        <f t="shared" si="3"/>
        <v>52.25</v>
      </c>
      <c r="H56" s="20">
        <f t="shared" si="2"/>
        <v>-18.705499999999915</v>
      </c>
    </row>
    <row r="57" spans="1:8" ht="13" x14ac:dyDescent="0.15">
      <c r="A57" s="12">
        <v>45586</v>
      </c>
      <c r="B57" s="13" t="s">
        <v>2</v>
      </c>
      <c r="C57" s="14">
        <v>0.93230000000000002</v>
      </c>
      <c r="D57" s="16">
        <v>1048</v>
      </c>
      <c r="E57" s="17">
        <f t="shared" si="4"/>
        <v>70.949600000000032</v>
      </c>
      <c r="F57" s="18">
        <f t="shared" si="1"/>
        <v>3902.2280000000019</v>
      </c>
      <c r="G57" s="19">
        <f t="shared" si="3"/>
        <v>52.400000000000091</v>
      </c>
      <c r="H57" s="20">
        <f t="shared" si="2"/>
        <v>-18.549599999999941</v>
      </c>
    </row>
    <row r="58" spans="1:8" ht="13" x14ac:dyDescent="0.15">
      <c r="A58" s="12">
        <v>45587</v>
      </c>
      <c r="B58" s="13" t="s">
        <v>3</v>
      </c>
      <c r="C58" s="14">
        <v>0.9466</v>
      </c>
      <c r="D58" s="16">
        <v>1048</v>
      </c>
      <c r="E58" s="17">
        <f t="shared" si="4"/>
        <v>55.963200000000029</v>
      </c>
      <c r="F58" s="18">
        <f t="shared" si="1"/>
        <v>3077.9760000000015</v>
      </c>
      <c r="G58" s="19">
        <f t="shared" si="3"/>
        <v>52.400000000000091</v>
      </c>
      <c r="H58" s="20">
        <f t="shared" si="2"/>
        <v>-3.563199999999938</v>
      </c>
    </row>
    <row r="59" spans="1:8" ht="13" x14ac:dyDescent="0.15">
      <c r="A59" s="12">
        <v>45588</v>
      </c>
      <c r="B59" s="13" t="s">
        <v>4</v>
      </c>
      <c r="C59" s="14">
        <v>0.95040000000000002</v>
      </c>
      <c r="D59" s="16">
        <v>1048</v>
      </c>
      <c r="E59" s="17">
        <f t="shared" si="4"/>
        <v>51.980799999999931</v>
      </c>
      <c r="F59" s="18">
        <f t="shared" si="1"/>
        <v>2858.9439999999963</v>
      </c>
      <c r="G59" s="19">
        <f t="shared" si="3"/>
        <v>52.400000000000091</v>
      </c>
      <c r="H59" s="20">
        <f t="shared" si="2"/>
        <v>0.41920000000015989</v>
      </c>
    </row>
    <row r="60" spans="1:8" ht="13" x14ac:dyDescent="0.15">
      <c r="A60" s="12">
        <v>45589</v>
      </c>
      <c r="B60" s="13" t="s">
        <v>5</v>
      </c>
      <c r="C60" s="14">
        <v>0.95140000000000002</v>
      </c>
      <c r="D60" s="16">
        <v>1049</v>
      </c>
      <c r="E60" s="17">
        <f t="shared" si="4"/>
        <v>50.981400000000008</v>
      </c>
      <c r="F60" s="18">
        <f t="shared" si="1"/>
        <v>2803.9770000000003</v>
      </c>
      <c r="G60" s="19">
        <f t="shared" si="3"/>
        <v>52.450000000000045</v>
      </c>
      <c r="H60" s="20">
        <f t="shared" si="2"/>
        <v>1.4686000000000377</v>
      </c>
    </row>
    <row r="61" spans="1:8" ht="13" x14ac:dyDescent="0.15">
      <c r="A61" s="12">
        <v>45590</v>
      </c>
      <c r="B61" s="13" t="s">
        <v>6</v>
      </c>
      <c r="C61" s="14">
        <v>0.9133</v>
      </c>
      <c r="D61" s="16">
        <v>1050</v>
      </c>
      <c r="E61" s="17">
        <f t="shared" si="4"/>
        <v>91.034999999999968</v>
      </c>
      <c r="F61" s="18">
        <f t="shared" si="1"/>
        <v>5006.9249999999984</v>
      </c>
      <c r="G61" s="19">
        <f t="shared" si="3"/>
        <v>52.5</v>
      </c>
      <c r="H61" s="20">
        <f t="shared" si="2"/>
        <v>-38.534999999999968</v>
      </c>
    </row>
    <row r="62" spans="1:8" ht="13" x14ac:dyDescent="0.15">
      <c r="A62" s="12">
        <v>45593</v>
      </c>
      <c r="B62" s="13" t="s">
        <v>2</v>
      </c>
      <c r="C62" s="14">
        <v>0.9476</v>
      </c>
      <c r="D62" s="16">
        <v>1048</v>
      </c>
      <c r="E62" s="17">
        <f t="shared" si="4"/>
        <v>54.915200000000027</v>
      </c>
      <c r="F62" s="18">
        <f t="shared" si="1"/>
        <v>3020.3360000000016</v>
      </c>
      <c r="G62" s="19">
        <f t="shared" si="3"/>
        <v>52.400000000000091</v>
      </c>
      <c r="H62" s="20">
        <f t="shared" si="2"/>
        <v>-2.5151999999999362</v>
      </c>
    </row>
    <row r="63" spans="1:8" ht="13" x14ac:dyDescent="0.15">
      <c r="A63" s="12">
        <v>45594</v>
      </c>
      <c r="B63" s="13" t="s">
        <v>3</v>
      </c>
      <c r="C63" s="14">
        <v>0.95799999999999996</v>
      </c>
      <c r="D63" s="16">
        <v>1048</v>
      </c>
      <c r="E63" s="17">
        <f t="shared" si="4"/>
        <v>44.016000000000076</v>
      </c>
      <c r="F63" s="18">
        <f t="shared" si="1"/>
        <v>2420.8800000000042</v>
      </c>
      <c r="G63" s="19">
        <f t="shared" si="3"/>
        <v>52.400000000000091</v>
      </c>
      <c r="H63" s="20">
        <f t="shared" si="2"/>
        <v>8.3840000000000146</v>
      </c>
    </row>
    <row r="64" spans="1:8" ht="13" x14ac:dyDescent="0.15">
      <c r="A64" s="12">
        <v>45595</v>
      </c>
      <c r="B64" s="13" t="s">
        <v>4</v>
      </c>
      <c r="C64" s="14">
        <v>0.94940000000000002</v>
      </c>
      <c r="D64" s="16">
        <v>1048</v>
      </c>
      <c r="E64" s="17">
        <f t="shared" si="4"/>
        <v>53.028799999999933</v>
      </c>
      <c r="F64" s="18">
        <f t="shared" si="1"/>
        <v>2916.5839999999962</v>
      </c>
      <c r="G64" s="19">
        <f t="shared" si="3"/>
        <v>52.400000000000091</v>
      </c>
      <c r="H64" s="20">
        <f t="shared" si="2"/>
        <v>-0.62879999999984193</v>
      </c>
    </row>
    <row r="65" spans="1:8" ht="13" x14ac:dyDescent="0.15">
      <c r="A65" s="12">
        <v>45596</v>
      </c>
      <c r="B65" s="13" t="s">
        <v>5</v>
      </c>
      <c r="C65" s="14">
        <v>0.93899999999999995</v>
      </c>
      <c r="D65" s="16">
        <v>1048</v>
      </c>
      <c r="E65" s="17">
        <f t="shared" si="4"/>
        <v>63.928000000000111</v>
      </c>
      <c r="F65" s="18">
        <f t="shared" si="1"/>
        <v>3516.0400000000063</v>
      </c>
      <c r="G65" s="19">
        <f t="shared" si="3"/>
        <v>52.400000000000091</v>
      </c>
      <c r="H65" s="20">
        <f t="shared" si="2"/>
        <v>-11.52800000000002</v>
      </c>
    </row>
    <row r="66" spans="1:8" ht="13" x14ac:dyDescent="0.15">
      <c r="A66" s="12">
        <v>45597</v>
      </c>
      <c r="B66" s="13" t="s">
        <v>6</v>
      </c>
      <c r="C66" s="14">
        <v>0.89400000000000002</v>
      </c>
      <c r="D66" s="16">
        <v>1047</v>
      </c>
      <c r="E66" s="17">
        <f t="shared" si="4"/>
        <v>110.98199999999997</v>
      </c>
      <c r="F66" s="18">
        <f t="shared" si="1"/>
        <v>6104.0099999999984</v>
      </c>
      <c r="G66" s="19">
        <f t="shared" si="3"/>
        <v>52.350000000000023</v>
      </c>
      <c r="H66" s="20">
        <f t="shared" si="2"/>
        <v>-58.631999999999948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0.96079999999999999</v>
      </c>
      <c r="D69" s="16">
        <v>1046</v>
      </c>
      <c r="E69" s="17">
        <f t="shared" si="4"/>
        <v>41.003199999999993</v>
      </c>
      <c r="F69" s="18">
        <f t="shared" si="1"/>
        <v>2255.1759999999995</v>
      </c>
      <c r="G69" s="19">
        <f t="shared" si="3"/>
        <v>52.300000000000068</v>
      </c>
      <c r="H69" s="20">
        <f t="shared" si="2"/>
        <v>11.296800000000076</v>
      </c>
    </row>
    <row r="70" spans="1:8" ht="13" x14ac:dyDescent="0.15">
      <c r="A70" s="12">
        <v>45603</v>
      </c>
      <c r="B70" s="13" t="s">
        <v>5</v>
      </c>
      <c r="C70" s="14">
        <v>0.96460000000000001</v>
      </c>
      <c r="D70" s="16">
        <v>1046</v>
      </c>
      <c r="E70" s="17">
        <f t="shared" si="4"/>
        <v>37.028400000000033</v>
      </c>
      <c r="F70" s="18">
        <f t="shared" si="1"/>
        <v>2036.5620000000017</v>
      </c>
      <c r="G70" s="19">
        <f t="shared" si="3"/>
        <v>52.300000000000068</v>
      </c>
      <c r="H70" s="20">
        <f t="shared" si="2"/>
        <v>15.271600000000035</v>
      </c>
    </row>
    <row r="71" spans="1:8" ht="13" x14ac:dyDescent="0.15">
      <c r="A71" s="12">
        <v>45604</v>
      </c>
      <c r="B71" s="13" t="s">
        <v>6</v>
      </c>
      <c r="C71" s="14">
        <v>0.94069999999999998</v>
      </c>
      <c r="D71" s="16">
        <v>1045</v>
      </c>
      <c r="E71" s="17">
        <f t="shared" ref="E71:E102" si="5">D71-(C71*D71)</f>
        <v>61.968500000000063</v>
      </c>
      <c r="F71" s="18">
        <f t="shared" si="1"/>
        <v>3408.2675000000036</v>
      </c>
      <c r="G71" s="19">
        <f t="shared" si="3"/>
        <v>52.25</v>
      </c>
      <c r="H71" s="20">
        <f t="shared" si="2"/>
        <v>-9.7185000000000628</v>
      </c>
    </row>
    <row r="72" spans="1:8" ht="13" x14ac:dyDescent="0.15">
      <c r="A72" s="12">
        <v>45607</v>
      </c>
      <c r="B72" s="13" t="s">
        <v>2</v>
      </c>
      <c r="C72" s="14">
        <v>0.92810000000000004</v>
      </c>
      <c r="D72" s="16">
        <v>1043</v>
      </c>
      <c r="E72" s="17">
        <f t="shared" si="5"/>
        <v>74.991699999999923</v>
      </c>
      <c r="F72" s="18">
        <f t="shared" si="1"/>
        <v>4124.5434999999961</v>
      </c>
      <c r="G72" s="19">
        <f t="shared" si="3"/>
        <v>52.150000000000091</v>
      </c>
      <c r="H72" s="20">
        <f t="shared" si="2"/>
        <v>-22.841699999999832</v>
      </c>
    </row>
    <row r="73" spans="1:8" ht="13" x14ac:dyDescent="0.15">
      <c r="A73" s="12">
        <v>45608</v>
      </c>
      <c r="B73" s="13" t="s">
        <v>3</v>
      </c>
      <c r="C73" s="14">
        <v>0.94920000000000004</v>
      </c>
      <c r="D73" s="16">
        <v>1044</v>
      </c>
      <c r="E73" s="17">
        <f t="shared" si="5"/>
        <v>53.035199999999918</v>
      </c>
      <c r="F73" s="18">
        <f t="shared" si="1"/>
        <v>2916.9359999999956</v>
      </c>
      <c r="G73" s="19">
        <f t="shared" si="3"/>
        <v>52.200000000000045</v>
      </c>
      <c r="H73" s="20">
        <f t="shared" si="2"/>
        <v>-0.83519999999987249</v>
      </c>
    </row>
    <row r="74" spans="1:8" ht="13" x14ac:dyDescent="0.15">
      <c r="A74" s="12">
        <v>45609</v>
      </c>
      <c r="B74" s="13" t="s">
        <v>4</v>
      </c>
      <c r="C74" s="14">
        <v>0.94169999999999998</v>
      </c>
      <c r="D74" s="16">
        <v>1045</v>
      </c>
      <c r="E74" s="17">
        <f t="shared" si="5"/>
        <v>60.92349999999999</v>
      </c>
      <c r="F74" s="18">
        <f t="shared" si="1"/>
        <v>3350.7924999999996</v>
      </c>
      <c r="G74" s="19">
        <f t="shared" si="3"/>
        <v>52.25</v>
      </c>
      <c r="H74" s="20">
        <f t="shared" si="2"/>
        <v>-8.67349999999999</v>
      </c>
    </row>
    <row r="75" spans="1:8" ht="13" x14ac:dyDescent="0.15">
      <c r="A75" s="12">
        <v>45610</v>
      </c>
      <c r="B75" s="13" t="s">
        <v>5</v>
      </c>
      <c r="C75" s="14">
        <v>0.93100000000000005</v>
      </c>
      <c r="D75" s="16">
        <v>1043</v>
      </c>
      <c r="E75" s="17">
        <f t="shared" si="5"/>
        <v>71.966999999999985</v>
      </c>
      <c r="F75" s="18">
        <f t="shared" si="1"/>
        <v>3958.184999999999</v>
      </c>
      <c r="G75" s="19">
        <f t="shared" si="3"/>
        <v>52.150000000000091</v>
      </c>
      <c r="H75" s="20">
        <f t="shared" si="2"/>
        <v>-19.816999999999894</v>
      </c>
    </row>
    <row r="76" spans="1:8" ht="13" x14ac:dyDescent="0.15">
      <c r="A76" s="12">
        <v>45611</v>
      </c>
      <c r="B76" s="13" t="s">
        <v>6</v>
      </c>
      <c r="C76" s="14">
        <v>0.92020000000000002</v>
      </c>
      <c r="D76" s="16">
        <v>1040</v>
      </c>
      <c r="E76" s="17">
        <f t="shared" si="5"/>
        <v>82.991999999999962</v>
      </c>
      <c r="F76" s="18">
        <f t="shared" si="1"/>
        <v>4564.5599999999977</v>
      </c>
      <c r="G76" s="19">
        <f t="shared" si="3"/>
        <v>52</v>
      </c>
      <c r="H76" s="20">
        <f t="shared" si="2"/>
        <v>-30.991999999999962</v>
      </c>
    </row>
    <row r="77" spans="1:8" ht="13" x14ac:dyDescent="0.15">
      <c r="A77" s="12">
        <v>45614</v>
      </c>
      <c r="B77" s="13" t="s">
        <v>2</v>
      </c>
      <c r="C77" s="14">
        <v>0.93769999999999998</v>
      </c>
      <c r="D77" s="16">
        <v>1044</v>
      </c>
      <c r="E77" s="17">
        <f t="shared" si="5"/>
        <v>65.041200000000003</v>
      </c>
      <c r="F77" s="18">
        <f t="shared" si="1"/>
        <v>3577.2660000000001</v>
      </c>
      <c r="G77" s="19">
        <f t="shared" si="3"/>
        <v>52.200000000000045</v>
      </c>
      <c r="H77" s="20">
        <f t="shared" si="2"/>
        <v>-12.841199999999958</v>
      </c>
    </row>
    <row r="78" spans="1:8" ht="13" x14ac:dyDescent="0.15">
      <c r="A78" s="12">
        <v>45615</v>
      </c>
      <c r="B78" s="13" t="s">
        <v>3</v>
      </c>
      <c r="C78" s="14">
        <v>0.95109999999999995</v>
      </c>
      <c r="D78" s="16">
        <v>1044</v>
      </c>
      <c r="E78" s="17">
        <f t="shared" si="5"/>
        <v>51.051600000000008</v>
      </c>
      <c r="F78" s="18">
        <f t="shared" si="1"/>
        <v>2807.8380000000006</v>
      </c>
      <c r="G78" s="19">
        <f t="shared" si="3"/>
        <v>52.200000000000045</v>
      </c>
      <c r="H78" s="20">
        <f t="shared" si="2"/>
        <v>1.1484000000000378</v>
      </c>
    </row>
    <row r="79" spans="1:8" ht="13" x14ac:dyDescent="0.15">
      <c r="A79" s="12">
        <v>45616</v>
      </c>
      <c r="B79" s="13" t="s">
        <v>4</v>
      </c>
      <c r="C79" s="14">
        <v>0.94730000000000003</v>
      </c>
      <c r="D79" s="16">
        <v>1043</v>
      </c>
      <c r="E79" s="17">
        <f t="shared" si="5"/>
        <v>54.966099999999983</v>
      </c>
      <c r="F79" s="18">
        <f t="shared" si="1"/>
        <v>3023.135499999999</v>
      </c>
      <c r="G79" s="19">
        <f t="shared" si="3"/>
        <v>52.150000000000091</v>
      </c>
      <c r="H79" s="20">
        <f t="shared" si="2"/>
        <v>-2.8160999999998921</v>
      </c>
    </row>
    <row r="80" spans="1:8" ht="13" x14ac:dyDescent="0.15">
      <c r="A80" s="12">
        <v>45617</v>
      </c>
      <c r="B80" s="13" t="s">
        <v>5</v>
      </c>
      <c r="C80" s="14">
        <v>0.94059999999999999</v>
      </c>
      <c r="D80" s="16">
        <v>1043</v>
      </c>
      <c r="E80" s="17">
        <f t="shared" si="5"/>
        <v>61.954200000000014</v>
      </c>
      <c r="F80" s="18">
        <f t="shared" si="1"/>
        <v>3407.4810000000007</v>
      </c>
      <c r="G80" s="19">
        <f t="shared" si="3"/>
        <v>52.150000000000091</v>
      </c>
      <c r="H80" s="20">
        <f t="shared" si="2"/>
        <v>-9.8041999999999234</v>
      </c>
    </row>
    <row r="81" spans="1:8" ht="13" x14ac:dyDescent="0.15">
      <c r="A81" s="12">
        <v>45618</v>
      </c>
      <c r="B81" s="13" t="s">
        <v>6</v>
      </c>
      <c r="C81" s="14">
        <v>0.8972</v>
      </c>
      <c r="D81" s="16">
        <v>1041</v>
      </c>
      <c r="E81" s="17">
        <f t="shared" si="5"/>
        <v>107.01480000000004</v>
      </c>
      <c r="F81" s="18">
        <f t="shared" si="1"/>
        <v>5885.8140000000021</v>
      </c>
      <c r="G81" s="19">
        <f t="shared" si="3"/>
        <v>52.050000000000068</v>
      </c>
      <c r="H81" s="20">
        <f t="shared" si="2"/>
        <v>-54.964799999999968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0.92030000000000001</v>
      </c>
      <c r="D87" s="16">
        <v>1044</v>
      </c>
      <c r="E87" s="17">
        <f t="shared" si="5"/>
        <v>83.206800000000044</v>
      </c>
      <c r="F87" s="18">
        <f t="shared" si="1"/>
        <v>4576.3740000000025</v>
      </c>
      <c r="G87" s="19">
        <f t="shared" si="3"/>
        <v>52.200000000000045</v>
      </c>
      <c r="H87" s="20">
        <f t="shared" si="2"/>
        <v>-31.006799999999998</v>
      </c>
    </row>
    <row r="88" spans="1:8" ht="13" x14ac:dyDescent="0.15">
      <c r="A88" s="12">
        <v>45629</v>
      </c>
      <c r="B88" s="13" t="s">
        <v>3</v>
      </c>
      <c r="C88" s="14">
        <v>0.95020000000000004</v>
      </c>
      <c r="D88" s="16">
        <v>1041</v>
      </c>
      <c r="E88" s="17">
        <f t="shared" si="5"/>
        <v>51.841799999999921</v>
      </c>
      <c r="F88" s="18">
        <f t="shared" si="1"/>
        <v>2851.2989999999954</v>
      </c>
      <c r="G88" s="19">
        <f t="shared" si="3"/>
        <v>52.050000000000068</v>
      </c>
      <c r="H88" s="20">
        <f t="shared" si="2"/>
        <v>0.20820000000014716</v>
      </c>
    </row>
    <row r="89" spans="1:8" ht="13" x14ac:dyDescent="0.15">
      <c r="A89" s="12">
        <v>45630</v>
      </c>
      <c r="B89" s="13" t="s">
        <v>4</v>
      </c>
      <c r="C89" s="14">
        <v>0.95489999999999997</v>
      </c>
      <c r="D89" s="16">
        <v>1044</v>
      </c>
      <c r="E89" s="17">
        <f t="shared" si="5"/>
        <v>47.084400000000073</v>
      </c>
      <c r="F89" s="18">
        <f t="shared" si="1"/>
        <v>2589.6420000000039</v>
      </c>
      <c r="G89" s="19">
        <f t="shared" si="3"/>
        <v>52.200000000000045</v>
      </c>
      <c r="H89" s="20">
        <f t="shared" si="2"/>
        <v>5.1155999999999722</v>
      </c>
    </row>
    <row r="90" spans="1:8" ht="13" x14ac:dyDescent="0.15">
      <c r="A90" s="12">
        <v>45631</v>
      </c>
      <c r="B90" s="13" t="s">
        <v>5</v>
      </c>
      <c r="C90" s="14">
        <v>0.95499999999999996</v>
      </c>
      <c r="D90" s="16">
        <v>1045</v>
      </c>
      <c r="E90" s="17">
        <f t="shared" si="5"/>
        <v>47.025000000000091</v>
      </c>
      <c r="F90" s="18">
        <f t="shared" si="1"/>
        <v>2586.375000000005</v>
      </c>
      <c r="G90" s="19">
        <f t="shared" si="3"/>
        <v>52.25</v>
      </c>
      <c r="H90" s="20">
        <f t="shared" si="2"/>
        <v>5.2249999999999091</v>
      </c>
    </row>
    <row r="91" spans="1:8" ht="13" x14ac:dyDescent="0.15">
      <c r="A91" s="12">
        <v>45632</v>
      </c>
      <c r="B91" s="13" t="s">
        <v>6</v>
      </c>
      <c r="C91" s="14">
        <v>0.9234</v>
      </c>
      <c r="D91" s="16">
        <v>1044</v>
      </c>
      <c r="E91" s="17">
        <f t="shared" si="5"/>
        <v>79.970400000000041</v>
      </c>
      <c r="F91" s="18">
        <f t="shared" si="1"/>
        <v>4398.3720000000021</v>
      </c>
      <c r="G91" s="19">
        <f t="shared" si="3"/>
        <v>52.200000000000045</v>
      </c>
      <c r="H91" s="20">
        <f t="shared" si="2"/>
        <v>-27.770399999999995</v>
      </c>
    </row>
    <row r="92" spans="1:8" ht="13" x14ac:dyDescent="0.15">
      <c r="A92" s="12">
        <v>45635</v>
      </c>
      <c r="B92" s="13" t="s">
        <v>2</v>
      </c>
      <c r="C92" s="14">
        <v>0.94920000000000004</v>
      </c>
      <c r="D92" s="16">
        <v>1043</v>
      </c>
      <c r="E92" s="17">
        <f t="shared" si="5"/>
        <v>52.984399999999937</v>
      </c>
      <c r="F92" s="18">
        <f t="shared" si="1"/>
        <v>2914.1419999999966</v>
      </c>
      <c r="G92" s="19">
        <f t="shared" si="3"/>
        <v>52.150000000000091</v>
      </c>
      <c r="H92" s="20">
        <f t="shared" si="2"/>
        <v>-0.83439999999984593</v>
      </c>
    </row>
    <row r="93" spans="1:8" ht="13" x14ac:dyDescent="0.15">
      <c r="A93" s="12">
        <v>45636</v>
      </c>
      <c r="B93" s="13" t="s">
        <v>3</v>
      </c>
      <c r="C93" s="14">
        <v>0.95499999999999996</v>
      </c>
      <c r="D93" s="16">
        <v>1045</v>
      </c>
      <c r="E93" s="17">
        <f t="shared" si="5"/>
        <v>47.025000000000091</v>
      </c>
      <c r="F93" s="18">
        <f t="shared" si="1"/>
        <v>2586.375000000005</v>
      </c>
      <c r="G93" s="19">
        <f t="shared" si="3"/>
        <v>52.25</v>
      </c>
      <c r="H93" s="20">
        <f t="shared" si="2"/>
        <v>5.2249999999999091</v>
      </c>
    </row>
    <row r="94" spans="1:8" ht="13" x14ac:dyDescent="0.15">
      <c r="A94" s="12">
        <v>45637</v>
      </c>
      <c r="B94" s="13" t="s">
        <v>4</v>
      </c>
      <c r="C94" s="14">
        <v>0.95509999999999995</v>
      </c>
      <c r="D94" s="16">
        <v>1046</v>
      </c>
      <c r="E94" s="17">
        <f t="shared" si="5"/>
        <v>46.965400000000045</v>
      </c>
      <c r="F94" s="18">
        <f t="shared" si="1"/>
        <v>2583.0970000000025</v>
      </c>
      <c r="G94" s="19">
        <f t="shared" si="3"/>
        <v>52.300000000000068</v>
      </c>
      <c r="H94" s="20">
        <f t="shared" si="2"/>
        <v>5.3346000000000231</v>
      </c>
    </row>
    <row r="95" spans="1:8" ht="13" x14ac:dyDescent="0.15">
      <c r="A95" s="12">
        <v>45638</v>
      </c>
      <c r="B95" s="13" t="s">
        <v>5</v>
      </c>
      <c r="C95" s="14">
        <v>0.94259999999999999</v>
      </c>
      <c r="D95" s="16">
        <v>1046</v>
      </c>
      <c r="E95" s="17">
        <f t="shared" si="5"/>
        <v>60.040399999999977</v>
      </c>
      <c r="F95" s="18">
        <f t="shared" si="1"/>
        <v>3302.2219999999988</v>
      </c>
      <c r="G95" s="19">
        <f t="shared" si="3"/>
        <v>52.300000000000068</v>
      </c>
      <c r="H95" s="20">
        <f t="shared" si="2"/>
        <v>-7.7403999999999087</v>
      </c>
    </row>
    <row r="96" spans="1:8" ht="13" x14ac:dyDescent="0.15">
      <c r="A96" s="12">
        <v>45639</v>
      </c>
      <c r="B96" s="13" t="s">
        <v>6</v>
      </c>
      <c r="C96" s="14">
        <v>0.91800000000000004</v>
      </c>
      <c r="D96" s="16">
        <v>1046</v>
      </c>
      <c r="E96" s="17">
        <f t="shared" si="5"/>
        <v>85.771999999999935</v>
      </c>
      <c r="F96" s="18">
        <f t="shared" si="1"/>
        <v>4717.4599999999964</v>
      </c>
      <c r="G96" s="19">
        <f t="shared" si="3"/>
        <v>52.300000000000068</v>
      </c>
      <c r="H96" s="20">
        <f t="shared" si="2"/>
        <v>-33.471999999999866</v>
      </c>
    </row>
    <row r="97" spans="1:8" ht="13" x14ac:dyDescent="0.15">
      <c r="A97" s="12">
        <v>45642</v>
      </c>
      <c r="B97" s="13" t="s">
        <v>2</v>
      </c>
      <c r="C97" s="14">
        <v>0.94169999999999998</v>
      </c>
      <c r="D97" s="16">
        <v>1046</v>
      </c>
      <c r="E97" s="17">
        <f t="shared" si="5"/>
        <v>60.981800000000021</v>
      </c>
      <c r="F97" s="18">
        <f t="shared" si="1"/>
        <v>3353.9990000000012</v>
      </c>
      <c r="G97" s="19">
        <f t="shared" si="3"/>
        <v>52.300000000000068</v>
      </c>
      <c r="H97" s="20">
        <f t="shared" si="2"/>
        <v>-8.6817999999999529</v>
      </c>
    </row>
    <row r="98" spans="1:8" ht="13" x14ac:dyDescent="0.15">
      <c r="A98" s="12">
        <v>45643</v>
      </c>
      <c r="B98" s="13" t="s">
        <v>3</v>
      </c>
      <c r="C98" s="14">
        <v>0.95509999999999995</v>
      </c>
      <c r="D98" s="16">
        <v>1046</v>
      </c>
      <c r="E98" s="17">
        <f t="shared" si="5"/>
        <v>46.965400000000045</v>
      </c>
      <c r="F98" s="18">
        <f t="shared" si="1"/>
        <v>2583.0970000000025</v>
      </c>
      <c r="G98" s="19">
        <f t="shared" si="3"/>
        <v>52.300000000000068</v>
      </c>
      <c r="H98" s="20">
        <f t="shared" si="2"/>
        <v>5.3346000000000231</v>
      </c>
    </row>
    <row r="99" spans="1:8" ht="13" x14ac:dyDescent="0.15">
      <c r="A99" s="12">
        <v>45644</v>
      </c>
      <c r="B99" s="13" t="s">
        <v>4</v>
      </c>
      <c r="C99" s="14">
        <v>0.95599999999999996</v>
      </c>
      <c r="D99" s="16">
        <v>1046</v>
      </c>
      <c r="E99" s="17">
        <f t="shared" si="5"/>
        <v>46.024000000000001</v>
      </c>
      <c r="F99" s="18">
        <f t="shared" si="1"/>
        <v>2531.3200000000002</v>
      </c>
      <c r="G99" s="19">
        <f t="shared" si="3"/>
        <v>52.300000000000068</v>
      </c>
      <c r="H99" s="20">
        <f t="shared" si="2"/>
        <v>6.2760000000000673</v>
      </c>
    </row>
    <row r="100" spans="1:8" ht="13" x14ac:dyDescent="0.15">
      <c r="A100" s="12">
        <v>45645</v>
      </c>
      <c r="B100" s="13" t="s">
        <v>5</v>
      </c>
      <c r="C100" s="14">
        <v>0.95220000000000005</v>
      </c>
      <c r="D100" s="16">
        <v>1046</v>
      </c>
      <c r="E100" s="17">
        <f t="shared" si="5"/>
        <v>49.99879999999996</v>
      </c>
      <c r="F100" s="18">
        <f t="shared" si="1"/>
        <v>2749.9339999999979</v>
      </c>
      <c r="G100" s="19">
        <f t="shared" si="3"/>
        <v>52.300000000000068</v>
      </c>
      <c r="H100" s="20">
        <f t="shared" si="2"/>
        <v>2.301200000000108</v>
      </c>
    </row>
    <row r="101" spans="1:8" ht="13" x14ac:dyDescent="0.15">
      <c r="A101" s="12">
        <v>45646</v>
      </c>
      <c r="B101" s="13" t="s">
        <v>6</v>
      </c>
      <c r="C101" s="14">
        <v>0.86990000000000001</v>
      </c>
      <c r="D101" s="16">
        <v>1045</v>
      </c>
      <c r="E101" s="17">
        <f t="shared" si="5"/>
        <v>135.95449999999994</v>
      </c>
      <c r="F101" s="18">
        <f t="shared" si="1"/>
        <v>7477.4974999999968</v>
      </c>
      <c r="G101" s="19">
        <f t="shared" si="3"/>
        <v>52.25</v>
      </c>
      <c r="H101" s="20">
        <f t="shared" si="2"/>
        <v>-83.704499999999939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0.93230000000000002</v>
      </c>
      <c r="D114" s="16">
        <v>1045</v>
      </c>
      <c r="E114" s="17">
        <f t="shared" si="6"/>
        <v>70.746499999999969</v>
      </c>
      <c r="F114" s="18">
        <f t="shared" si="1"/>
        <v>3891.0574999999981</v>
      </c>
      <c r="G114" s="19">
        <f t="shared" si="3"/>
        <v>52.25</v>
      </c>
      <c r="H114" s="20">
        <f t="shared" si="2"/>
        <v>-18.496499999999969</v>
      </c>
    </row>
    <row r="115" spans="1:8" ht="13" x14ac:dyDescent="0.15">
      <c r="A115" s="12">
        <v>45666</v>
      </c>
      <c r="B115" s="13" t="s">
        <v>5</v>
      </c>
      <c r="C115" s="14">
        <v>0.90620000000000001</v>
      </c>
      <c r="D115" s="16">
        <v>1046</v>
      </c>
      <c r="E115" s="17">
        <f t="shared" si="6"/>
        <v>98.114799999999946</v>
      </c>
      <c r="F115" s="18">
        <f t="shared" si="1"/>
        <v>5396.3139999999967</v>
      </c>
      <c r="G115" s="19">
        <f t="shared" si="3"/>
        <v>52.300000000000068</v>
      </c>
      <c r="H115" s="20">
        <f t="shared" si="2"/>
        <v>-45.814799999999877</v>
      </c>
    </row>
    <row r="116" spans="1:8" ht="13" x14ac:dyDescent="0.15">
      <c r="A116" s="12">
        <v>45667</v>
      </c>
      <c r="B116" s="13" t="s">
        <v>6</v>
      </c>
      <c r="C116" s="14">
        <v>0.88970000000000005</v>
      </c>
      <c r="D116" s="16">
        <v>1043</v>
      </c>
      <c r="E116" s="17">
        <f t="shared" si="6"/>
        <v>115.04289999999992</v>
      </c>
      <c r="F116" s="18">
        <f t="shared" si="1"/>
        <v>6327.359499999995</v>
      </c>
      <c r="G116" s="19">
        <f t="shared" si="3"/>
        <v>52.150000000000091</v>
      </c>
      <c r="H116" s="20">
        <f t="shared" si="2"/>
        <v>-62.892899999999827</v>
      </c>
    </row>
    <row r="117" spans="1:8" ht="13" x14ac:dyDescent="0.15">
      <c r="A117" s="12">
        <v>45670</v>
      </c>
      <c r="B117" s="13" t="s">
        <v>2</v>
      </c>
      <c r="C117" s="14">
        <v>0.94820000000000004</v>
      </c>
      <c r="D117" s="16">
        <v>1042</v>
      </c>
      <c r="E117" s="17">
        <f t="shared" si="6"/>
        <v>53.975599999999986</v>
      </c>
      <c r="F117" s="18">
        <f t="shared" si="1"/>
        <v>2968.6579999999994</v>
      </c>
      <c r="G117" s="19">
        <f t="shared" si="3"/>
        <v>52.100000000000023</v>
      </c>
      <c r="H117" s="20">
        <f t="shared" si="2"/>
        <v>-1.8755999999999631</v>
      </c>
    </row>
    <row r="118" spans="1:8" ht="13" x14ac:dyDescent="0.15">
      <c r="A118" s="12">
        <v>45671</v>
      </c>
      <c r="B118" s="13" t="s">
        <v>3</v>
      </c>
      <c r="C118" s="14">
        <v>0.95299999999999996</v>
      </c>
      <c r="D118" s="16">
        <v>1043</v>
      </c>
      <c r="E118" s="17">
        <f t="shared" si="6"/>
        <v>49.021000000000072</v>
      </c>
      <c r="F118" s="18">
        <f t="shared" si="1"/>
        <v>2696.1550000000038</v>
      </c>
      <c r="G118" s="19">
        <f t="shared" si="3"/>
        <v>52.150000000000091</v>
      </c>
      <c r="H118" s="20">
        <f t="shared" si="2"/>
        <v>3.1290000000000191</v>
      </c>
    </row>
    <row r="119" spans="1:8" ht="13" x14ac:dyDescent="0.15">
      <c r="A119" s="12">
        <v>45672</v>
      </c>
      <c r="B119" s="13" t="s">
        <v>4</v>
      </c>
      <c r="C119" s="14">
        <v>0.95109999999999995</v>
      </c>
      <c r="D119" s="16">
        <v>1044</v>
      </c>
      <c r="E119" s="17">
        <f t="shared" si="6"/>
        <v>51.051600000000008</v>
      </c>
      <c r="F119" s="18">
        <f t="shared" si="1"/>
        <v>2807.8380000000006</v>
      </c>
      <c r="G119" s="19">
        <f t="shared" si="3"/>
        <v>52.200000000000045</v>
      </c>
      <c r="H119" s="20">
        <f t="shared" si="2"/>
        <v>1.1484000000000378</v>
      </c>
    </row>
    <row r="120" spans="1:8" ht="13" x14ac:dyDescent="0.15">
      <c r="A120" s="12">
        <v>45673</v>
      </c>
      <c r="B120" s="13" t="s">
        <v>5</v>
      </c>
      <c r="C120" s="14">
        <v>0.96260000000000001</v>
      </c>
      <c r="D120" s="16">
        <v>1044</v>
      </c>
      <c r="E120" s="17">
        <f t="shared" si="6"/>
        <v>39.045600000000036</v>
      </c>
      <c r="F120" s="18">
        <f t="shared" si="1"/>
        <v>2147.5080000000021</v>
      </c>
      <c r="G120" s="19">
        <f t="shared" si="3"/>
        <v>52.200000000000045</v>
      </c>
      <c r="H120" s="20">
        <f t="shared" si="2"/>
        <v>13.15440000000001</v>
      </c>
    </row>
    <row r="121" spans="1:8" ht="13" x14ac:dyDescent="0.15">
      <c r="A121" s="12">
        <v>45674</v>
      </c>
      <c r="B121" s="13" t="s">
        <v>6</v>
      </c>
      <c r="C121" s="14">
        <v>0.91849999999999998</v>
      </c>
      <c r="D121" s="16">
        <v>1043</v>
      </c>
      <c r="E121" s="17">
        <f t="shared" si="6"/>
        <v>85.004500000000007</v>
      </c>
      <c r="F121" s="18">
        <f t="shared" si="1"/>
        <v>4675.2475000000004</v>
      </c>
      <c r="G121" s="19">
        <f t="shared" si="3"/>
        <v>52.150000000000091</v>
      </c>
      <c r="H121" s="20">
        <f t="shared" si="2"/>
        <v>-32.854499999999916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0.8861</v>
      </c>
      <c r="D125" s="16">
        <v>1045</v>
      </c>
      <c r="E125" s="17">
        <f t="shared" si="6"/>
        <v>119.02549999999997</v>
      </c>
      <c r="F125" s="18">
        <f t="shared" si="1"/>
        <v>6546.4024999999983</v>
      </c>
      <c r="G125" s="19">
        <f t="shared" si="3"/>
        <v>52.25</v>
      </c>
      <c r="H125" s="20">
        <f t="shared" si="2"/>
        <v>-66.775499999999965</v>
      </c>
    </row>
    <row r="126" spans="1:8" ht="13" x14ac:dyDescent="0.15">
      <c r="A126" s="12">
        <v>45681</v>
      </c>
      <c r="B126" s="13" t="s">
        <v>6</v>
      </c>
      <c r="C126" s="14">
        <v>0.91279999999999994</v>
      </c>
      <c r="D126" s="16">
        <v>1045</v>
      </c>
      <c r="E126" s="17">
        <f t="shared" si="6"/>
        <v>91.124000000000024</v>
      </c>
      <c r="F126" s="18">
        <f t="shared" si="1"/>
        <v>5011.8200000000015</v>
      </c>
      <c r="G126" s="19">
        <f t="shared" si="3"/>
        <v>52.25</v>
      </c>
      <c r="H126" s="20">
        <f t="shared" si="2"/>
        <v>-38.874000000000024</v>
      </c>
    </row>
    <row r="127" spans="1:8" ht="13" x14ac:dyDescent="0.15">
      <c r="A127" s="12">
        <v>45684</v>
      </c>
      <c r="B127" s="13" t="s">
        <v>2</v>
      </c>
      <c r="C127" s="14">
        <v>0.95779999999999998</v>
      </c>
      <c r="D127" s="16">
        <v>1042</v>
      </c>
      <c r="E127" s="17">
        <f t="shared" si="6"/>
        <v>43.972399999999993</v>
      </c>
      <c r="F127" s="18">
        <f t="shared" si="1"/>
        <v>2418.4819999999995</v>
      </c>
      <c r="G127" s="19">
        <f t="shared" si="3"/>
        <v>52.100000000000023</v>
      </c>
      <c r="H127" s="20">
        <f t="shared" si="2"/>
        <v>8.1276000000000295</v>
      </c>
    </row>
    <row r="128" spans="1:8" ht="13" x14ac:dyDescent="0.15">
      <c r="A128" s="12">
        <v>45685</v>
      </c>
      <c r="B128" s="13" t="s">
        <v>3</v>
      </c>
      <c r="C128" s="14">
        <v>0.9607</v>
      </c>
      <c r="D128" s="16">
        <v>1042</v>
      </c>
      <c r="E128" s="17">
        <f t="shared" si="6"/>
        <v>40.950600000000009</v>
      </c>
      <c r="F128" s="18">
        <f t="shared" si="1"/>
        <v>2252.2830000000004</v>
      </c>
      <c r="G128" s="19">
        <f t="shared" si="3"/>
        <v>52.100000000000023</v>
      </c>
      <c r="H128" s="20">
        <f t="shared" si="2"/>
        <v>11.149400000000014</v>
      </c>
    </row>
    <row r="129" spans="1:8" ht="13" x14ac:dyDescent="0.15">
      <c r="A129" s="12">
        <v>45686</v>
      </c>
      <c r="B129" s="13" t="s">
        <v>4</v>
      </c>
      <c r="C129" s="14">
        <v>0.95399999999999996</v>
      </c>
      <c r="D129" s="16">
        <v>1043</v>
      </c>
      <c r="E129" s="17">
        <f t="shared" si="6"/>
        <v>47.978000000000065</v>
      </c>
      <c r="F129" s="18">
        <f t="shared" si="1"/>
        <v>2638.7900000000036</v>
      </c>
      <c r="G129" s="19">
        <f t="shared" si="3"/>
        <v>52.150000000000091</v>
      </c>
      <c r="H129" s="20">
        <f t="shared" si="2"/>
        <v>4.1720000000000255</v>
      </c>
    </row>
    <row r="130" spans="1:8" ht="13" x14ac:dyDescent="0.15">
      <c r="A130" s="12">
        <v>45687</v>
      </c>
      <c r="B130" s="13" t="s">
        <v>5</v>
      </c>
      <c r="C130" s="14">
        <v>0.94159999999999999</v>
      </c>
      <c r="D130" s="16">
        <v>1044</v>
      </c>
      <c r="E130" s="17">
        <f t="shared" si="6"/>
        <v>60.969600000000014</v>
      </c>
      <c r="F130" s="18">
        <f t="shared" si="1"/>
        <v>3353.3280000000009</v>
      </c>
      <c r="G130" s="19">
        <f t="shared" si="3"/>
        <v>52.200000000000045</v>
      </c>
      <c r="H130" s="20">
        <f t="shared" si="2"/>
        <v>-8.7695999999999685</v>
      </c>
    </row>
    <row r="131" spans="1:8" ht="13" x14ac:dyDescent="0.15">
      <c r="A131" s="12">
        <v>45688</v>
      </c>
      <c r="B131" s="13" t="s">
        <v>6</v>
      </c>
      <c r="C131" s="14">
        <v>0.94059999999999999</v>
      </c>
      <c r="D131" s="16">
        <v>1043</v>
      </c>
      <c r="E131" s="17">
        <f t="shared" si="6"/>
        <v>61.954200000000014</v>
      </c>
      <c r="F131" s="18">
        <f t="shared" si="1"/>
        <v>3407.4810000000007</v>
      </c>
      <c r="G131" s="19">
        <f t="shared" si="3"/>
        <v>52.150000000000091</v>
      </c>
      <c r="H131" s="20">
        <f t="shared" si="2"/>
        <v>-9.8041999999999234</v>
      </c>
    </row>
    <row r="132" spans="1:8" ht="13" x14ac:dyDescent="0.15">
      <c r="A132" s="12">
        <v>45691</v>
      </c>
      <c r="B132" s="13" t="s">
        <v>2</v>
      </c>
      <c r="C132" s="14">
        <v>0.79020000000000001</v>
      </c>
      <c r="D132" s="16">
        <v>1039</v>
      </c>
      <c r="E132" s="17">
        <f t="shared" si="6"/>
        <v>217.98220000000003</v>
      </c>
      <c r="F132" s="18">
        <f t="shared" si="1"/>
        <v>11989.021000000002</v>
      </c>
      <c r="G132" s="19">
        <f t="shared" si="3"/>
        <v>51.950000000000045</v>
      </c>
      <c r="H132" s="20">
        <f t="shared" si="2"/>
        <v>-166.03219999999999</v>
      </c>
    </row>
    <row r="133" spans="1:8" ht="13" x14ac:dyDescent="0.15">
      <c r="A133" s="12">
        <v>45692</v>
      </c>
      <c r="B133" s="13" t="s">
        <v>3</v>
      </c>
      <c r="C133" s="14">
        <v>0.95379999999999998</v>
      </c>
      <c r="D133" s="16">
        <v>1039</v>
      </c>
      <c r="E133" s="17">
        <f t="shared" si="6"/>
        <v>48.001800000000003</v>
      </c>
      <c r="F133" s="18">
        <f t="shared" si="1"/>
        <v>2640.0990000000002</v>
      </c>
      <c r="G133" s="19">
        <f t="shared" si="3"/>
        <v>51.950000000000045</v>
      </c>
      <c r="H133" s="20">
        <f t="shared" si="2"/>
        <v>3.9482000000000426</v>
      </c>
    </row>
    <row r="134" spans="1:8" ht="13" x14ac:dyDescent="0.15">
      <c r="A134" s="12">
        <v>45693</v>
      </c>
      <c r="B134" s="13" t="s">
        <v>4</v>
      </c>
      <c r="C134" s="14">
        <v>0.95950000000000002</v>
      </c>
      <c r="D134" s="16">
        <v>1039</v>
      </c>
      <c r="E134" s="17">
        <f t="shared" si="6"/>
        <v>42.079499999999939</v>
      </c>
      <c r="F134" s="18">
        <f t="shared" si="1"/>
        <v>2314.3724999999968</v>
      </c>
      <c r="G134" s="19">
        <f t="shared" si="3"/>
        <v>51.950000000000045</v>
      </c>
      <c r="H134" s="20">
        <f t="shared" si="2"/>
        <v>9.8705000000001064</v>
      </c>
    </row>
    <row r="135" spans="1:8" ht="13" x14ac:dyDescent="0.15">
      <c r="A135" s="12">
        <v>45694</v>
      </c>
      <c r="B135" s="13" t="s">
        <v>5</v>
      </c>
      <c r="C135" s="14">
        <v>0.95950000000000002</v>
      </c>
      <c r="D135" s="16">
        <v>1037</v>
      </c>
      <c r="E135" s="17">
        <f t="shared" ref="E135:E181" si="7">D135-(C135*D135)</f>
        <v>41.998500000000035</v>
      </c>
      <c r="F135" s="18">
        <f t="shared" si="1"/>
        <v>2309.9175000000018</v>
      </c>
      <c r="G135" s="19">
        <f t="shared" si="3"/>
        <v>51.850000000000023</v>
      </c>
      <c r="H135" s="20">
        <f t="shared" si="2"/>
        <v>9.8514999999999873</v>
      </c>
    </row>
    <row r="136" spans="1:8" ht="13" x14ac:dyDescent="0.15">
      <c r="A136" s="12">
        <v>45695</v>
      </c>
      <c r="B136" s="13" t="s">
        <v>6</v>
      </c>
      <c r="C136" s="14">
        <v>0.91510000000000002</v>
      </c>
      <c r="D136" s="16">
        <v>1037</v>
      </c>
      <c r="E136" s="17">
        <f t="shared" si="7"/>
        <v>88.041299999999978</v>
      </c>
      <c r="F136" s="18">
        <f t="shared" si="1"/>
        <v>4842.2714999999989</v>
      </c>
      <c r="G136" s="19">
        <f t="shared" si="3"/>
        <v>51.850000000000023</v>
      </c>
      <c r="H136" s="20">
        <f t="shared" si="2"/>
        <v>-36.191299999999956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3" x14ac:dyDescent="0.15">
      <c r="A139" s="12">
        <v>45700</v>
      </c>
      <c r="B139" s="13" t="s">
        <v>4</v>
      </c>
      <c r="C139" s="14">
        <v>0.95660000000000001</v>
      </c>
      <c r="D139" s="16">
        <v>1036</v>
      </c>
      <c r="E139" s="17">
        <f t="shared" si="7"/>
        <v>44.962400000000002</v>
      </c>
      <c r="F139" s="18">
        <f t="shared" si="1"/>
        <v>2472.9320000000002</v>
      </c>
      <c r="G139" s="19">
        <f t="shared" si="3"/>
        <v>51.800000000000068</v>
      </c>
      <c r="H139" s="20">
        <f t="shared" si="2"/>
        <v>6.8376000000000658</v>
      </c>
    </row>
    <row r="140" spans="1:8" ht="13" x14ac:dyDescent="0.15">
      <c r="A140" s="12">
        <v>45701</v>
      </c>
      <c r="B140" s="13" t="s">
        <v>5</v>
      </c>
      <c r="C140" s="14">
        <v>0.94689999999999996</v>
      </c>
      <c r="D140" s="16">
        <v>1036</v>
      </c>
      <c r="E140" s="17">
        <f t="shared" si="7"/>
        <v>55.011600000000044</v>
      </c>
      <c r="F140" s="18">
        <f t="shared" si="1"/>
        <v>3025.6380000000026</v>
      </c>
      <c r="G140" s="19">
        <f t="shared" si="3"/>
        <v>51.800000000000068</v>
      </c>
      <c r="H140" s="20">
        <f t="shared" si="2"/>
        <v>-3.2115999999999758</v>
      </c>
    </row>
    <row r="141" spans="1:8" ht="13" x14ac:dyDescent="0.15">
      <c r="A141" s="12">
        <v>45702</v>
      </c>
      <c r="B141" s="13" t="s">
        <v>6</v>
      </c>
      <c r="C141" s="14">
        <v>0.9163</v>
      </c>
      <c r="D141" s="16">
        <v>1039</v>
      </c>
      <c r="E141" s="17">
        <f t="shared" si="7"/>
        <v>86.96429999999998</v>
      </c>
      <c r="F141" s="18">
        <f t="shared" si="1"/>
        <v>4783.0364999999993</v>
      </c>
      <c r="G141" s="19">
        <f t="shared" si="3"/>
        <v>51.950000000000045</v>
      </c>
      <c r="H141" s="20">
        <f t="shared" si="2"/>
        <v>-35.014299999999935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0.94899999999999995</v>
      </c>
      <c r="D143" s="16">
        <v>1040</v>
      </c>
      <c r="E143" s="17">
        <f t="shared" si="7"/>
        <v>53.040000000000077</v>
      </c>
      <c r="F143" s="18">
        <f t="shared" si="1"/>
        <v>2917.2000000000044</v>
      </c>
      <c r="G143" s="19">
        <f t="shared" si="3"/>
        <v>52</v>
      </c>
      <c r="H143" s="20">
        <f t="shared" si="2"/>
        <v>-1.0400000000000773</v>
      </c>
    </row>
    <row r="144" spans="1:8" ht="13" x14ac:dyDescent="0.15">
      <c r="A144" s="12">
        <v>45707</v>
      </c>
      <c r="B144" s="13" t="s">
        <v>4</v>
      </c>
      <c r="C144" s="14">
        <v>0.94330000000000003</v>
      </c>
      <c r="D144" s="16">
        <v>1040</v>
      </c>
      <c r="E144" s="17">
        <f t="shared" si="7"/>
        <v>58.967999999999961</v>
      </c>
      <c r="F144" s="18">
        <f t="shared" si="1"/>
        <v>3243.239999999998</v>
      </c>
      <c r="G144" s="19">
        <f t="shared" si="3"/>
        <v>52</v>
      </c>
      <c r="H144" s="20">
        <f t="shared" si="2"/>
        <v>-6.9679999999999609</v>
      </c>
    </row>
    <row r="145" spans="1:8" ht="13" x14ac:dyDescent="0.15">
      <c r="A145" s="12">
        <v>45708</v>
      </c>
      <c r="B145" s="13" t="s">
        <v>5</v>
      </c>
      <c r="C145" s="14">
        <v>0.88160000000000005</v>
      </c>
      <c r="D145" s="16">
        <v>1040</v>
      </c>
      <c r="E145" s="17">
        <f t="shared" si="7"/>
        <v>123.13599999999997</v>
      </c>
      <c r="F145" s="18">
        <f t="shared" si="1"/>
        <v>6772.4799999999977</v>
      </c>
      <c r="G145" s="19">
        <f t="shared" si="3"/>
        <v>52</v>
      </c>
      <c r="H145" s="20">
        <f t="shared" si="2"/>
        <v>-71.135999999999967</v>
      </c>
    </row>
    <row r="146" spans="1:8" ht="13" x14ac:dyDescent="0.15">
      <c r="A146" s="12">
        <v>45709</v>
      </c>
      <c r="B146" s="13" t="s">
        <v>6</v>
      </c>
      <c r="C146" s="14">
        <v>0.94320000000000004</v>
      </c>
      <c r="D146" s="16">
        <v>1040</v>
      </c>
      <c r="E146" s="17">
        <f t="shared" si="7"/>
        <v>59.072000000000003</v>
      </c>
      <c r="F146" s="18">
        <f t="shared" si="1"/>
        <v>3248.96</v>
      </c>
      <c r="G146" s="19">
        <f t="shared" si="3"/>
        <v>52</v>
      </c>
      <c r="H146" s="20">
        <f t="shared" si="2"/>
        <v>-7.0720000000000027</v>
      </c>
    </row>
    <row r="147" spans="1:8" ht="13" x14ac:dyDescent="0.15">
      <c r="A147" s="12">
        <v>45712</v>
      </c>
      <c r="B147" s="13" t="s">
        <v>2</v>
      </c>
      <c r="C147" s="14">
        <v>0.94320000000000004</v>
      </c>
      <c r="D147" s="16">
        <v>1039</v>
      </c>
      <c r="E147" s="17">
        <f t="shared" si="7"/>
        <v>59.015199999999936</v>
      </c>
      <c r="F147" s="18">
        <f t="shared" si="1"/>
        <v>3245.8359999999966</v>
      </c>
      <c r="G147" s="19">
        <f t="shared" si="3"/>
        <v>51.950000000000045</v>
      </c>
      <c r="H147" s="20">
        <f t="shared" si="2"/>
        <v>-7.0651999999998907</v>
      </c>
    </row>
    <row r="148" spans="1:8" ht="13" x14ac:dyDescent="0.15">
      <c r="A148" s="12">
        <v>45713</v>
      </c>
      <c r="B148" s="13" t="s">
        <v>3</v>
      </c>
      <c r="C148" s="14">
        <v>0.95530000000000004</v>
      </c>
      <c r="D148" s="16">
        <v>1029</v>
      </c>
      <c r="E148" s="17">
        <f t="shared" si="7"/>
        <v>45.996299999999906</v>
      </c>
      <c r="F148" s="18">
        <f t="shared" si="1"/>
        <v>2529.7964999999949</v>
      </c>
      <c r="G148" s="19">
        <f t="shared" si="3"/>
        <v>51.450000000000045</v>
      </c>
      <c r="H148" s="20">
        <f t="shared" si="2"/>
        <v>5.4537000000001399</v>
      </c>
    </row>
    <row r="149" spans="1:8" ht="13" x14ac:dyDescent="0.15">
      <c r="A149" s="12">
        <v>45714</v>
      </c>
      <c r="B149" s="13" t="s">
        <v>4</v>
      </c>
      <c r="C149" s="14">
        <v>0.94359999999999999</v>
      </c>
      <c r="D149" s="16">
        <v>1028</v>
      </c>
      <c r="E149" s="17">
        <f t="shared" si="7"/>
        <v>57.979199999999992</v>
      </c>
      <c r="F149" s="18">
        <f t="shared" si="1"/>
        <v>3188.8559999999998</v>
      </c>
      <c r="G149" s="19">
        <f t="shared" si="3"/>
        <v>51.400000000000091</v>
      </c>
      <c r="H149" s="20">
        <f t="shared" si="2"/>
        <v>-6.5791999999999007</v>
      </c>
    </row>
    <row r="150" spans="1:8" ht="13" x14ac:dyDescent="0.15">
      <c r="A150" s="12">
        <v>45715</v>
      </c>
      <c r="B150" s="13" t="s">
        <v>5</v>
      </c>
      <c r="C150" s="14">
        <v>0.9466</v>
      </c>
      <c r="D150" s="16">
        <v>1029</v>
      </c>
      <c r="E150" s="17">
        <f t="shared" si="7"/>
        <v>54.948600000000056</v>
      </c>
      <c r="F150" s="18">
        <f t="shared" si="1"/>
        <v>3022.173000000003</v>
      </c>
      <c r="G150" s="19">
        <f t="shared" si="3"/>
        <v>51.450000000000045</v>
      </c>
      <c r="H150" s="20">
        <f t="shared" si="2"/>
        <v>-3.4986000000000104</v>
      </c>
    </row>
    <row r="151" spans="1:8" ht="13" x14ac:dyDescent="0.15">
      <c r="A151" s="12">
        <v>45716</v>
      </c>
      <c r="B151" s="13" t="s">
        <v>6</v>
      </c>
      <c r="C151" s="14">
        <v>0.93589999999999995</v>
      </c>
      <c r="D151" s="16">
        <v>1030</v>
      </c>
      <c r="E151" s="17">
        <f t="shared" si="7"/>
        <v>66.023000000000025</v>
      </c>
      <c r="F151" s="18">
        <f t="shared" si="1"/>
        <v>3631.2650000000012</v>
      </c>
      <c r="G151" s="19">
        <f t="shared" si="3"/>
        <v>51.5</v>
      </c>
      <c r="H151" s="20">
        <f t="shared" si="2"/>
        <v>-14.523000000000025</v>
      </c>
    </row>
    <row r="152" spans="1:8" ht="13" x14ac:dyDescent="0.15">
      <c r="A152" s="12">
        <v>45719</v>
      </c>
      <c r="B152" s="13" t="s">
        <v>2</v>
      </c>
      <c r="C152" s="14">
        <v>0.94169999999999998</v>
      </c>
      <c r="D152" s="16">
        <v>1030</v>
      </c>
      <c r="E152" s="17">
        <f t="shared" si="7"/>
        <v>60.048999999999978</v>
      </c>
      <c r="F152" s="18">
        <f t="shared" si="1"/>
        <v>3302.6949999999988</v>
      </c>
      <c r="G152" s="19">
        <f t="shared" si="3"/>
        <v>51.5</v>
      </c>
      <c r="H152" s="20">
        <f t="shared" si="2"/>
        <v>-8.5489999999999782</v>
      </c>
    </row>
    <row r="153" spans="1:8" ht="13" x14ac:dyDescent="0.15">
      <c r="A153" s="12">
        <v>45720</v>
      </c>
      <c r="B153" s="13" t="s">
        <v>3</v>
      </c>
      <c r="C153" s="14">
        <v>0.96009999999999995</v>
      </c>
      <c r="D153" s="16">
        <v>1028</v>
      </c>
      <c r="E153" s="17">
        <f t="shared" si="7"/>
        <v>41.017200000000003</v>
      </c>
      <c r="F153" s="18">
        <f t="shared" si="1"/>
        <v>2255.9459999999999</v>
      </c>
      <c r="G153" s="19">
        <f t="shared" si="3"/>
        <v>51.400000000000091</v>
      </c>
      <c r="H153" s="20">
        <f t="shared" si="2"/>
        <v>10.382800000000088</v>
      </c>
    </row>
    <row r="154" spans="1:8" ht="13" x14ac:dyDescent="0.15">
      <c r="A154" s="12">
        <v>45721</v>
      </c>
      <c r="B154" s="13" t="s">
        <v>4</v>
      </c>
      <c r="C154" s="14">
        <v>0.95430000000000004</v>
      </c>
      <c r="D154" s="16">
        <v>1028</v>
      </c>
      <c r="E154" s="17">
        <f t="shared" si="7"/>
        <v>46.979600000000005</v>
      </c>
      <c r="F154" s="18">
        <f t="shared" si="1"/>
        <v>2583.8780000000002</v>
      </c>
      <c r="G154" s="19">
        <f t="shared" si="3"/>
        <v>51.400000000000091</v>
      </c>
      <c r="H154" s="20">
        <f t="shared" si="2"/>
        <v>4.420400000000086</v>
      </c>
    </row>
    <row r="155" spans="1:8" ht="13" x14ac:dyDescent="0.15">
      <c r="A155" s="12">
        <v>45722</v>
      </c>
      <c r="B155" s="13" t="s">
        <v>5</v>
      </c>
      <c r="C155" s="14">
        <v>0.96399999999999997</v>
      </c>
      <c r="D155" s="16">
        <v>1028</v>
      </c>
      <c r="E155" s="17">
        <f t="shared" si="7"/>
        <v>37.008000000000038</v>
      </c>
      <c r="F155" s="18">
        <f t="shared" si="1"/>
        <v>2035.4400000000021</v>
      </c>
      <c r="G155" s="19">
        <f t="shared" si="3"/>
        <v>51.400000000000091</v>
      </c>
      <c r="H155" s="20">
        <f t="shared" si="2"/>
        <v>14.392000000000053</v>
      </c>
    </row>
    <row r="156" spans="1:8" ht="13" x14ac:dyDescent="0.15">
      <c r="A156" s="12">
        <v>45723</v>
      </c>
      <c r="B156" s="13" t="s">
        <v>6</v>
      </c>
      <c r="C156" s="14">
        <v>0.92800000000000005</v>
      </c>
      <c r="D156" s="16">
        <v>1028</v>
      </c>
      <c r="E156" s="17">
        <f t="shared" si="7"/>
        <v>74.015999999999963</v>
      </c>
      <c r="F156" s="18">
        <f t="shared" si="1"/>
        <v>4070.8799999999978</v>
      </c>
      <c r="G156" s="19">
        <f t="shared" si="3"/>
        <v>51.400000000000091</v>
      </c>
      <c r="H156" s="20">
        <f t="shared" si="2"/>
        <v>-22.615999999999872</v>
      </c>
    </row>
    <row r="157" spans="1:8" ht="15.75" customHeight="1" x14ac:dyDescent="0.15">
      <c r="A157" s="34">
        <v>45726</v>
      </c>
      <c r="B157" s="35" t="s">
        <v>2</v>
      </c>
      <c r="C157" s="79">
        <v>0.94169999999999998</v>
      </c>
      <c r="D157" s="81">
        <v>1030</v>
      </c>
      <c r="E157" s="17">
        <f t="shared" si="7"/>
        <v>60.048999999999978</v>
      </c>
      <c r="F157" s="18">
        <f t="shared" si="1"/>
        <v>3302.6949999999988</v>
      </c>
      <c r="G157" s="19">
        <f t="shared" si="3"/>
        <v>51.5</v>
      </c>
      <c r="H157" s="20">
        <f t="shared" si="2"/>
        <v>-8.5489999999999782</v>
      </c>
    </row>
    <row r="158" spans="1:8" ht="15.75" customHeight="1" x14ac:dyDescent="0.15">
      <c r="A158" s="34">
        <v>45727</v>
      </c>
      <c r="B158" s="35" t="s">
        <v>3</v>
      </c>
      <c r="C158" s="79">
        <v>0.96120000000000005</v>
      </c>
      <c r="D158" s="81">
        <v>1030</v>
      </c>
      <c r="E158" s="17">
        <f t="shared" si="7"/>
        <v>39.963999999999942</v>
      </c>
      <c r="F158" s="18">
        <f t="shared" ref="F158:F181" si="8">E158*$E$5</f>
        <v>2198.0199999999968</v>
      </c>
      <c r="G158" s="19">
        <f t="shared" ref="G158:G181" si="9">D158-(D158*G$3)</f>
        <v>51.5</v>
      </c>
      <c r="H158" s="20">
        <f t="shared" ref="H158:H181" si="10">G158-E158</f>
        <v>11.536000000000058</v>
      </c>
    </row>
    <row r="159" spans="1:8" ht="15.75" customHeight="1" x14ac:dyDescent="0.15">
      <c r="A159" s="34">
        <v>45728</v>
      </c>
      <c r="B159" s="35" t="s">
        <v>4</v>
      </c>
      <c r="C159" s="79">
        <v>0.95730000000000004</v>
      </c>
      <c r="D159" s="81">
        <v>1031</v>
      </c>
      <c r="E159" s="17">
        <f t="shared" si="7"/>
        <v>44.023699999999963</v>
      </c>
      <c r="F159" s="18">
        <f t="shared" si="8"/>
        <v>2421.3034999999982</v>
      </c>
      <c r="G159" s="19">
        <f t="shared" si="9"/>
        <v>51.550000000000068</v>
      </c>
      <c r="H159" s="20">
        <f t="shared" si="10"/>
        <v>7.5263000000001057</v>
      </c>
    </row>
    <row r="160" spans="1:8" ht="15.75" customHeight="1" x14ac:dyDescent="0.15">
      <c r="A160" s="34">
        <v>45729</v>
      </c>
      <c r="B160" s="35" t="s">
        <v>5</v>
      </c>
      <c r="C160" s="79">
        <v>0.95930000000000004</v>
      </c>
      <c r="D160" s="81">
        <v>1031</v>
      </c>
      <c r="E160" s="17">
        <f t="shared" si="7"/>
        <v>41.961699999999951</v>
      </c>
      <c r="F160" s="18">
        <f t="shared" si="8"/>
        <v>2307.8934999999974</v>
      </c>
      <c r="G160" s="19">
        <f t="shared" si="9"/>
        <v>51.550000000000068</v>
      </c>
      <c r="H160" s="20">
        <f t="shared" si="10"/>
        <v>9.5883000000001175</v>
      </c>
    </row>
    <row r="161" spans="1:8" ht="15.75" customHeight="1" x14ac:dyDescent="0.15">
      <c r="A161" s="34">
        <v>45730</v>
      </c>
      <c r="B161" s="35" t="s">
        <v>6</v>
      </c>
      <c r="C161" s="79">
        <v>0.90390000000000004</v>
      </c>
      <c r="D161" s="81">
        <v>1030</v>
      </c>
      <c r="E161" s="17">
        <f t="shared" si="7"/>
        <v>98.982999999999947</v>
      </c>
      <c r="F161" s="18">
        <f t="shared" si="8"/>
        <v>5444.0649999999969</v>
      </c>
      <c r="G161" s="19">
        <f t="shared" si="9"/>
        <v>51.5</v>
      </c>
      <c r="H161" s="20">
        <f t="shared" si="10"/>
        <v>-47.482999999999947</v>
      </c>
    </row>
    <row r="162" spans="1:8" ht="15.75" customHeight="1" x14ac:dyDescent="0.15">
      <c r="A162" s="21">
        <v>45733</v>
      </c>
      <c r="B162" s="22" t="s">
        <v>2</v>
      </c>
      <c r="C162" s="80"/>
      <c r="D162" s="82"/>
      <c r="E162" s="17">
        <f t="shared" si="7"/>
        <v>0</v>
      </c>
      <c r="F162" s="18">
        <f t="shared" si="8"/>
        <v>0</v>
      </c>
      <c r="G162" s="19">
        <f t="shared" si="9"/>
        <v>0</v>
      </c>
      <c r="H162" s="20">
        <f t="shared" si="10"/>
        <v>0</v>
      </c>
    </row>
    <row r="163" spans="1:8" ht="15.75" customHeight="1" x14ac:dyDescent="0.15">
      <c r="A163" s="21">
        <v>45734</v>
      </c>
      <c r="B163" s="22" t="s">
        <v>3</v>
      </c>
      <c r="C163" s="80"/>
      <c r="D163" s="82"/>
      <c r="E163" s="17">
        <f t="shared" si="7"/>
        <v>0</v>
      </c>
      <c r="F163" s="18">
        <f t="shared" si="8"/>
        <v>0</v>
      </c>
      <c r="G163" s="19">
        <f t="shared" si="9"/>
        <v>0</v>
      </c>
      <c r="H163" s="20">
        <f t="shared" si="10"/>
        <v>0</v>
      </c>
    </row>
    <row r="164" spans="1:8" ht="15.75" customHeight="1" x14ac:dyDescent="0.15">
      <c r="A164" s="21">
        <v>45735</v>
      </c>
      <c r="B164" s="22" t="s">
        <v>4</v>
      </c>
      <c r="C164" s="80"/>
      <c r="D164" s="82"/>
      <c r="E164" s="17">
        <f t="shared" si="7"/>
        <v>0</v>
      </c>
      <c r="F164" s="18">
        <f t="shared" si="8"/>
        <v>0</v>
      </c>
      <c r="G164" s="19">
        <f t="shared" si="9"/>
        <v>0</v>
      </c>
      <c r="H164" s="20">
        <f t="shared" si="10"/>
        <v>0</v>
      </c>
    </row>
    <row r="165" spans="1:8" ht="15.75" customHeight="1" x14ac:dyDescent="0.15">
      <c r="A165" s="21">
        <v>45736</v>
      </c>
      <c r="B165" s="22" t="s">
        <v>5</v>
      </c>
      <c r="C165" s="80"/>
      <c r="D165" s="82"/>
      <c r="E165" s="17">
        <f t="shared" si="7"/>
        <v>0</v>
      </c>
      <c r="F165" s="18">
        <f t="shared" si="8"/>
        <v>0</v>
      </c>
      <c r="G165" s="19">
        <f t="shared" si="9"/>
        <v>0</v>
      </c>
      <c r="H165" s="20">
        <f t="shared" si="10"/>
        <v>0</v>
      </c>
    </row>
    <row r="166" spans="1:8" ht="15.75" customHeight="1" x14ac:dyDescent="0.15">
      <c r="A166" s="21">
        <v>45737</v>
      </c>
      <c r="B166" s="22" t="s">
        <v>6</v>
      </c>
      <c r="C166" s="80"/>
      <c r="D166" s="82"/>
      <c r="E166" s="17">
        <f t="shared" si="7"/>
        <v>0</v>
      </c>
      <c r="F166" s="18">
        <f t="shared" si="8"/>
        <v>0</v>
      </c>
      <c r="G166" s="19">
        <f t="shared" si="9"/>
        <v>0</v>
      </c>
      <c r="H166" s="20">
        <f t="shared" si="10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0.91349999999999998</v>
      </c>
      <c r="D167" s="81">
        <v>1029</v>
      </c>
      <c r="E167" s="17">
        <f t="shared" si="7"/>
        <v>89.008500000000026</v>
      </c>
      <c r="F167" s="18">
        <f t="shared" si="8"/>
        <v>4895.4675000000016</v>
      </c>
      <c r="G167" s="19">
        <f t="shared" si="9"/>
        <v>51.450000000000045</v>
      </c>
      <c r="H167" s="20">
        <f t="shared" si="10"/>
        <v>-37.558499999999981</v>
      </c>
    </row>
    <row r="168" spans="1:8" ht="15.75" customHeight="1" x14ac:dyDescent="0.15">
      <c r="A168" s="12">
        <v>45741</v>
      </c>
      <c r="B168" s="13" t="s">
        <v>3</v>
      </c>
      <c r="C168" s="79">
        <v>0.95140000000000002</v>
      </c>
      <c r="D168" s="81">
        <v>1030</v>
      </c>
      <c r="E168" s="17">
        <f t="shared" si="7"/>
        <v>50.057999999999993</v>
      </c>
      <c r="F168" s="18">
        <f t="shared" si="8"/>
        <v>2753.1899999999996</v>
      </c>
      <c r="G168" s="19">
        <f t="shared" si="9"/>
        <v>51.5</v>
      </c>
      <c r="H168" s="20">
        <f t="shared" si="10"/>
        <v>1.4420000000000073</v>
      </c>
    </row>
    <row r="169" spans="1:8" ht="15.75" customHeight="1" x14ac:dyDescent="0.15">
      <c r="A169" s="12">
        <v>45742</v>
      </c>
      <c r="B169" s="13" t="s">
        <v>4</v>
      </c>
      <c r="C169" s="79">
        <v>0.9466</v>
      </c>
      <c r="D169" s="81">
        <v>1030</v>
      </c>
      <c r="E169" s="17">
        <f t="shared" si="7"/>
        <v>55.001999999999953</v>
      </c>
      <c r="F169" s="18">
        <f t="shared" si="8"/>
        <v>3025.1099999999974</v>
      </c>
      <c r="G169" s="19">
        <f t="shared" si="9"/>
        <v>51.5</v>
      </c>
      <c r="H169" s="20">
        <f t="shared" si="10"/>
        <v>-3.5019999999999527</v>
      </c>
    </row>
    <row r="170" spans="1:8" ht="15.75" customHeight="1" x14ac:dyDescent="0.15">
      <c r="A170" s="12">
        <v>45743</v>
      </c>
      <c r="B170" s="13" t="s">
        <v>5</v>
      </c>
      <c r="C170" s="79">
        <v>0.9486</v>
      </c>
      <c r="D170" s="81">
        <v>1030</v>
      </c>
      <c r="E170" s="17">
        <f t="shared" si="7"/>
        <v>52.942000000000007</v>
      </c>
      <c r="F170" s="18">
        <f t="shared" si="8"/>
        <v>2911.8100000000004</v>
      </c>
      <c r="G170" s="19">
        <f t="shared" si="9"/>
        <v>51.5</v>
      </c>
      <c r="H170" s="20">
        <f t="shared" si="10"/>
        <v>-1.4420000000000073</v>
      </c>
    </row>
    <row r="171" spans="1:8" ht="15.75" customHeight="1" x14ac:dyDescent="0.15">
      <c r="A171" s="12">
        <v>45744</v>
      </c>
      <c r="B171" s="13" t="s">
        <v>6</v>
      </c>
      <c r="C171" s="79">
        <v>0.93589999999999995</v>
      </c>
      <c r="D171" s="81">
        <v>1030</v>
      </c>
      <c r="E171" s="17">
        <f t="shared" si="7"/>
        <v>66.023000000000025</v>
      </c>
      <c r="F171" s="18">
        <f t="shared" si="8"/>
        <v>3631.2650000000012</v>
      </c>
      <c r="G171" s="19">
        <f t="shared" si="9"/>
        <v>51.5</v>
      </c>
      <c r="H171" s="20">
        <f t="shared" si="10"/>
        <v>-14.523000000000025</v>
      </c>
    </row>
    <row r="172" spans="1:8" ht="15.75" customHeight="1" x14ac:dyDescent="0.15">
      <c r="A172" s="12">
        <v>45747</v>
      </c>
      <c r="B172" s="13" t="s">
        <v>2</v>
      </c>
      <c r="C172" s="79">
        <v>0.94069999999999998</v>
      </c>
      <c r="D172" s="81">
        <v>1029</v>
      </c>
      <c r="E172" s="17">
        <f t="shared" si="7"/>
        <v>61.019700000000057</v>
      </c>
      <c r="F172" s="18">
        <f t="shared" si="8"/>
        <v>3356.0835000000034</v>
      </c>
      <c r="G172" s="19">
        <f t="shared" si="9"/>
        <v>51.450000000000045</v>
      </c>
      <c r="H172" s="20">
        <f t="shared" si="10"/>
        <v>-9.5697000000000116</v>
      </c>
    </row>
    <row r="173" spans="1:8" ht="15.75" customHeight="1" x14ac:dyDescent="0.15">
      <c r="A173" s="12">
        <v>45748</v>
      </c>
      <c r="B173" s="13" t="s">
        <v>3</v>
      </c>
      <c r="C173" s="79">
        <v>0.9446</v>
      </c>
      <c r="D173" s="81">
        <v>1029</v>
      </c>
      <c r="E173" s="17">
        <f t="shared" si="7"/>
        <v>57.006600000000049</v>
      </c>
      <c r="F173" s="18">
        <f t="shared" si="8"/>
        <v>3135.3630000000026</v>
      </c>
      <c r="G173" s="19">
        <f t="shared" si="9"/>
        <v>51.450000000000045</v>
      </c>
      <c r="H173" s="20">
        <f t="shared" si="10"/>
        <v>-5.5566000000000031</v>
      </c>
    </row>
    <row r="174" spans="1:8" ht="15.75" customHeight="1" x14ac:dyDescent="0.15">
      <c r="A174" s="12">
        <v>45749</v>
      </c>
      <c r="B174" s="13" t="s">
        <v>4</v>
      </c>
      <c r="C174" s="79">
        <v>0.9466</v>
      </c>
      <c r="D174" s="81">
        <v>1029</v>
      </c>
      <c r="E174" s="17">
        <f t="shared" si="7"/>
        <v>54.948600000000056</v>
      </c>
      <c r="F174" s="18">
        <f t="shared" si="8"/>
        <v>3022.173000000003</v>
      </c>
      <c r="G174" s="19">
        <f t="shared" si="9"/>
        <v>51.450000000000045</v>
      </c>
      <c r="H174" s="20">
        <f t="shared" si="10"/>
        <v>-3.4986000000000104</v>
      </c>
    </row>
    <row r="175" spans="1:8" ht="15.75" customHeight="1" x14ac:dyDescent="0.15">
      <c r="A175" s="12">
        <v>45750</v>
      </c>
      <c r="B175" s="13" t="s">
        <v>5</v>
      </c>
      <c r="C175" s="79">
        <v>0.95740000000000003</v>
      </c>
      <c r="D175" s="81">
        <v>1033</v>
      </c>
      <c r="E175" s="17">
        <f t="shared" si="7"/>
        <v>44.005800000000022</v>
      </c>
      <c r="F175" s="18">
        <f t="shared" si="8"/>
        <v>2420.3190000000013</v>
      </c>
      <c r="G175" s="19">
        <f t="shared" si="9"/>
        <v>51.650000000000091</v>
      </c>
      <c r="H175" s="20">
        <f t="shared" si="10"/>
        <v>7.6442000000000689</v>
      </c>
    </row>
    <row r="176" spans="1:8" ht="15.75" customHeight="1" x14ac:dyDescent="0.15">
      <c r="A176" s="12">
        <v>45751</v>
      </c>
      <c r="B176" s="13" t="s">
        <v>6</v>
      </c>
      <c r="C176" s="79">
        <v>0.92930000000000001</v>
      </c>
      <c r="D176" s="81">
        <v>1030</v>
      </c>
      <c r="E176" s="17">
        <f t="shared" si="7"/>
        <v>72.821000000000026</v>
      </c>
      <c r="F176" s="18">
        <f t="shared" si="8"/>
        <v>4005.1550000000016</v>
      </c>
      <c r="G176" s="19">
        <f t="shared" si="9"/>
        <v>51.5</v>
      </c>
      <c r="H176" s="20">
        <f t="shared" si="10"/>
        <v>-21.321000000000026</v>
      </c>
    </row>
    <row r="177" spans="1:8" ht="15.75" customHeight="1" x14ac:dyDescent="0.15">
      <c r="A177" s="12">
        <v>45754</v>
      </c>
      <c r="B177" s="13" t="s">
        <v>2</v>
      </c>
      <c r="C177" s="79">
        <v>0.94479999999999997</v>
      </c>
      <c r="D177" s="81">
        <v>1032</v>
      </c>
      <c r="E177" s="17">
        <f t="shared" si="7"/>
        <v>56.966400000000021</v>
      </c>
      <c r="F177" s="18">
        <f t="shared" si="8"/>
        <v>3133.152000000001</v>
      </c>
      <c r="G177" s="19">
        <f t="shared" si="9"/>
        <v>51.600000000000023</v>
      </c>
      <c r="H177" s="20">
        <f t="shared" si="10"/>
        <v>-5.3663999999999987</v>
      </c>
    </row>
    <row r="178" spans="1:8" ht="15.75" customHeight="1" x14ac:dyDescent="0.15">
      <c r="A178" s="12">
        <v>45755</v>
      </c>
      <c r="B178" s="13" t="s">
        <v>3</v>
      </c>
      <c r="C178" s="79">
        <v>0.97870000000000001</v>
      </c>
      <c r="D178" s="81">
        <v>1032</v>
      </c>
      <c r="E178" s="17">
        <f t="shared" si="7"/>
        <v>21.981599999999958</v>
      </c>
      <c r="F178" s="18">
        <f t="shared" si="8"/>
        <v>1208.9879999999976</v>
      </c>
      <c r="G178" s="19">
        <f t="shared" si="9"/>
        <v>51.600000000000023</v>
      </c>
      <c r="H178" s="20">
        <f t="shared" si="10"/>
        <v>29.618400000000065</v>
      </c>
    </row>
    <row r="179" spans="1:8" ht="15.75" customHeight="1" x14ac:dyDescent="0.15">
      <c r="A179" s="12">
        <v>45756</v>
      </c>
      <c r="B179" s="13" t="s">
        <v>4</v>
      </c>
      <c r="C179" s="79">
        <v>0.94769999999999999</v>
      </c>
      <c r="D179" s="81">
        <v>1032</v>
      </c>
      <c r="E179" s="17">
        <f t="shared" si="7"/>
        <v>53.973600000000033</v>
      </c>
      <c r="F179" s="18">
        <f t="shared" si="8"/>
        <v>2968.5480000000016</v>
      </c>
      <c r="G179" s="19">
        <f t="shared" si="9"/>
        <v>51.600000000000023</v>
      </c>
      <c r="H179" s="20">
        <f t="shared" si="10"/>
        <v>-2.3736000000000104</v>
      </c>
    </row>
    <row r="180" spans="1:8" ht="15.75" customHeight="1" x14ac:dyDescent="0.15">
      <c r="A180" s="12">
        <v>45757</v>
      </c>
      <c r="B180" s="13" t="s">
        <v>5</v>
      </c>
      <c r="C180" s="79">
        <v>0.9506</v>
      </c>
      <c r="D180" s="81">
        <v>1033</v>
      </c>
      <c r="E180" s="17">
        <f t="shared" si="7"/>
        <v>51.030200000000036</v>
      </c>
      <c r="F180" s="18">
        <f t="shared" si="8"/>
        <v>2806.6610000000019</v>
      </c>
      <c r="G180" s="19">
        <f t="shared" si="9"/>
        <v>51.650000000000091</v>
      </c>
      <c r="H180" s="20">
        <f t="shared" si="10"/>
        <v>0.61980000000005475</v>
      </c>
    </row>
    <row r="181" spans="1:8" ht="15.75" customHeight="1" x14ac:dyDescent="0.15">
      <c r="A181" s="12">
        <v>45758</v>
      </c>
      <c r="B181" s="13" t="s">
        <v>6</v>
      </c>
      <c r="C181" s="79">
        <v>0.92159999999999997</v>
      </c>
      <c r="D181" s="62"/>
      <c r="E181" s="17">
        <f t="shared" si="7"/>
        <v>0</v>
      </c>
      <c r="F181" s="18">
        <f t="shared" si="8"/>
        <v>0</v>
      </c>
      <c r="G181" s="19">
        <f t="shared" si="9"/>
        <v>0</v>
      </c>
      <c r="H181" s="20">
        <f t="shared" si="10"/>
        <v>0</v>
      </c>
    </row>
  </sheetData>
  <autoFilter ref="A6:F156" xr:uid="{00000000-0009-0000-0000-000009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6">
    <cfRule type="cellIs" dxfId="59" priority="7" operator="lessThan">
      <formula>"92%"</formula>
    </cfRule>
  </conditionalFormatting>
  <conditionalFormatting sqref="C7:C156">
    <cfRule type="cellIs" dxfId="58" priority="4" operator="lessThan">
      <formula>"90%"</formula>
    </cfRule>
    <cfRule type="cellIs" dxfId="57" priority="5" operator="lessThan">
      <formula>"94%"</formula>
    </cfRule>
  </conditionalFormatting>
  <conditionalFormatting sqref="H1:H181">
    <cfRule type="cellIs" dxfId="56" priority="6" operator="lessThan">
      <formula>0</formula>
    </cfRule>
  </conditionalFormatting>
  <conditionalFormatting sqref="C157:C181">
    <cfRule type="cellIs" dxfId="14" priority="3" operator="lessThan">
      <formula>"92%"</formula>
    </cfRule>
  </conditionalFormatting>
  <conditionalFormatting sqref="C157:C181">
    <cfRule type="cellIs" dxfId="13" priority="1" operator="lessThan">
      <formula>"90%"</formula>
    </cfRule>
    <cfRule type="cellIs" dxfId="12" priority="2" operator="lessThan">
      <formula>"94%"</formula>
    </cfRule>
  </conditionalFormatting>
  <printOptions horizontalCentered="1" gridLines="1"/>
  <pageMargins left="0" right="0" top="1.0432357043235705" bottom="0" header="0" footer="0"/>
  <pageSetup scale="68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  <outlinePr summaryBelow="0" summaryRight="0"/>
    <pageSetUpPr fitToPage="1"/>
  </sheetPr>
  <dimension ref="A1:H181"/>
  <sheetViews>
    <sheetView workbookViewId="0">
      <pane ySplit="6" topLeftCell="A149" activePane="bottomLeft" state="frozen"/>
      <selection pane="bottomLeft" activeCell="J175" sqref="J175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17.5" customWidth="1"/>
  </cols>
  <sheetData>
    <row r="1" spans="1:8" ht="27" thickBot="1" x14ac:dyDescent="0.3">
      <c r="A1" s="1"/>
      <c r="B1" s="1"/>
      <c r="C1" s="1"/>
      <c r="D1" s="1"/>
      <c r="E1" s="2"/>
      <c r="F1" s="2"/>
      <c r="G1" s="3"/>
      <c r="H1" s="4">
        <f>SUM(H7:H157)</f>
        <v>-455.61899999999741</v>
      </c>
    </row>
    <row r="2" spans="1:8" ht="17" thickTop="1" x14ac:dyDescent="0.2">
      <c r="A2" s="63" t="s">
        <v>20</v>
      </c>
      <c r="B2" s="64"/>
      <c r="C2" s="64"/>
      <c r="D2" s="64"/>
      <c r="E2" s="65" t="s">
        <v>0</v>
      </c>
      <c r="F2" s="66"/>
      <c r="G2" s="5" t="s">
        <v>8</v>
      </c>
      <c r="H2" s="67" t="s">
        <v>33</v>
      </c>
    </row>
    <row r="3" spans="1:8" ht="24" x14ac:dyDescent="0.25">
      <c r="A3" s="64"/>
      <c r="B3" s="64"/>
      <c r="C3" s="64"/>
      <c r="D3" s="64"/>
      <c r="E3" s="68">
        <f>SUM(F7:F128)</f>
        <v>170567.28699999998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560</v>
      </c>
      <c r="E7" s="17">
        <f t="shared" ref="E7:E38" si="0">D7-(C7*D7)</f>
        <v>0</v>
      </c>
      <c r="F7" s="18">
        <f t="shared" ref="F7:F158" si="1">E7*$E$5</f>
        <v>0</v>
      </c>
      <c r="G7" s="19">
        <v>0</v>
      </c>
      <c r="H7" s="20">
        <f t="shared" ref="H7:H158" si="2">G7-E7</f>
        <v>0</v>
      </c>
    </row>
    <row r="8" spans="1:8" ht="13" x14ac:dyDescent="0.15">
      <c r="A8" s="12">
        <v>45517</v>
      </c>
      <c r="B8" s="13" t="s">
        <v>3</v>
      </c>
      <c r="C8" s="14">
        <v>0.99480000000000002</v>
      </c>
      <c r="D8" s="16">
        <v>581</v>
      </c>
      <c r="E8" s="17">
        <f t="shared" si="0"/>
        <v>3.0212000000000216</v>
      </c>
      <c r="F8" s="18">
        <f t="shared" si="1"/>
        <v>166.16600000000119</v>
      </c>
      <c r="G8" s="19">
        <f t="shared" ref="G8:G158" si="3">D8-(D8*G$3)</f>
        <v>29.050000000000068</v>
      </c>
      <c r="H8" s="20">
        <f t="shared" si="2"/>
        <v>26.028800000000047</v>
      </c>
    </row>
    <row r="9" spans="1:8" ht="13" x14ac:dyDescent="0.15">
      <c r="A9" s="12">
        <v>45518</v>
      </c>
      <c r="B9" s="13" t="s">
        <v>4</v>
      </c>
      <c r="C9" s="14">
        <v>0.99150000000000005</v>
      </c>
      <c r="D9" s="16">
        <v>589</v>
      </c>
      <c r="E9" s="17">
        <f t="shared" si="0"/>
        <v>5.00649999999996</v>
      </c>
      <c r="F9" s="18">
        <f t="shared" si="1"/>
        <v>275.3574999999978</v>
      </c>
      <c r="G9" s="19">
        <f t="shared" si="3"/>
        <v>29.450000000000045</v>
      </c>
      <c r="H9" s="20">
        <f t="shared" si="2"/>
        <v>24.443500000000085</v>
      </c>
    </row>
    <row r="10" spans="1:8" ht="13" x14ac:dyDescent="0.15">
      <c r="A10" s="12">
        <v>45519</v>
      </c>
      <c r="B10" s="13" t="s">
        <v>5</v>
      </c>
      <c r="C10" s="14">
        <v>0.98150000000000004</v>
      </c>
      <c r="D10" s="16">
        <v>594</v>
      </c>
      <c r="E10" s="17">
        <f t="shared" si="0"/>
        <v>10.989000000000033</v>
      </c>
      <c r="F10" s="18">
        <f t="shared" si="1"/>
        <v>604.3950000000018</v>
      </c>
      <c r="G10" s="19">
        <f t="shared" si="3"/>
        <v>29.700000000000045</v>
      </c>
      <c r="H10" s="20">
        <f t="shared" si="2"/>
        <v>18.711000000000013</v>
      </c>
    </row>
    <row r="11" spans="1:8" ht="13" x14ac:dyDescent="0.15">
      <c r="A11" s="12">
        <v>45520</v>
      </c>
      <c r="B11" s="13" t="s">
        <v>6</v>
      </c>
      <c r="C11" s="14">
        <v>0.96130000000000004</v>
      </c>
      <c r="D11" s="16">
        <v>594</v>
      </c>
      <c r="E11" s="17">
        <f t="shared" si="0"/>
        <v>22.987799999999993</v>
      </c>
      <c r="F11" s="18">
        <f t="shared" si="1"/>
        <v>1264.3289999999997</v>
      </c>
      <c r="G11" s="19">
        <f t="shared" si="3"/>
        <v>29.700000000000045</v>
      </c>
      <c r="H11" s="20">
        <f t="shared" si="2"/>
        <v>6.7122000000000526</v>
      </c>
    </row>
    <row r="12" spans="1:8" ht="13" x14ac:dyDescent="0.15">
      <c r="A12" s="12">
        <v>45523</v>
      </c>
      <c r="B12" s="13" t="s">
        <v>2</v>
      </c>
      <c r="C12" s="14">
        <v>0.94730000000000003</v>
      </c>
      <c r="D12" s="16">
        <v>607</v>
      </c>
      <c r="E12" s="17">
        <f t="shared" si="0"/>
        <v>31.988899999999944</v>
      </c>
      <c r="F12" s="18">
        <f t="shared" si="1"/>
        <v>1759.389499999997</v>
      </c>
      <c r="G12" s="19">
        <f t="shared" si="3"/>
        <v>30.350000000000023</v>
      </c>
      <c r="H12" s="20">
        <f t="shared" si="2"/>
        <v>-1.6388999999999214</v>
      </c>
    </row>
    <row r="13" spans="1:8" ht="13" x14ac:dyDescent="0.15">
      <c r="A13" s="12">
        <v>45524</v>
      </c>
      <c r="B13" s="13" t="s">
        <v>3</v>
      </c>
      <c r="C13" s="14">
        <v>0.93620000000000003</v>
      </c>
      <c r="D13" s="16">
        <v>611</v>
      </c>
      <c r="E13" s="17">
        <f t="shared" si="0"/>
        <v>38.981800000000021</v>
      </c>
      <c r="F13" s="18">
        <f t="shared" si="1"/>
        <v>2143.9990000000012</v>
      </c>
      <c r="G13" s="19">
        <f t="shared" si="3"/>
        <v>30.550000000000068</v>
      </c>
      <c r="H13" s="20">
        <f t="shared" si="2"/>
        <v>-8.4317999999999529</v>
      </c>
    </row>
    <row r="14" spans="1:8" ht="13" x14ac:dyDescent="0.15">
      <c r="A14" s="12">
        <v>45525</v>
      </c>
      <c r="B14" s="13" t="s">
        <v>4</v>
      </c>
      <c r="C14" s="14">
        <v>0.93779999999999997</v>
      </c>
      <c r="D14" s="16">
        <v>611</v>
      </c>
      <c r="E14" s="17">
        <f t="shared" si="0"/>
        <v>38.004199999999969</v>
      </c>
      <c r="F14" s="18">
        <f t="shared" si="1"/>
        <v>2090.2309999999984</v>
      </c>
      <c r="G14" s="19">
        <f t="shared" si="3"/>
        <v>30.550000000000068</v>
      </c>
      <c r="H14" s="20">
        <f t="shared" si="2"/>
        <v>-7.4541999999999007</v>
      </c>
    </row>
    <row r="15" spans="1:8" ht="13" x14ac:dyDescent="0.15">
      <c r="A15" s="12">
        <v>45526</v>
      </c>
      <c r="B15" s="13" t="s">
        <v>5</v>
      </c>
      <c r="C15" s="14">
        <v>0.95750000000000002</v>
      </c>
      <c r="D15" s="16">
        <v>612</v>
      </c>
      <c r="E15" s="17">
        <f t="shared" si="0"/>
        <v>26.009999999999991</v>
      </c>
      <c r="F15" s="18">
        <f t="shared" si="1"/>
        <v>1430.5499999999995</v>
      </c>
      <c r="G15" s="19">
        <f t="shared" si="3"/>
        <v>30.600000000000023</v>
      </c>
      <c r="H15" s="20">
        <f t="shared" si="2"/>
        <v>4.5900000000000318</v>
      </c>
    </row>
    <row r="16" spans="1:8" ht="13" x14ac:dyDescent="0.15">
      <c r="A16" s="12">
        <v>45527</v>
      </c>
      <c r="B16" s="13" t="s">
        <v>6</v>
      </c>
      <c r="C16" s="14">
        <v>0.93310000000000004</v>
      </c>
      <c r="D16" s="16">
        <v>613</v>
      </c>
      <c r="E16" s="17">
        <f t="shared" si="0"/>
        <v>41.009699999999953</v>
      </c>
      <c r="F16" s="18">
        <f t="shared" si="1"/>
        <v>2255.5334999999973</v>
      </c>
      <c r="G16" s="19">
        <f t="shared" si="3"/>
        <v>30.649999999999977</v>
      </c>
      <c r="H16" s="20">
        <f t="shared" si="2"/>
        <v>-10.359699999999975</v>
      </c>
    </row>
    <row r="17" spans="1:8" ht="13" x14ac:dyDescent="0.15">
      <c r="A17" s="12">
        <v>45530</v>
      </c>
      <c r="B17" s="13" t="s">
        <v>2</v>
      </c>
      <c r="C17" s="14">
        <v>0.93830000000000002</v>
      </c>
      <c r="D17" s="16">
        <v>616</v>
      </c>
      <c r="E17" s="17">
        <f t="shared" si="0"/>
        <v>38.007200000000012</v>
      </c>
      <c r="F17" s="18">
        <f t="shared" si="1"/>
        <v>2090.3960000000006</v>
      </c>
      <c r="G17" s="19">
        <f t="shared" si="3"/>
        <v>30.800000000000068</v>
      </c>
      <c r="H17" s="20">
        <f t="shared" si="2"/>
        <v>-7.2071999999999434</v>
      </c>
    </row>
    <row r="18" spans="1:8" ht="13" x14ac:dyDescent="0.15">
      <c r="A18" s="12">
        <v>45531</v>
      </c>
      <c r="B18" s="13" t="s">
        <v>3</v>
      </c>
      <c r="C18" s="14">
        <v>0.96930000000000005</v>
      </c>
      <c r="D18" s="16">
        <v>618</v>
      </c>
      <c r="E18" s="17">
        <f t="shared" si="0"/>
        <v>18.972599999999943</v>
      </c>
      <c r="F18" s="18">
        <f t="shared" si="1"/>
        <v>1043.4929999999968</v>
      </c>
      <c r="G18" s="19">
        <f t="shared" si="3"/>
        <v>30.899999999999977</v>
      </c>
      <c r="H18" s="20">
        <f t="shared" si="2"/>
        <v>11.927400000000034</v>
      </c>
    </row>
    <row r="19" spans="1:8" ht="13" x14ac:dyDescent="0.15">
      <c r="A19" s="12">
        <v>45532</v>
      </c>
      <c r="B19" s="13" t="s">
        <v>4</v>
      </c>
      <c r="C19" s="14">
        <v>0.95950000000000002</v>
      </c>
      <c r="D19" s="16">
        <v>618</v>
      </c>
      <c r="E19" s="17">
        <f t="shared" si="0"/>
        <v>25.028999999999996</v>
      </c>
      <c r="F19" s="18">
        <f t="shared" si="1"/>
        <v>1376.5949999999998</v>
      </c>
      <c r="G19" s="19">
        <f t="shared" si="3"/>
        <v>30.899999999999977</v>
      </c>
      <c r="H19" s="20">
        <f t="shared" si="2"/>
        <v>5.8709999999999809</v>
      </c>
    </row>
    <row r="20" spans="1:8" ht="13" x14ac:dyDescent="0.15">
      <c r="A20" s="12">
        <v>45533</v>
      </c>
      <c r="B20" s="13" t="s">
        <v>5</v>
      </c>
      <c r="C20" s="14">
        <v>0.95340000000000003</v>
      </c>
      <c r="D20" s="16">
        <v>622</v>
      </c>
      <c r="E20" s="17">
        <f t="shared" si="0"/>
        <v>28.985199999999963</v>
      </c>
      <c r="F20" s="18">
        <f t="shared" si="1"/>
        <v>1594.1859999999979</v>
      </c>
      <c r="G20" s="19">
        <f t="shared" si="3"/>
        <v>31.100000000000023</v>
      </c>
      <c r="H20" s="20">
        <f t="shared" si="2"/>
        <v>2.1148000000000593</v>
      </c>
    </row>
    <row r="21" spans="1:8" ht="13" x14ac:dyDescent="0.15">
      <c r="A21" s="12">
        <v>45534</v>
      </c>
      <c r="B21" s="13" t="s">
        <v>6</v>
      </c>
      <c r="C21" s="14">
        <v>0.93889999999999996</v>
      </c>
      <c r="D21" s="16">
        <v>622</v>
      </c>
      <c r="E21" s="17">
        <f t="shared" si="0"/>
        <v>38.004200000000083</v>
      </c>
      <c r="F21" s="18">
        <f t="shared" si="1"/>
        <v>2090.2310000000043</v>
      </c>
      <c r="G21" s="19">
        <f t="shared" si="3"/>
        <v>31.100000000000023</v>
      </c>
      <c r="H21" s="20">
        <f t="shared" si="2"/>
        <v>-6.9042000000000598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0.95650000000000002</v>
      </c>
      <c r="D23" s="16">
        <v>621</v>
      </c>
      <c r="E23" s="17">
        <f t="shared" si="0"/>
        <v>27.013500000000022</v>
      </c>
      <c r="F23" s="18">
        <f t="shared" si="1"/>
        <v>1485.7425000000012</v>
      </c>
      <c r="G23" s="19">
        <f t="shared" si="3"/>
        <v>31.050000000000068</v>
      </c>
      <c r="H23" s="20">
        <f t="shared" si="2"/>
        <v>4.0365000000000464</v>
      </c>
    </row>
    <row r="24" spans="1:8" ht="13" x14ac:dyDescent="0.15">
      <c r="A24" s="12">
        <v>45539</v>
      </c>
      <c r="B24" s="13" t="s">
        <v>4</v>
      </c>
      <c r="C24" s="14">
        <v>0.9647</v>
      </c>
      <c r="D24" s="16">
        <v>623</v>
      </c>
      <c r="E24" s="17">
        <f t="shared" si="0"/>
        <v>21.991899999999987</v>
      </c>
      <c r="F24" s="18">
        <f t="shared" si="1"/>
        <v>1209.5544999999993</v>
      </c>
      <c r="G24" s="19">
        <f t="shared" si="3"/>
        <v>31.149999999999977</v>
      </c>
      <c r="H24" s="20">
        <f t="shared" si="2"/>
        <v>9.1580999999999904</v>
      </c>
    </row>
    <row r="25" spans="1:8" ht="13" x14ac:dyDescent="0.15">
      <c r="A25" s="12">
        <v>45540</v>
      </c>
      <c r="B25" s="13" t="s">
        <v>5</v>
      </c>
      <c r="C25" s="14">
        <v>0.96630000000000005</v>
      </c>
      <c r="D25" s="16">
        <v>623</v>
      </c>
      <c r="E25" s="17">
        <f t="shared" si="0"/>
        <v>20.995099999999979</v>
      </c>
      <c r="F25" s="18">
        <f t="shared" si="1"/>
        <v>1154.7304999999988</v>
      </c>
      <c r="G25" s="19">
        <f t="shared" si="3"/>
        <v>31.149999999999977</v>
      </c>
      <c r="H25" s="20">
        <f t="shared" si="2"/>
        <v>10.154899999999998</v>
      </c>
    </row>
    <row r="26" spans="1:8" ht="13" x14ac:dyDescent="0.15">
      <c r="A26" s="12">
        <v>45541</v>
      </c>
      <c r="B26" s="13" t="s">
        <v>6</v>
      </c>
      <c r="C26" s="14">
        <v>0.94869999999999999</v>
      </c>
      <c r="D26" s="16">
        <v>624</v>
      </c>
      <c r="E26" s="17">
        <f t="shared" si="0"/>
        <v>32.011200000000031</v>
      </c>
      <c r="F26" s="18">
        <f t="shared" si="1"/>
        <v>1760.6160000000018</v>
      </c>
      <c r="G26" s="19">
        <f t="shared" si="3"/>
        <v>31.200000000000045</v>
      </c>
      <c r="H26" s="20">
        <f t="shared" si="2"/>
        <v>-0.81119999999998527</v>
      </c>
    </row>
    <row r="27" spans="1:8" ht="13" x14ac:dyDescent="0.15">
      <c r="A27" s="12">
        <v>45544</v>
      </c>
      <c r="B27" s="13" t="s">
        <v>2</v>
      </c>
      <c r="C27" s="14">
        <v>0.94899999999999995</v>
      </c>
      <c r="D27" s="16">
        <v>628</v>
      </c>
      <c r="E27" s="17">
        <f t="shared" si="0"/>
        <v>32.02800000000002</v>
      </c>
      <c r="F27" s="18">
        <f t="shared" si="1"/>
        <v>1761.5400000000011</v>
      </c>
      <c r="G27" s="19">
        <f t="shared" si="3"/>
        <v>31.399999999999977</v>
      </c>
      <c r="H27" s="20">
        <f t="shared" si="2"/>
        <v>-0.62800000000004275</v>
      </c>
    </row>
    <row r="28" spans="1:8" ht="13" x14ac:dyDescent="0.15">
      <c r="A28" s="12">
        <v>45545</v>
      </c>
      <c r="B28" s="13" t="s">
        <v>3</v>
      </c>
      <c r="C28" s="14">
        <v>0.94899999999999995</v>
      </c>
      <c r="D28" s="16">
        <v>628</v>
      </c>
      <c r="E28" s="17">
        <f t="shared" si="0"/>
        <v>32.02800000000002</v>
      </c>
      <c r="F28" s="18">
        <f t="shared" si="1"/>
        <v>1761.5400000000011</v>
      </c>
      <c r="G28" s="19">
        <f t="shared" si="3"/>
        <v>31.399999999999977</v>
      </c>
      <c r="H28" s="20">
        <f t="shared" si="2"/>
        <v>-0.62800000000004275</v>
      </c>
    </row>
    <row r="29" spans="1:8" ht="13" x14ac:dyDescent="0.15">
      <c r="A29" s="12">
        <v>45546</v>
      </c>
      <c r="B29" s="13" t="s">
        <v>4</v>
      </c>
      <c r="C29" s="14">
        <v>0.95220000000000005</v>
      </c>
      <c r="D29" s="16">
        <v>628</v>
      </c>
      <c r="E29" s="17">
        <f t="shared" si="0"/>
        <v>30.018399999999929</v>
      </c>
      <c r="F29" s="18">
        <f t="shared" si="1"/>
        <v>1651.0119999999961</v>
      </c>
      <c r="G29" s="19">
        <f t="shared" si="3"/>
        <v>31.399999999999977</v>
      </c>
      <c r="H29" s="20">
        <f t="shared" si="2"/>
        <v>1.3816000000000486</v>
      </c>
    </row>
    <row r="30" spans="1:8" ht="13" x14ac:dyDescent="0.15">
      <c r="A30" s="12">
        <v>45547</v>
      </c>
      <c r="B30" s="13" t="s">
        <v>5</v>
      </c>
      <c r="C30" s="14">
        <v>0.96970000000000001</v>
      </c>
      <c r="D30" s="16">
        <v>627</v>
      </c>
      <c r="E30" s="17">
        <f t="shared" si="0"/>
        <v>18.998100000000022</v>
      </c>
      <c r="F30" s="18">
        <f t="shared" si="1"/>
        <v>1044.8955000000012</v>
      </c>
      <c r="G30" s="19">
        <f t="shared" si="3"/>
        <v>31.350000000000023</v>
      </c>
      <c r="H30" s="20">
        <f t="shared" si="2"/>
        <v>12.351900000000001</v>
      </c>
    </row>
    <row r="31" spans="1:8" ht="13" x14ac:dyDescent="0.15">
      <c r="A31" s="12">
        <v>45548</v>
      </c>
      <c r="B31" s="13" t="s">
        <v>6</v>
      </c>
      <c r="C31" s="14">
        <v>0.94420000000000004</v>
      </c>
      <c r="D31" s="16">
        <v>627</v>
      </c>
      <c r="E31" s="17">
        <f t="shared" si="0"/>
        <v>34.986599999999953</v>
      </c>
      <c r="F31" s="18">
        <f t="shared" si="1"/>
        <v>1924.2629999999974</v>
      </c>
      <c r="G31" s="19">
        <f t="shared" si="3"/>
        <v>31.350000000000023</v>
      </c>
      <c r="H31" s="20">
        <f t="shared" si="2"/>
        <v>-3.6365999999999303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0.98250000000000004</v>
      </c>
      <c r="D33" s="16">
        <v>630</v>
      </c>
      <c r="E33" s="17">
        <f t="shared" si="0"/>
        <v>11.024999999999977</v>
      </c>
      <c r="F33" s="18">
        <f t="shared" si="1"/>
        <v>606.37499999999875</v>
      </c>
      <c r="G33" s="19">
        <f t="shared" si="3"/>
        <v>31.5</v>
      </c>
      <c r="H33" s="20">
        <f t="shared" si="2"/>
        <v>20.475000000000023</v>
      </c>
    </row>
    <row r="34" spans="1:8" ht="13" x14ac:dyDescent="0.15">
      <c r="A34" s="12">
        <v>45553</v>
      </c>
      <c r="B34" s="13" t="s">
        <v>4</v>
      </c>
      <c r="C34" s="14">
        <v>0.98250000000000004</v>
      </c>
      <c r="D34" s="16">
        <v>630</v>
      </c>
      <c r="E34" s="17">
        <f t="shared" si="0"/>
        <v>11.024999999999977</v>
      </c>
      <c r="F34" s="18">
        <f t="shared" si="1"/>
        <v>606.37499999999875</v>
      </c>
      <c r="G34" s="19">
        <f t="shared" si="3"/>
        <v>31.5</v>
      </c>
      <c r="H34" s="20">
        <f t="shared" si="2"/>
        <v>20.475000000000023</v>
      </c>
    </row>
    <row r="35" spans="1:8" ht="13" x14ac:dyDescent="0.15">
      <c r="A35" s="12">
        <v>45554</v>
      </c>
      <c r="B35" s="13" t="s">
        <v>5</v>
      </c>
      <c r="C35" s="14">
        <v>0.9667</v>
      </c>
      <c r="D35" s="16">
        <v>630</v>
      </c>
      <c r="E35" s="17">
        <f t="shared" si="0"/>
        <v>20.979000000000042</v>
      </c>
      <c r="F35" s="18">
        <f t="shared" si="1"/>
        <v>1153.8450000000023</v>
      </c>
      <c r="G35" s="19">
        <f t="shared" si="3"/>
        <v>31.5</v>
      </c>
      <c r="H35" s="20">
        <f t="shared" si="2"/>
        <v>10.520999999999958</v>
      </c>
    </row>
    <row r="36" spans="1:8" ht="13" x14ac:dyDescent="0.15">
      <c r="A36" s="12">
        <v>45555</v>
      </c>
      <c r="B36" s="13" t="s">
        <v>6</v>
      </c>
      <c r="C36" s="14">
        <v>0.94130000000000003</v>
      </c>
      <c r="D36" s="16">
        <v>630</v>
      </c>
      <c r="E36" s="17">
        <f t="shared" si="0"/>
        <v>36.980999999999995</v>
      </c>
      <c r="F36" s="18">
        <f t="shared" si="1"/>
        <v>2033.9549999999997</v>
      </c>
      <c r="G36" s="19">
        <f t="shared" si="3"/>
        <v>31.5</v>
      </c>
      <c r="H36" s="20">
        <f t="shared" si="2"/>
        <v>-5.4809999999999945</v>
      </c>
    </row>
    <row r="37" spans="1:8" ht="13" x14ac:dyDescent="0.15">
      <c r="A37" s="12">
        <v>45558</v>
      </c>
      <c r="B37" s="13" t="s">
        <v>2</v>
      </c>
      <c r="C37" s="14">
        <v>0.94289999999999996</v>
      </c>
      <c r="D37" s="16">
        <v>630</v>
      </c>
      <c r="E37" s="17">
        <f t="shared" si="0"/>
        <v>35.97300000000007</v>
      </c>
      <c r="F37" s="18">
        <f t="shared" si="1"/>
        <v>1978.515000000004</v>
      </c>
      <c r="G37" s="19">
        <f t="shared" si="3"/>
        <v>31.5</v>
      </c>
      <c r="H37" s="20">
        <f t="shared" si="2"/>
        <v>-4.47300000000007</v>
      </c>
    </row>
    <row r="38" spans="1:8" ht="13" x14ac:dyDescent="0.15">
      <c r="A38" s="12">
        <v>45559</v>
      </c>
      <c r="B38" s="13" t="s">
        <v>3</v>
      </c>
      <c r="C38" s="14">
        <v>0.9556</v>
      </c>
      <c r="D38" s="16">
        <v>630</v>
      </c>
      <c r="E38" s="17">
        <f t="shared" si="0"/>
        <v>27.97199999999998</v>
      </c>
      <c r="F38" s="18">
        <f t="shared" si="1"/>
        <v>1538.4599999999989</v>
      </c>
      <c r="G38" s="19">
        <f t="shared" si="3"/>
        <v>31.5</v>
      </c>
      <c r="H38" s="20">
        <f t="shared" si="2"/>
        <v>3.52800000000002</v>
      </c>
    </row>
    <row r="39" spans="1:8" ht="13" x14ac:dyDescent="0.15">
      <c r="A39" s="12">
        <v>45560</v>
      </c>
      <c r="B39" s="13" t="s">
        <v>4</v>
      </c>
      <c r="C39" s="14">
        <v>0.95399999999999996</v>
      </c>
      <c r="D39" s="16">
        <v>630</v>
      </c>
      <c r="E39" s="17">
        <f t="shared" ref="E39:E70" si="4">D39-(C39*D39)</f>
        <v>28.980000000000018</v>
      </c>
      <c r="F39" s="18">
        <f t="shared" si="1"/>
        <v>1593.900000000001</v>
      </c>
      <c r="G39" s="19">
        <f t="shared" si="3"/>
        <v>31.5</v>
      </c>
      <c r="H39" s="20">
        <f t="shared" si="2"/>
        <v>2.5199999999999818</v>
      </c>
    </row>
    <row r="40" spans="1:8" ht="13" x14ac:dyDescent="0.15">
      <c r="A40" s="12">
        <v>45561</v>
      </c>
      <c r="B40" s="13" t="s">
        <v>5</v>
      </c>
      <c r="C40" s="14">
        <v>0.92859999999999998</v>
      </c>
      <c r="D40" s="16">
        <v>630</v>
      </c>
      <c r="E40" s="17">
        <f t="shared" si="4"/>
        <v>44.981999999999971</v>
      </c>
      <c r="F40" s="18">
        <f t="shared" si="1"/>
        <v>2474.0099999999984</v>
      </c>
      <c r="G40" s="19">
        <f t="shared" si="3"/>
        <v>31.5</v>
      </c>
      <c r="H40" s="20">
        <f t="shared" si="2"/>
        <v>-13.481999999999971</v>
      </c>
    </row>
    <row r="41" spans="1:8" ht="13" x14ac:dyDescent="0.15">
      <c r="A41" s="12">
        <v>45562</v>
      </c>
      <c r="B41" s="13" t="s">
        <v>6</v>
      </c>
      <c r="C41" s="14">
        <v>0.95240000000000002</v>
      </c>
      <c r="D41" s="16">
        <v>630</v>
      </c>
      <c r="E41" s="17">
        <f t="shared" si="4"/>
        <v>29.987999999999943</v>
      </c>
      <c r="F41" s="18">
        <f t="shared" si="1"/>
        <v>1649.339999999997</v>
      </c>
      <c r="G41" s="19">
        <f t="shared" si="3"/>
        <v>31.5</v>
      </c>
      <c r="H41" s="20">
        <f t="shared" si="2"/>
        <v>1.5120000000000573</v>
      </c>
    </row>
    <row r="42" spans="1:8" ht="13" x14ac:dyDescent="0.15">
      <c r="A42" s="12">
        <v>45565</v>
      </c>
      <c r="B42" s="13" t="s">
        <v>2</v>
      </c>
      <c r="C42" s="14">
        <v>0.9395</v>
      </c>
      <c r="D42" s="16">
        <v>628</v>
      </c>
      <c r="E42" s="17">
        <f t="shared" si="4"/>
        <v>37.994000000000028</v>
      </c>
      <c r="F42" s="18">
        <f t="shared" si="1"/>
        <v>2089.6700000000014</v>
      </c>
      <c r="G42" s="19">
        <f t="shared" si="3"/>
        <v>31.399999999999977</v>
      </c>
      <c r="H42" s="20">
        <f t="shared" si="2"/>
        <v>-6.5940000000000509</v>
      </c>
    </row>
    <row r="43" spans="1:8" ht="13" x14ac:dyDescent="0.15">
      <c r="A43" s="12">
        <v>45566</v>
      </c>
      <c r="B43" s="13" t="s">
        <v>3</v>
      </c>
      <c r="C43" s="14">
        <v>0.96499999999999997</v>
      </c>
      <c r="D43" s="16">
        <v>628</v>
      </c>
      <c r="E43" s="17">
        <f t="shared" si="4"/>
        <v>21.980000000000018</v>
      </c>
      <c r="F43" s="18">
        <f t="shared" si="1"/>
        <v>1208.900000000001</v>
      </c>
      <c r="G43" s="19">
        <f t="shared" si="3"/>
        <v>31.399999999999977</v>
      </c>
      <c r="H43" s="20">
        <f t="shared" si="2"/>
        <v>9.4199999999999591</v>
      </c>
    </row>
    <row r="44" spans="1:8" ht="13" x14ac:dyDescent="0.15">
      <c r="A44" s="12">
        <v>45567</v>
      </c>
      <c r="B44" s="13" t="s">
        <v>4</v>
      </c>
      <c r="C44" s="14">
        <v>0.95709999999999995</v>
      </c>
      <c r="D44" s="16">
        <v>629</v>
      </c>
      <c r="E44" s="17">
        <f t="shared" si="4"/>
        <v>26.984100000000012</v>
      </c>
      <c r="F44" s="18">
        <f t="shared" si="1"/>
        <v>1484.1255000000006</v>
      </c>
      <c r="G44" s="19">
        <f t="shared" si="3"/>
        <v>31.450000000000045</v>
      </c>
      <c r="H44" s="20">
        <f t="shared" si="2"/>
        <v>4.4659000000000333</v>
      </c>
    </row>
    <row r="45" spans="1:8" ht="13" x14ac:dyDescent="0.15">
      <c r="A45" s="12">
        <v>45568</v>
      </c>
      <c r="B45" s="13" t="s">
        <v>5</v>
      </c>
      <c r="C45" s="14">
        <v>0.94589999999999996</v>
      </c>
      <c r="D45" s="16">
        <v>629</v>
      </c>
      <c r="E45" s="17">
        <f t="shared" si="4"/>
        <v>34.028900000000021</v>
      </c>
      <c r="F45" s="18">
        <f t="shared" si="1"/>
        <v>1871.5895000000012</v>
      </c>
      <c r="G45" s="19">
        <f t="shared" si="3"/>
        <v>31.450000000000045</v>
      </c>
      <c r="H45" s="20">
        <f t="shared" si="2"/>
        <v>-2.578899999999976</v>
      </c>
    </row>
    <row r="46" spans="1:8" ht="13" x14ac:dyDescent="0.15">
      <c r="A46" s="12">
        <v>45569</v>
      </c>
      <c r="B46" s="13" t="s">
        <v>6</v>
      </c>
      <c r="C46" s="14">
        <v>0.93</v>
      </c>
      <c r="D46" s="16">
        <v>629</v>
      </c>
      <c r="E46" s="17">
        <f t="shared" si="4"/>
        <v>44.029999999999973</v>
      </c>
      <c r="F46" s="18">
        <f t="shared" si="1"/>
        <v>2421.6499999999987</v>
      </c>
      <c r="G46" s="19">
        <f t="shared" si="3"/>
        <v>31.450000000000045</v>
      </c>
      <c r="H46" s="20">
        <f t="shared" si="2"/>
        <v>-12.579999999999927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0.92220000000000002</v>
      </c>
      <c r="D52" s="16">
        <v>630</v>
      </c>
      <c r="E52" s="17">
        <f t="shared" si="4"/>
        <v>49.01400000000001</v>
      </c>
      <c r="F52" s="18">
        <f t="shared" si="1"/>
        <v>2695.7700000000004</v>
      </c>
      <c r="G52" s="19">
        <f t="shared" si="3"/>
        <v>31.5</v>
      </c>
      <c r="H52" s="20">
        <f t="shared" si="2"/>
        <v>-17.51400000000001</v>
      </c>
    </row>
    <row r="53" spans="1:8" ht="13" x14ac:dyDescent="0.15">
      <c r="A53" s="12">
        <v>45580</v>
      </c>
      <c r="B53" s="13" t="s">
        <v>3</v>
      </c>
      <c r="C53" s="14">
        <v>0.94130000000000003</v>
      </c>
      <c r="D53" s="16">
        <v>630</v>
      </c>
      <c r="E53" s="17">
        <f t="shared" si="4"/>
        <v>36.980999999999995</v>
      </c>
      <c r="F53" s="18">
        <f t="shared" si="1"/>
        <v>2033.9549999999997</v>
      </c>
      <c r="G53" s="19">
        <f t="shared" si="3"/>
        <v>31.5</v>
      </c>
      <c r="H53" s="20">
        <f t="shared" si="2"/>
        <v>-5.4809999999999945</v>
      </c>
    </row>
    <row r="54" spans="1:8" ht="13" x14ac:dyDescent="0.15">
      <c r="A54" s="12">
        <v>45581</v>
      </c>
      <c r="B54" s="13" t="s">
        <v>4</v>
      </c>
      <c r="C54" s="29">
        <v>0.9556</v>
      </c>
      <c r="D54" s="16">
        <v>630</v>
      </c>
      <c r="E54" s="17">
        <f t="shared" si="4"/>
        <v>27.97199999999998</v>
      </c>
      <c r="F54" s="18">
        <f t="shared" si="1"/>
        <v>1538.4599999999989</v>
      </c>
      <c r="G54" s="19">
        <f t="shared" si="3"/>
        <v>31.5</v>
      </c>
      <c r="H54" s="20">
        <f t="shared" si="2"/>
        <v>3.52800000000002</v>
      </c>
    </row>
    <row r="55" spans="1:8" ht="13" x14ac:dyDescent="0.15">
      <c r="A55" s="12">
        <v>45582</v>
      </c>
      <c r="B55" s="13" t="s">
        <v>5</v>
      </c>
      <c r="C55" s="14">
        <v>0.96519999999999995</v>
      </c>
      <c r="D55" s="16">
        <v>632</v>
      </c>
      <c r="E55" s="17">
        <f t="shared" si="4"/>
        <v>21.993600000000015</v>
      </c>
      <c r="F55" s="18">
        <f t="shared" si="1"/>
        <v>1209.6480000000008</v>
      </c>
      <c r="G55" s="19">
        <f t="shared" si="3"/>
        <v>31.600000000000023</v>
      </c>
      <c r="H55" s="20">
        <f t="shared" si="2"/>
        <v>9.6064000000000078</v>
      </c>
    </row>
    <row r="56" spans="1:8" ht="13" x14ac:dyDescent="0.15">
      <c r="A56" s="12">
        <v>45583</v>
      </c>
      <c r="B56" s="13" t="s">
        <v>6</v>
      </c>
      <c r="C56" s="14">
        <v>0.95889999999999997</v>
      </c>
      <c r="D56" s="16">
        <v>633</v>
      </c>
      <c r="E56" s="17">
        <f t="shared" si="4"/>
        <v>26.016300000000001</v>
      </c>
      <c r="F56" s="18">
        <f t="shared" si="1"/>
        <v>1430.8965000000001</v>
      </c>
      <c r="G56" s="19">
        <f t="shared" si="3"/>
        <v>31.649999999999977</v>
      </c>
      <c r="H56" s="20">
        <f t="shared" si="2"/>
        <v>5.6336999999999762</v>
      </c>
    </row>
    <row r="57" spans="1:8" ht="13" x14ac:dyDescent="0.15">
      <c r="A57" s="12">
        <v>45586</v>
      </c>
      <c r="B57" s="13" t="s">
        <v>2</v>
      </c>
      <c r="C57" s="14">
        <v>0.94159999999999999</v>
      </c>
      <c r="D57" s="16">
        <v>634</v>
      </c>
      <c r="E57" s="17">
        <f t="shared" si="4"/>
        <v>37.025600000000054</v>
      </c>
      <c r="F57" s="18">
        <f t="shared" si="1"/>
        <v>2036.4080000000031</v>
      </c>
      <c r="G57" s="19">
        <f t="shared" si="3"/>
        <v>31.700000000000045</v>
      </c>
      <c r="H57" s="20">
        <f t="shared" si="2"/>
        <v>-5.3256000000000085</v>
      </c>
    </row>
    <row r="58" spans="1:8" ht="13" x14ac:dyDescent="0.15">
      <c r="A58" s="12">
        <v>45587</v>
      </c>
      <c r="B58" s="13" t="s">
        <v>3</v>
      </c>
      <c r="C58" s="14">
        <v>0.96209999999999996</v>
      </c>
      <c r="D58" s="16">
        <v>634</v>
      </c>
      <c r="E58" s="17">
        <f t="shared" si="4"/>
        <v>24.028599999999983</v>
      </c>
      <c r="F58" s="18">
        <f t="shared" si="1"/>
        <v>1321.572999999999</v>
      </c>
      <c r="G58" s="19">
        <f t="shared" si="3"/>
        <v>31.700000000000045</v>
      </c>
      <c r="H58" s="20">
        <f t="shared" si="2"/>
        <v>7.6714000000000624</v>
      </c>
    </row>
    <row r="59" spans="1:8" ht="13" x14ac:dyDescent="0.15">
      <c r="A59" s="12">
        <v>45588</v>
      </c>
      <c r="B59" s="13" t="s">
        <v>4</v>
      </c>
      <c r="C59" s="14">
        <v>0.9637</v>
      </c>
      <c r="D59" s="16">
        <v>634</v>
      </c>
      <c r="E59" s="17">
        <f t="shared" si="4"/>
        <v>23.01419999999996</v>
      </c>
      <c r="F59" s="18">
        <f t="shared" si="1"/>
        <v>1265.7809999999977</v>
      </c>
      <c r="G59" s="19">
        <f t="shared" si="3"/>
        <v>31.700000000000045</v>
      </c>
      <c r="H59" s="20">
        <f t="shared" si="2"/>
        <v>8.6858000000000857</v>
      </c>
    </row>
    <row r="60" spans="1:8" ht="13" x14ac:dyDescent="0.15">
      <c r="A60" s="12">
        <v>45589</v>
      </c>
      <c r="B60" s="13" t="s">
        <v>5</v>
      </c>
      <c r="C60" s="14">
        <v>0.96379999999999999</v>
      </c>
      <c r="D60" s="16">
        <v>635</v>
      </c>
      <c r="E60" s="17">
        <f t="shared" si="4"/>
        <v>22.986999999999966</v>
      </c>
      <c r="F60" s="18">
        <f t="shared" si="1"/>
        <v>1264.284999999998</v>
      </c>
      <c r="G60" s="19">
        <f t="shared" si="3"/>
        <v>31.75</v>
      </c>
      <c r="H60" s="20">
        <f t="shared" si="2"/>
        <v>8.7630000000000337</v>
      </c>
    </row>
    <row r="61" spans="1:8" ht="13" x14ac:dyDescent="0.15">
      <c r="A61" s="12">
        <v>45590</v>
      </c>
      <c r="B61" s="13" t="s">
        <v>6</v>
      </c>
      <c r="C61" s="14">
        <v>0.94489999999999996</v>
      </c>
      <c r="D61" s="16">
        <v>635</v>
      </c>
      <c r="E61" s="17">
        <f t="shared" si="4"/>
        <v>34.988500000000045</v>
      </c>
      <c r="F61" s="18">
        <f t="shared" si="1"/>
        <v>1924.3675000000026</v>
      </c>
      <c r="G61" s="19">
        <f t="shared" si="3"/>
        <v>31.75</v>
      </c>
      <c r="H61" s="20">
        <f t="shared" si="2"/>
        <v>-3.2385000000000446</v>
      </c>
    </row>
    <row r="62" spans="1:8" ht="13" x14ac:dyDescent="0.15">
      <c r="A62" s="12">
        <v>45593</v>
      </c>
      <c r="B62" s="13" t="s">
        <v>2</v>
      </c>
      <c r="C62" s="14">
        <v>0.93689999999999996</v>
      </c>
      <c r="D62" s="16">
        <v>634</v>
      </c>
      <c r="E62" s="17">
        <f t="shared" si="4"/>
        <v>40.005400000000009</v>
      </c>
      <c r="F62" s="18">
        <f t="shared" si="1"/>
        <v>2200.2970000000005</v>
      </c>
      <c r="G62" s="19">
        <f t="shared" si="3"/>
        <v>31.700000000000045</v>
      </c>
      <c r="H62" s="20">
        <f t="shared" si="2"/>
        <v>-8.3053999999999633</v>
      </c>
    </row>
    <row r="63" spans="1:8" ht="13" x14ac:dyDescent="0.15">
      <c r="A63" s="12">
        <v>45594</v>
      </c>
      <c r="B63" s="13" t="s">
        <v>3</v>
      </c>
      <c r="C63" s="14">
        <v>0.9496</v>
      </c>
      <c r="D63" s="16">
        <v>634</v>
      </c>
      <c r="E63" s="17">
        <f t="shared" si="4"/>
        <v>31.953600000000051</v>
      </c>
      <c r="F63" s="18">
        <f t="shared" si="1"/>
        <v>1757.4480000000028</v>
      </c>
      <c r="G63" s="19">
        <f t="shared" si="3"/>
        <v>31.700000000000045</v>
      </c>
      <c r="H63" s="20">
        <f t="shared" si="2"/>
        <v>-0.25360000000000582</v>
      </c>
    </row>
    <row r="64" spans="1:8" ht="13" x14ac:dyDescent="0.15">
      <c r="A64" s="12">
        <v>45595</v>
      </c>
      <c r="B64" s="13" t="s">
        <v>4</v>
      </c>
      <c r="C64" s="14">
        <v>0.95909999999999995</v>
      </c>
      <c r="D64" s="16">
        <v>634</v>
      </c>
      <c r="E64" s="17">
        <f t="shared" si="4"/>
        <v>25.930600000000027</v>
      </c>
      <c r="F64" s="18">
        <f t="shared" si="1"/>
        <v>1426.1830000000014</v>
      </c>
      <c r="G64" s="19">
        <f t="shared" si="3"/>
        <v>31.700000000000045</v>
      </c>
      <c r="H64" s="20">
        <f t="shared" si="2"/>
        <v>5.7694000000000187</v>
      </c>
    </row>
    <row r="65" spans="1:8" ht="13" x14ac:dyDescent="0.15">
      <c r="A65" s="12">
        <v>45596</v>
      </c>
      <c r="B65" s="13" t="s">
        <v>5</v>
      </c>
      <c r="C65" s="14">
        <v>0.95120000000000005</v>
      </c>
      <c r="D65" s="16">
        <v>636</v>
      </c>
      <c r="E65" s="17">
        <f t="shared" si="4"/>
        <v>31.036799999999971</v>
      </c>
      <c r="F65" s="18">
        <f t="shared" si="1"/>
        <v>1707.0239999999985</v>
      </c>
      <c r="G65" s="19">
        <f t="shared" si="3"/>
        <v>31.800000000000068</v>
      </c>
      <c r="H65" s="20">
        <f t="shared" si="2"/>
        <v>0.76320000000009713</v>
      </c>
    </row>
    <row r="66" spans="1:8" ht="13" x14ac:dyDescent="0.15">
      <c r="A66" s="12">
        <v>45597</v>
      </c>
      <c r="B66" s="13" t="s">
        <v>6</v>
      </c>
      <c r="C66" s="14">
        <v>0.88660000000000005</v>
      </c>
      <c r="D66" s="16">
        <v>635</v>
      </c>
      <c r="E66" s="17">
        <f t="shared" si="4"/>
        <v>72.009000000000015</v>
      </c>
      <c r="F66" s="18">
        <f t="shared" si="1"/>
        <v>3960.4950000000008</v>
      </c>
      <c r="G66" s="19">
        <f t="shared" si="3"/>
        <v>31.75</v>
      </c>
      <c r="H66" s="20">
        <f t="shared" si="2"/>
        <v>-40.259000000000015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0.97</v>
      </c>
      <c r="D69" s="16">
        <v>634</v>
      </c>
      <c r="E69" s="17">
        <f t="shared" si="4"/>
        <v>19.019999999999982</v>
      </c>
      <c r="F69" s="18">
        <f t="shared" si="1"/>
        <v>1046.099999999999</v>
      </c>
      <c r="G69" s="19">
        <f t="shared" si="3"/>
        <v>31.700000000000045</v>
      </c>
      <c r="H69" s="20">
        <f t="shared" si="2"/>
        <v>12.680000000000064</v>
      </c>
    </row>
    <row r="70" spans="1:8" ht="13" x14ac:dyDescent="0.15">
      <c r="A70" s="12">
        <v>45603</v>
      </c>
      <c r="B70" s="13" t="s">
        <v>5</v>
      </c>
      <c r="C70" s="14">
        <v>0.97789999999999999</v>
      </c>
      <c r="D70" s="16">
        <v>634</v>
      </c>
      <c r="E70" s="17">
        <f t="shared" si="4"/>
        <v>14.011399999999981</v>
      </c>
      <c r="F70" s="18">
        <f t="shared" si="1"/>
        <v>770.62699999999893</v>
      </c>
      <c r="G70" s="19">
        <f t="shared" si="3"/>
        <v>31.700000000000045</v>
      </c>
      <c r="H70" s="20">
        <f t="shared" si="2"/>
        <v>17.688600000000065</v>
      </c>
    </row>
    <row r="71" spans="1:8" ht="13" x14ac:dyDescent="0.15">
      <c r="A71" s="12">
        <v>45604</v>
      </c>
      <c r="B71" s="13" t="s">
        <v>6</v>
      </c>
      <c r="C71" s="14">
        <v>0.95430000000000004</v>
      </c>
      <c r="D71" s="16">
        <v>634</v>
      </c>
      <c r="E71" s="17">
        <f t="shared" ref="E71:E102" si="5">D71-(C71*D71)</f>
        <v>28.973799999999983</v>
      </c>
      <c r="F71" s="18">
        <f t="shared" si="1"/>
        <v>1593.5589999999991</v>
      </c>
      <c r="G71" s="19">
        <f t="shared" si="3"/>
        <v>31.700000000000045</v>
      </c>
      <c r="H71" s="20">
        <f t="shared" si="2"/>
        <v>2.7262000000000626</v>
      </c>
    </row>
    <row r="72" spans="1:8" ht="13" x14ac:dyDescent="0.15">
      <c r="A72" s="12">
        <v>45607</v>
      </c>
      <c r="B72" s="13" t="s">
        <v>2</v>
      </c>
      <c r="C72" s="14">
        <v>0.93859999999999999</v>
      </c>
      <c r="D72" s="16">
        <v>635</v>
      </c>
      <c r="E72" s="17">
        <f t="shared" si="5"/>
        <v>38.989000000000033</v>
      </c>
      <c r="F72" s="18">
        <f t="shared" si="1"/>
        <v>2144.3950000000018</v>
      </c>
      <c r="G72" s="19">
        <f t="shared" si="3"/>
        <v>31.75</v>
      </c>
      <c r="H72" s="20">
        <f t="shared" si="2"/>
        <v>-7.2390000000000327</v>
      </c>
    </row>
    <row r="73" spans="1:8" ht="13" x14ac:dyDescent="0.15">
      <c r="A73" s="12">
        <v>45608</v>
      </c>
      <c r="B73" s="13" t="s">
        <v>3</v>
      </c>
      <c r="C73" s="14">
        <v>0.96540000000000004</v>
      </c>
      <c r="D73" s="16">
        <v>635</v>
      </c>
      <c r="E73" s="17">
        <f t="shared" si="5"/>
        <v>21.971000000000004</v>
      </c>
      <c r="F73" s="18">
        <f t="shared" si="1"/>
        <v>1208.4050000000002</v>
      </c>
      <c r="G73" s="19">
        <f t="shared" si="3"/>
        <v>31.75</v>
      </c>
      <c r="H73" s="20">
        <f t="shared" si="2"/>
        <v>9.7789999999999964</v>
      </c>
    </row>
    <row r="74" spans="1:8" ht="13" x14ac:dyDescent="0.15">
      <c r="A74" s="12">
        <v>45609</v>
      </c>
      <c r="B74" s="13" t="s">
        <v>4</v>
      </c>
      <c r="C74" s="14">
        <v>0.96220000000000006</v>
      </c>
      <c r="D74" s="16">
        <v>635</v>
      </c>
      <c r="E74" s="17">
        <f t="shared" si="5"/>
        <v>24.002999999999929</v>
      </c>
      <c r="F74" s="18">
        <f t="shared" si="1"/>
        <v>1320.1649999999961</v>
      </c>
      <c r="G74" s="19">
        <f t="shared" si="3"/>
        <v>31.75</v>
      </c>
      <c r="H74" s="20">
        <f t="shared" si="2"/>
        <v>7.7470000000000709</v>
      </c>
    </row>
    <row r="75" spans="1:8" ht="13" x14ac:dyDescent="0.15">
      <c r="A75" s="12">
        <v>45610</v>
      </c>
      <c r="B75" s="13" t="s">
        <v>5</v>
      </c>
      <c r="C75" s="14">
        <v>0.96699999999999997</v>
      </c>
      <c r="D75" s="16">
        <v>637</v>
      </c>
      <c r="E75" s="17">
        <f t="shared" si="5"/>
        <v>21.021000000000072</v>
      </c>
      <c r="F75" s="18">
        <f t="shared" si="1"/>
        <v>1156.1550000000038</v>
      </c>
      <c r="G75" s="19">
        <f t="shared" si="3"/>
        <v>31.850000000000023</v>
      </c>
      <c r="H75" s="20">
        <f t="shared" si="2"/>
        <v>10.828999999999951</v>
      </c>
    </row>
    <row r="76" spans="1:8" ht="13" x14ac:dyDescent="0.15">
      <c r="A76" s="12">
        <v>45611</v>
      </c>
      <c r="B76" s="13" t="s">
        <v>6</v>
      </c>
      <c r="C76" s="14">
        <v>0.93559999999999999</v>
      </c>
      <c r="D76" s="16">
        <v>637</v>
      </c>
      <c r="E76" s="17">
        <f t="shared" si="5"/>
        <v>41.022799999999961</v>
      </c>
      <c r="F76" s="18">
        <f t="shared" si="1"/>
        <v>2256.2539999999981</v>
      </c>
      <c r="G76" s="19">
        <f t="shared" si="3"/>
        <v>31.850000000000023</v>
      </c>
      <c r="H76" s="20">
        <f t="shared" si="2"/>
        <v>-9.1727999999999383</v>
      </c>
    </row>
    <row r="77" spans="1:8" ht="13" x14ac:dyDescent="0.15">
      <c r="A77" s="12">
        <v>45614</v>
      </c>
      <c r="B77" s="13" t="s">
        <v>2</v>
      </c>
      <c r="C77" s="14">
        <v>0.93389999999999995</v>
      </c>
      <c r="D77" s="16">
        <v>635</v>
      </c>
      <c r="E77" s="17">
        <f t="shared" si="5"/>
        <v>41.973500000000058</v>
      </c>
      <c r="F77" s="18">
        <f t="shared" si="1"/>
        <v>2308.5425000000032</v>
      </c>
      <c r="G77" s="19">
        <f t="shared" si="3"/>
        <v>31.75</v>
      </c>
      <c r="H77" s="20">
        <f t="shared" si="2"/>
        <v>-10.223500000000058</v>
      </c>
    </row>
    <row r="78" spans="1:8" ht="13" x14ac:dyDescent="0.15">
      <c r="A78" s="12">
        <v>45615</v>
      </c>
      <c r="B78" s="13" t="s">
        <v>3</v>
      </c>
      <c r="C78" s="14">
        <v>0.94169999999999998</v>
      </c>
      <c r="D78" s="16">
        <v>635</v>
      </c>
      <c r="E78" s="17">
        <f t="shared" si="5"/>
        <v>37.02049999999997</v>
      </c>
      <c r="F78" s="18">
        <f t="shared" si="1"/>
        <v>2036.1274999999982</v>
      </c>
      <c r="G78" s="19">
        <f t="shared" si="3"/>
        <v>31.75</v>
      </c>
      <c r="H78" s="20">
        <f t="shared" si="2"/>
        <v>-5.27049999999997</v>
      </c>
    </row>
    <row r="79" spans="1:8" ht="13" x14ac:dyDescent="0.15">
      <c r="A79" s="12">
        <v>45616</v>
      </c>
      <c r="B79" s="13" t="s">
        <v>4</v>
      </c>
      <c r="C79" s="14">
        <v>0.93859999999999999</v>
      </c>
      <c r="D79" s="16">
        <v>635</v>
      </c>
      <c r="E79" s="17">
        <f t="shared" si="5"/>
        <v>38.989000000000033</v>
      </c>
      <c r="F79" s="18">
        <f t="shared" si="1"/>
        <v>2144.3950000000018</v>
      </c>
      <c r="G79" s="19">
        <f t="shared" si="3"/>
        <v>31.75</v>
      </c>
      <c r="H79" s="20">
        <f t="shared" si="2"/>
        <v>-7.2390000000000327</v>
      </c>
    </row>
    <row r="80" spans="1:8" ht="13" x14ac:dyDescent="0.15">
      <c r="A80" s="12">
        <v>45617</v>
      </c>
      <c r="B80" s="13" t="s">
        <v>5</v>
      </c>
      <c r="C80" s="14">
        <v>0.94489999999999996</v>
      </c>
      <c r="D80" s="16">
        <v>635</v>
      </c>
      <c r="E80" s="17">
        <f t="shared" si="5"/>
        <v>34.988500000000045</v>
      </c>
      <c r="F80" s="18">
        <f t="shared" si="1"/>
        <v>1924.3675000000026</v>
      </c>
      <c r="G80" s="19">
        <f t="shared" si="3"/>
        <v>31.75</v>
      </c>
      <c r="H80" s="20">
        <f t="shared" si="2"/>
        <v>-3.2385000000000446</v>
      </c>
    </row>
    <row r="81" spans="1:8" ht="13" x14ac:dyDescent="0.15">
      <c r="A81" s="12">
        <v>45618</v>
      </c>
      <c r="B81" s="13" t="s">
        <v>6</v>
      </c>
      <c r="C81" s="14">
        <v>0.88190000000000002</v>
      </c>
      <c r="D81" s="16">
        <v>635</v>
      </c>
      <c r="E81" s="17">
        <f t="shared" si="5"/>
        <v>74.99350000000004</v>
      </c>
      <c r="F81" s="18">
        <f t="shared" si="1"/>
        <v>4124.6425000000017</v>
      </c>
      <c r="G81" s="19">
        <f t="shared" si="3"/>
        <v>31.75</v>
      </c>
      <c r="H81" s="20">
        <f t="shared" si="2"/>
        <v>-43.24350000000004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0.92889999999999995</v>
      </c>
      <c r="D87" s="16">
        <v>634</v>
      </c>
      <c r="E87" s="17">
        <f t="shared" si="5"/>
        <v>45.077400000000011</v>
      </c>
      <c r="F87" s="18">
        <f t="shared" si="1"/>
        <v>2479.2570000000005</v>
      </c>
      <c r="G87" s="19">
        <f t="shared" si="3"/>
        <v>31.700000000000045</v>
      </c>
      <c r="H87" s="20">
        <f t="shared" si="2"/>
        <v>-13.377399999999966</v>
      </c>
    </row>
    <row r="88" spans="1:8" ht="13" x14ac:dyDescent="0.15">
      <c r="A88" s="12">
        <v>45629</v>
      </c>
      <c r="B88" s="13" t="s">
        <v>3</v>
      </c>
      <c r="C88" s="14">
        <v>0.95109999999999995</v>
      </c>
      <c r="D88" s="16">
        <v>634</v>
      </c>
      <c r="E88" s="17">
        <f t="shared" si="5"/>
        <v>31.002600000000029</v>
      </c>
      <c r="F88" s="18">
        <f t="shared" si="1"/>
        <v>1705.1430000000016</v>
      </c>
      <c r="G88" s="19">
        <f t="shared" si="3"/>
        <v>31.700000000000045</v>
      </c>
      <c r="H88" s="20">
        <f t="shared" si="2"/>
        <v>0.69740000000001601</v>
      </c>
    </row>
    <row r="89" spans="1:8" ht="13" x14ac:dyDescent="0.15">
      <c r="A89" s="12">
        <v>45630</v>
      </c>
      <c r="B89" s="13" t="s">
        <v>4</v>
      </c>
      <c r="C89" s="14">
        <v>0.95899999999999996</v>
      </c>
      <c r="D89" s="16">
        <v>634</v>
      </c>
      <c r="E89" s="17">
        <f t="shared" si="5"/>
        <v>25.994000000000028</v>
      </c>
      <c r="F89" s="18">
        <f t="shared" si="1"/>
        <v>1429.6700000000014</v>
      </c>
      <c r="G89" s="19">
        <f t="shared" si="3"/>
        <v>31.700000000000045</v>
      </c>
      <c r="H89" s="20">
        <f t="shared" si="2"/>
        <v>5.7060000000000173</v>
      </c>
    </row>
    <row r="90" spans="1:8" ht="13" x14ac:dyDescent="0.15">
      <c r="A90" s="12">
        <v>45631</v>
      </c>
      <c r="B90" s="13" t="s">
        <v>5</v>
      </c>
      <c r="C90" s="14">
        <v>0.98419999999999996</v>
      </c>
      <c r="D90" s="16">
        <v>634</v>
      </c>
      <c r="E90" s="17">
        <f t="shared" si="5"/>
        <v>10.017200000000003</v>
      </c>
      <c r="F90" s="18">
        <f t="shared" si="1"/>
        <v>550.94600000000014</v>
      </c>
      <c r="G90" s="19">
        <f t="shared" si="3"/>
        <v>31.700000000000045</v>
      </c>
      <c r="H90" s="20">
        <f t="shared" si="2"/>
        <v>21.682800000000043</v>
      </c>
    </row>
    <row r="91" spans="1:8" ht="13" x14ac:dyDescent="0.15">
      <c r="A91" s="12">
        <v>45632</v>
      </c>
      <c r="B91" s="13" t="s">
        <v>6</v>
      </c>
      <c r="C91" s="14">
        <v>0.94950000000000001</v>
      </c>
      <c r="D91" s="16">
        <v>634</v>
      </c>
      <c r="E91" s="17">
        <f t="shared" si="5"/>
        <v>32.016999999999939</v>
      </c>
      <c r="F91" s="18">
        <f t="shared" si="1"/>
        <v>1760.9349999999968</v>
      </c>
      <c r="G91" s="19">
        <f t="shared" si="3"/>
        <v>31.700000000000045</v>
      </c>
      <c r="H91" s="20">
        <f t="shared" si="2"/>
        <v>-0.31699999999989359</v>
      </c>
    </row>
    <row r="92" spans="1:8" ht="13" x14ac:dyDescent="0.15">
      <c r="A92" s="12">
        <v>45635</v>
      </c>
      <c r="B92" s="13" t="s">
        <v>2</v>
      </c>
      <c r="C92" s="14">
        <v>0.93889999999999996</v>
      </c>
      <c r="D92" s="16">
        <v>638</v>
      </c>
      <c r="E92" s="17">
        <f t="shared" si="5"/>
        <v>38.981800000000021</v>
      </c>
      <c r="F92" s="18">
        <f t="shared" si="1"/>
        <v>2143.9990000000012</v>
      </c>
      <c r="G92" s="19">
        <f t="shared" si="3"/>
        <v>31.899999999999977</v>
      </c>
      <c r="H92" s="20">
        <f t="shared" si="2"/>
        <v>-7.0818000000000438</v>
      </c>
    </row>
    <row r="93" spans="1:8" ht="13" x14ac:dyDescent="0.15">
      <c r="A93" s="12">
        <v>45636</v>
      </c>
      <c r="B93" s="13" t="s">
        <v>3</v>
      </c>
      <c r="C93" s="14">
        <v>0.96079999999999999</v>
      </c>
      <c r="D93" s="16">
        <v>638</v>
      </c>
      <c r="E93" s="17">
        <f t="shared" si="5"/>
        <v>25.009599999999978</v>
      </c>
      <c r="F93" s="18">
        <f t="shared" si="1"/>
        <v>1375.5279999999989</v>
      </c>
      <c r="G93" s="19">
        <f t="shared" si="3"/>
        <v>31.899999999999977</v>
      </c>
      <c r="H93" s="20">
        <f t="shared" si="2"/>
        <v>6.8903999999999996</v>
      </c>
    </row>
    <row r="94" spans="1:8" ht="13" x14ac:dyDescent="0.15">
      <c r="A94" s="12">
        <v>45637</v>
      </c>
      <c r="B94" s="13" t="s">
        <v>4</v>
      </c>
      <c r="C94" s="14">
        <v>0.93420000000000003</v>
      </c>
      <c r="D94" s="16">
        <v>638</v>
      </c>
      <c r="E94" s="17">
        <f t="shared" si="5"/>
        <v>41.980400000000031</v>
      </c>
      <c r="F94" s="18">
        <f t="shared" si="1"/>
        <v>2308.9220000000018</v>
      </c>
      <c r="G94" s="19">
        <f t="shared" si="3"/>
        <v>31.899999999999977</v>
      </c>
      <c r="H94" s="20">
        <f t="shared" si="2"/>
        <v>-10.080400000000054</v>
      </c>
    </row>
    <row r="95" spans="1:8" ht="13" x14ac:dyDescent="0.15">
      <c r="A95" s="12">
        <v>45638</v>
      </c>
      <c r="B95" s="13" t="s">
        <v>5</v>
      </c>
      <c r="C95" s="14">
        <v>0.93569999999999998</v>
      </c>
      <c r="D95" s="16">
        <v>638</v>
      </c>
      <c r="E95" s="17">
        <f t="shared" si="5"/>
        <v>41.023400000000038</v>
      </c>
      <c r="F95" s="18">
        <f t="shared" si="1"/>
        <v>2256.2870000000021</v>
      </c>
      <c r="G95" s="19">
        <f t="shared" si="3"/>
        <v>31.899999999999977</v>
      </c>
      <c r="H95" s="20">
        <f t="shared" si="2"/>
        <v>-9.1234000000000606</v>
      </c>
    </row>
    <row r="96" spans="1:8" ht="13" x14ac:dyDescent="0.15">
      <c r="A96" s="12">
        <v>45639</v>
      </c>
      <c r="B96" s="13" t="s">
        <v>6</v>
      </c>
      <c r="C96" s="14">
        <v>0.93100000000000005</v>
      </c>
      <c r="D96" s="16">
        <v>638</v>
      </c>
      <c r="E96" s="17">
        <f t="shared" si="5"/>
        <v>44.021999999999935</v>
      </c>
      <c r="F96" s="18">
        <f t="shared" si="1"/>
        <v>2421.2099999999964</v>
      </c>
      <c r="G96" s="19">
        <f t="shared" si="3"/>
        <v>31.899999999999977</v>
      </c>
      <c r="H96" s="20">
        <f t="shared" si="2"/>
        <v>-12.121999999999957</v>
      </c>
    </row>
    <row r="97" spans="1:8" ht="13" x14ac:dyDescent="0.15">
      <c r="A97" s="12">
        <v>45642</v>
      </c>
      <c r="B97" s="13" t="s">
        <v>2</v>
      </c>
      <c r="C97" s="14">
        <v>0.92630000000000001</v>
      </c>
      <c r="D97" s="16">
        <v>638</v>
      </c>
      <c r="E97" s="17">
        <f t="shared" si="5"/>
        <v>47.020599999999945</v>
      </c>
      <c r="F97" s="18">
        <f t="shared" si="1"/>
        <v>2586.1329999999971</v>
      </c>
      <c r="G97" s="19">
        <f t="shared" si="3"/>
        <v>31.899999999999977</v>
      </c>
      <c r="H97" s="20">
        <f t="shared" si="2"/>
        <v>-15.120599999999968</v>
      </c>
    </row>
    <row r="98" spans="1:8" ht="13" x14ac:dyDescent="0.15">
      <c r="A98" s="12">
        <v>45643</v>
      </c>
      <c r="B98" s="13" t="s">
        <v>3</v>
      </c>
      <c r="C98" s="14">
        <v>0.94989999999999997</v>
      </c>
      <c r="D98" s="16">
        <v>639</v>
      </c>
      <c r="E98" s="17">
        <f t="shared" si="5"/>
        <v>32.013900000000035</v>
      </c>
      <c r="F98" s="18">
        <f t="shared" si="1"/>
        <v>1760.764500000002</v>
      </c>
      <c r="G98" s="19">
        <f t="shared" si="3"/>
        <v>31.950000000000045</v>
      </c>
      <c r="H98" s="20">
        <f t="shared" si="2"/>
        <v>-6.3899999999989632E-2</v>
      </c>
    </row>
    <row r="99" spans="1:8" ht="13" x14ac:dyDescent="0.15">
      <c r="A99" s="12">
        <v>45644</v>
      </c>
      <c r="B99" s="13" t="s">
        <v>4</v>
      </c>
      <c r="C99" s="14">
        <v>0.9577</v>
      </c>
      <c r="D99" s="16">
        <v>638</v>
      </c>
      <c r="E99" s="17">
        <f t="shared" si="5"/>
        <v>26.98739999999998</v>
      </c>
      <c r="F99" s="18">
        <f t="shared" si="1"/>
        <v>1484.3069999999989</v>
      </c>
      <c r="G99" s="19">
        <f t="shared" si="3"/>
        <v>31.899999999999977</v>
      </c>
      <c r="H99" s="20">
        <f t="shared" si="2"/>
        <v>4.9125999999999976</v>
      </c>
    </row>
    <row r="100" spans="1:8" ht="13" x14ac:dyDescent="0.15">
      <c r="A100" s="12">
        <v>45645</v>
      </c>
      <c r="B100" s="13" t="s">
        <v>5</v>
      </c>
      <c r="C100" s="14">
        <v>0.95140000000000002</v>
      </c>
      <c r="D100" s="16">
        <v>638</v>
      </c>
      <c r="E100" s="17">
        <f t="shared" si="5"/>
        <v>31.006799999999998</v>
      </c>
      <c r="F100" s="18">
        <f t="shared" si="1"/>
        <v>1705.3739999999998</v>
      </c>
      <c r="G100" s="19">
        <f t="shared" si="3"/>
        <v>31.899999999999977</v>
      </c>
      <c r="H100" s="20">
        <f t="shared" si="2"/>
        <v>0.8931999999999789</v>
      </c>
    </row>
    <row r="101" spans="1:8" ht="13" x14ac:dyDescent="0.15">
      <c r="A101" s="12">
        <v>45646</v>
      </c>
      <c r="B101" s="13" t="s">
        <v>6</v>
      </c>
      <c r="C101" s="14">
        <v>0.90600000000000003</v>
      </c>
      <c r="D101" s="16">
        <v>638</v>
      </c>
      <c r="E101" s="17">
        <f t="shared" si="5"/>
        <v>59.97199999999998</v>
      </c>
      <c r="F101" s="18">
        <f t="shared" si="1"/>
        <v>3298.4599999999991</v>
      </c>
      <c r="G101" s="19">
        <f t="shared" si="3"/>
        <v>31.899999999999977</v>
      </c>
      <c r="H101" s="20">
        <f t="shared" si="2"/>
        <v>-28.072000000000003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0.93520000000000003</v>
      </c>
      <c r="D114" s="16">
        <v>633</v>
      </c>
      <c r="E114" s="17">
        <f t="shared" si="6"/>
        <v>41.018399999999929</v>
      </c>
      <c r="F114" s="18">
        <f t="shared" si="1"/>
        <v>2256.0119999999961</v>
      </c>
      <c r="G114" s="19">
        <f t="shared" si="3"/>
        <v>31.649999999999977</v>
      </c>
      <c r="H114" s="20">
        <f t="shared" si="2"/>
        <v>-9.3683999999999514</v>
      </c>
    </row>
    <row r="115" spans="1:8" ht="13" x14ac:dyDescent="0.15">
      <c r="A115" s="12">
        <v>45666</v>
      </c>
      <c r="B115" s="13" t="s">
        <v>5</v>
      </c>
      <c r="C115" s="14">
        <v>0.89700000000000002</v>
      </c>
      <c r="D115" s="16">
        <v>631</v>
      </c>
      <c r="E115" s="17">
        <f t="shared" si="6"/>
        <v>64.992999999999938</v>
      </c>
      <c r="F115" s="18">
        <f t="shared" si="1"/>
        <v>3574.6149999999966</v>
      </c>
      <c r="G115" s="19">
        <f t="shared" si="3"/>
        <v>31.550000000000068</v>
      </c>
      <c r="H115" s="20">
        <f t="shared" si="2"/>
        <v>-33.44299999999987</v>
      </c>
    </row>
    <row r="116" spans="1:8" ht="13" x14ac:dyDescent="0.15">
      <c r="A116" s="12">
        <v>45667</v>
      </c>
      <c r="B116" s="13" t="s">
        <v>6</v>
      </c>
      <c r="C116" s="14">
        <v>0.88429999999999997</v>
      </c>
      <c r="D116" s="16">
        <v>631</v>
      </c>
      <c r="E116" s="17">
        <f t="shared" si="6"/>
        <v>73.006700000000023</v>
      </c>
      <c r="F116" s="18">
        <f t="shared" si="1"/>
        <v>4015.3685000000014</v>
      </c>
      <c r="G116" s="19">
        <f t="shared" si="3"/>
        <v>31.550000000000068</v>
      </c>
      <c r="H116" s="20">
        <f t="shared" si="2"/>
        <v>-41.456699999999955</v>
      </c>
    </row>
    <row r="117" spans="1:8" ht="13" x14ac:dyDescent="0.15">
      <c r="A117" s="12">
        <v>45670</v>
      </c>
      <c r="B117" s="13" t="s">
        <v>2</v>
      </c>
      <c r="C117" s="14">
        <v>0.93659999999999999</v>
      </c>
      <c r="D117" s="16">
        <v>631</v>
      </c>
      <c r="E117" s="17">
        <f t="shared" si="6"/>
        <v>40.005400000000009</v>
      </c>
      <c r="F117" s="18">
        <f t="shared" si="1"/>
        <v>2200.2970000000005</v>
      </c>
      <c r="G117" s="19">
        <f t="shared" si="3"/>
        <v>31.550000000000068</v>
      </c>
      <c r="H117" s="20">
        <f t="shared" si="2"/>
        <v>-8.4553999999999405</v>
      </c>
    </row>
    <row r="118" spans="1:8" ht="13" x14ac:dyDescent="0.15">
      <c r="A118" s="12">
        <v>45671</v>
      </c>
      <c r="B118" s="13" t="s">
        <v>3</v>
      </c>
      <c r="C118" s="14">
        <v>0.9556</v>
      </c>
      <c r="D118" s="16">
        <v>631</v>
      </c>
      <c r="E118" s="17">
        <f t="shared" si="6"/>
        <v>28.016399999999976</v>
      </c>
      <c r="F118" s="18">
        <f t="shared" si="1"/>
        <v>1540.9019999999987</v>
      </c>
      <c r="G118" s="19">
        <f t="shared" si="3"/>
        <v>31.550000000000068</v>
      </c>
      <c r="H118" s="20">
        <f t="shared" si="2"/>
        <v>3.5336000000000922</v>
      </c>
    </row>
    <row r="119" spans="1:8" ht="13" x14ac:dyDescent="0.15">
      <c r="A119" s="12">
        <v>45672</v>
      </c>
      <c r="B119" s="13" t="s">
        <v>4</v>
      </c>
      <c r="C119" s="14">
        <v>0.95740000000000003</v>
      </c>
      <c r="D119" s="16">
        <v>634</v>
      </c>
      <c r="E119" s="17">
        <f t="shared" si="6"/>
        <v>27.008399999999938</v>
      </c>
      <c r="F119" s="18">
        <f t="shared" si="1"/>
        <v>1485.4619999999966</v>
      </c>
      <c r="G119" s="19">
        <f t="shared" si="3"/>
        <v>31.700000000000045</v>
      </c>
      <c r="H119" s="20">
        <f t="shared" si="2"/>
        <v>4.6916000000001077</v>
      </c>
    </row>
    <row r="120" spans="1:8" ht="13" x14ac:dyDescent="0.15">
      <c r="A120" s="12">
        <v>45673</v>
      </c>
      <c r="B120" s="13" t="s">
        <v>5</v>
      </c>
      <c r="C120" s="14">
        <v>0.95740000000000003</v>
      </c>
      <c r="D120" s="16">
        <v>634</v>
      </c>
      <c r="E120" s="17">
        <f t="shared" si="6"/>
        <v>27.008399999999938</v>
      </c>
      <c r="F120" s="18">
        <f t="shared" si="1"/>
        <v>1485.4619999999966</v>
      </c>
      <c r="G120" s="19">
        <f t="shared" si="3"/>
        <v>31.700000000000045</v>
      </c>
      <c r="H120" s="20">
        <f t="shared" si="2"/>
        <v>4.6916000000001077</v>
      </c>
    </row>
    <row r="121" spans="1:8" ht="13" x14ac:dyDescent="0.15">
      <c r="A121" s="12">
        <v>45674</v>
      </c>
      <c r="B121" s="13" t="s">
        <v>6</v>
      </c>
      <c r="C121" s="14">
        <v>0.93520000000000003</v>
      </c>
      <c r="D121" s="16">
        <v>633</v>
      </c>
      <c r="E121" s="17">
        <f t="shared" si="6"/>
        <v>41.018399999999929</v>
      </c>
      <c r="F121" s="18">
        <f t="shared" si="1"/>
        <v>2256.0119999999961</v>
      </c>
      <c r="G121" s="19">
        <f t="shared" si="3"/>
        <v>31.649999999999977</v>
      </c>
      <c r="H121" s="20">
        <f t="shared" si="2"/>
        <v>-9.3683999999999514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0.8357</v>
      </c>
      <c r="D125" s="16">
        <v>633</v>
      </c>
      <c r="E125" s="17">
        <f t="shared" si="6"/>
        <v>104.00189999999998</v>
      </c>
      <c r="F125" s="18">
        <f t="shared" si="1"/>
        <v>5720.1044999999986</v>
      </c>
      <c r="G125" s="19">
        <f t="shared" si="3"/>
        <v>31.649999999999977</v>
      </c>
      <c r="H125" s="20">
        <f t="shared" si="2"/>
        <v>-72.351900000000001</v>
      </c>
    </row>
    <row r="126" spans="1:8" ht="13" x14ac:dyDescent="0.15">
      <c r="A126" s="12">
        <v>45681</v>
      </c>
      <c r="B126" s="13" t="s">
        <v>6</v>
      </c>
      <c r="C126" s="14">
        <v>0.89419999999999999</v>
      </c>
      <c r="D126" s="16">
        <v>633</v>
      </c>
      <c r="E126" s="17">
        <f t="shared" si="6"/>
        <v>66.971400000000017</v>
      </c>
      <c r="F126" s="18">
        <f t="shared" si="1"/>
        <v>3683.427000000001</v>
      </c>
      <c r="G126" s="19">
        <f t="shared" si="3"/>
        <v>31.649999999999977</v>
      </c>
      <c r="H126" s="20">
        <f t="shared" si="2"/>
        <v>-35.32140000000004</v>
      </c>
    </row>
    <row r="127" spans="1:8" ht="13" x14ac:dyDescent="0.15">
      <c r="A127" s="12">
        <v>45684</v>
      </c>
      <c r="B127" s="13" t="s">
        <v>2</v>
      </c>
      <c r="C127" s="14">
        <v>0.93359999999999999</v>
      </c>
      <c r="D127" s="16">
        <v>634</v>
      </c>
      <c r="E127" s="17">
        <f t="shared" si="6"/>
        <v>42.097600000000057</v>
      </c>
      <c r="F127" s="18">
        <f t="shared" si="1"/>
        <v>2315.3680000000031</v>
      </c>
      <c r="G127" s="19">
        <f t="shared" si="3"/>
        <v>31.700000000000045</v>
      </c>
      <c r="H127" s="20">
        <f t="shared" si="2"/>
        <v>-10.397600000000011</v>
      </c>
    </row>
    <row r="128" spans="1:8" ht="13" x14ac:dyDescent="0.15">
      <c r="A128" s="12">
        <v>45685</v>
      </c>
      <c r="B128" s="13" t="s">
        <v>3</v>
      </c>
      <c r="C128" s="14">
        <v>0.9335</v>
      </c>
      <c r="D128" s="16">
        <v>632</v>
      </c>
      <c r="E128" s="17">
        <f t="shared" si="6"/>
        <v>42.02800000000002</v>
      </c>
      <c r="F128" s="18">
        <f t="shared" si="1"/>
        <v>2311.5400000000009</v>
      </c>
      <c r="G128" s="19">
        <f t="shared" si="3"/>
        <v>31.600000000000023</v>
      </c>
      <c r="H128" s="20">
        <f t="shared" si="2"/>
        <v>-10.427999999999997</v>
      </c>
    </row>
    <row r="129" spans="1:8" ht="13" x14ac:dyDescent="0.15">
      <c r="A129" s="12">
        <v>45686</v>
      </c>
      <c r="B129" s="13" t="s">
        <v>4</v>
      </c>
      <c r="C129" s="14">
        <v>0.92720000000000002</v>
      </c>
      <c r="D129" s="16">
        <v>632</v>
      </c>
      <c r="E129" s="17">
        <f t="shared" si="6"/>
        <v>46.009599999999978</v>
      </c>
      <c r="F129" s="18">
        <f t="shared" si="1"/>
        <v>2530.5279999999989</v>
      </c>
      <c r="G129" s="19">
        <f t="shared" si="3"/>
        <v>31.600000000000023</v>
      </c>
      <c r="H129" s="20">
        <f t="shared" si="2"/>
        <v>-14.409599999999955</v>
      </c>
    </row>
    <row r="130" spans="1:8" ht="13" x14ac:dyDescent="0.15">
      <c r="A130" s="12">
        <v>45687</v>
      </c>
      <c r="B130" s="13" t="s">
        <v>5</v>
      </c>
      <c r="C130" s="14">
        <v>0.95089999999999997</v>
      </c>
      <c r="D130" s="16">
        <v>632</v>
      </c>
      <c r="E130" s="17">
        <f t="shared" si="6"/>
        <v>31.031200000000013</v>
      </c>
      <c r="F130" s="18">
        <f t="shared" si="1"/>
        <v>1706.7160000000008</v>
      </c>
      <c r="G130" s="19">
        <f t="shared" si="3"/>
        <v>31.600000000000023</v>
      </c>
      <c r="H130" s="20">
        <f t="shared" si="2"/>
        <v>0.56880000000001019</v>
      </c>
    </row>
    <row r="131" spans="1:8" ht="13" x14ac:dyDescent="0.15">
      <c r="A131" s="12">
        <v>45688</v>
      </c>
      <c r="B131" s="13" t="s">
        <v>6</v>
      </c>
      <c r="C131" s="14">
        <v>0.94450000000000001</v>
      </c>
      <c r="D131" s="16">
        <v>631</v>
      </c>
      <c r="E131" s="17">
        <f t="shared" si="6"/>
        <v>35.02049999999997</v>
      </c>
      <c r="F131" s="18">
        <f t="shared" si="1"/>
        <v>1926.1274999999982</v>
      </c>
      <c r="G131" s="19">
        <f t="shared" si="3"/>
        <v>31.550000000000068</v>
      </c>
      <c r="H131" s="20">
        <f t="shared" si="2"/>
        <v>-3.4704999999999018</v>
      </c>
    </row>
    <row r="132" spans="1:8" ht="13" x14ac:dyDescent="0.15">
      <c r="A132" s="12">
        <v>45691</v>
      </c>
      <c r="B132" s="13" t="s">
        <v>2</v>
      </c>
      <c r="C132" s="14">
        <v>0.77969999999999995</v>
      </c>
      <c r="D132" s="16">
        <v>631</v>
      </c>
      <c r="E132" s="17">
        <f t="shared" si="6"/>
        <v>139.00930000000005</v>
      </c>
      <c r="F132" s="18">
        <f t="shared" si="1"/>
        <v>7645.5115000000033</v>
      </c>
      <c r="G132" s="19">
        <f t="shared" si="3"/>
        <v>31.550000000000068</v>
      </c>
      <c r="H132" s="20">
        <f t="shared" si="2"/>
        <v>-107.45929999999998</v>
      </c>
    </row>
    <row r="133" spans="1:8" ht="13" x14ac:dyDescent="0.15">
      <c r="A133" s="12">
        <v>45692</v>
      </c>
      <c r="B133" s="13" t="s">
        <v>3</v>
      </c>
      <c r="C133" s="14">
        <v>0.96030000000000004</v>
      </c>
      <c r="D133" s="16">
        <v>630</v>
      </c>
      <c r="E133" s="17">
        <f t="shared" si="6"/>
        <v>25.010999999999967</v>
      </c>
      <c r="F133" s="18">
        <f t="shared" si="1"/>
        <v>1375.6049999999982</v>
      </c>
      <c r="G133" s="19">
        <f t="shared" si="3"/>
        <v>31.5</v>
      </c>
      <c r="H133" s="20">
        <f t="shared" si="2"/>
        <v>6.4890000000000327</v>
      </c>
    </row>
    <row r="134" spans="1:8" ht="13" x14ac:dyDescent="0.15">
      <c r="A134" s="12">
        <v>45693</v>
      </c>
      <c r="B134" s="13" t="s">
        <v>4</v>
      </c>
      <c r="C134" s="14">
        <v>0.97460000000000002</v>
      </c>
      <c r="D134" s="16">
        <v>630</v>
      </c>
      <c r="E134" s="17">
        <f t="shared" si="6"/>
        <v>16.001999999999953</v>
      </c>
      <c r="F134" s="18">
        <f t="shared" si="1"/>
        <v>880.1099999999974</v>
      </c>
      <c r="G134" s="19">
        <f t="shared" si="3"/>
        <v>31.5</v>
      </c>
      <c r="H134" s="20">
        <f t="shared" si="2"/>
        <v>15.498000000000047</v>
      </c>
    </row>
    <row r="135" spans="1:8" ht="13" x14ac:dyDescent="0.15">
      <c r="A135" s="12">
        <v>45694</v>
      </c>
      <c r="B135" s="13" t="s">
        <v>5</v>
      </c>
      <c r="C135" s="14">
        <v>0.96030000000000004</v>
      </c>
      <c r="D135" s="16">
        <v>629</v>
      </c>
      <c r="E135" s="17">
        <f t="shared" ref="E135:E181" si="7">D135-(C135*D135)</f>
        <v>24.971299999999928</v>
      </c>
      <c r="F135" s="18">
        <f t="shared" si="1"/>
        <v>1373.4214999999961</v>
      </c>
      <c r="G135" s="19">
        <f t="shared" si="3"/>
        <v>31.450000000000045</v>
      </c>
      <c r="H135" s="20">
        <f t="shared" si="2"/>
        <v>6.4787000000001171</v>
      </c>
    </row>
    <row r="136" spans="1:8" ht="13" x14ac:dyDescent="0.15">
      <c r="A136" s="12">
        <v>45695</v>
      </c>
      <c r="B136" s="13" t="s">
        <v>6</v>
      </c>
      <c r="C136" s="14">
        <v>0.94120000000000004</v>
      </c>
      <c r="D136" s="16">
        <v>629</v>
      </c>
      <c r="E136" s="17">
        <f t="shared" si="7"/>
        <v>36.985199999999963</v>
      </c>
      <c r="F136" s="18">
        <f t="shared" si="1"/>
        <v>2034.1859999999979</v>
      </c>
      <c r="G136" s="19">
        <f t="shared" si="3"/>
        <v>31.450000000000045</v>
      </c>
      <c r="H136" s="20">
        <f t="shared" si="2"/>
        <v>-5.535199999999918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3" x14ac:dyDescent="0.15">
      <c r="A139" s="12">
        <v>45700</v>
      </c>
      <c r="B139" s="13" t="s">
        <v>4</v>
      </c>
      <c r="C139" s="14">
        <v>0.9476</v>
      </c>
      <c r="D139" s="16">
        <v>630</v>
      </c>
      <c r="E139" s="17">
        <f t="shared" si="7"/>
        <v>33.012000000000057</v>
      </c>
      <c r="F139" s="18">
        <f t="shared" si="1"/>
        <v>1815.660000000003</v>
      </c>
      <c r="G139" s="19">
        <f t="shared" si="3"/>
        <v>31.5</v>
      </c>
      <c r="H139" s="20">
        <f t="shared" si="2"/>
        <v>-1.5120000000000573</v>
      </c>
    </row>
    <row r="140" spans="1:8" ht="13" x14ac:dyDescent="0.15">
      <c r="A140" s="12">
        <v>45701</v>
      </c>
      <c r="B140" s="13" t="s">
        <v>5</v>
      </c>
      <c r="C140" s="14">
        <v>0.96830000000000005</v>
      </c>
      <c r="D140" s="16">
        <v>630</v>
      </c>
      <c r="E140" s="17">
        <f t="shared" si="7"/>
        <v>19.971000000000004</v>
      </c>
      <c r="F140" s="18">
        <f t="shared" si="1"/>
        <v>1098.4050000000002</v>
      </c>
      <c r="G140" s="19">
        <f t="shared" si="3"/>
        <v>31.5</v>
      </c>
      <c r="H140" s="20">
        <f t="shared" si="2"/>
        <v>11.528999999999996</v>
      </c>
    </row>
    <row r="141" spans="1:8" ht="13" x14ac:dyDescent="0.15">
      <c r="A141" s="12">
        <v>45702</v>
      </c>
      <c r="B141" s="13" t="s">
        <v>6</v>
      </c>
      <c r="C141" s="14">
        <v>0.94750000000000001</v>
      </c>
      <c r="D141" s="16">
        <v>629</v>
      </c>
      <c r="E141" s="17">
        <f t="shared" si="7"/>
        <v>33.022500000000036</v>
      </c>
      <c r="F141" s="18">
        <f t="shared" si="1"/>
        <v>1816.237500000002</v>
      </c>
      <c r="G141" s="19">
        <f t="shared" si="3"/>
        <v>31.450000000000045</v>
      </c>
      <c r="H141" s="20">
        <f t="shared" si="2"/>
        <v>-1.5724999999999909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0.96509999999999996</v>
      </c>
      <c r="D143" s="16">
        <v>630</v>
      </c>
      <c r="E143" s="17">
        <f t="shared" si="7"/>
        <v>21.98700000000008</v>
      </c>
      <c r="F143" s="18">
        <f t="shared" si="1"/>
        <v>1209.2850000000044</v>
      </c>
      <c r="G143" s="19">
        <f t="shared" si="3"/>
        <v>31.5</v>
      </c>
      <c r="H143" s="20">
        <f t="shared" si="2"/>
        <v>9.51299999999992</v>
      </c>
    </row>
    <row r="144" spans="1:8" ht="13" x14ac:dyDescent="0.15">
      <c r="A144" s="12">
        <v>45707</v>
      </c>
      <c r="B144" s="13" t="s">
        <v>4</v>
      </c>
      <c r="C144" s="14">
        <v>0.97299999999999998</v>
      </c>
      <c r="D144" s="16">
        <v>630</v>
      </c>
      <c r="E144" s="17">
        <f t="shared" si="7"/>
        <v>17.009999999999991</v>
      </c>
      <c r="F144" s="18">
        <f t="shared" si="1"/>
        <v>935.5499999999995</v>
      </c>
      <c r="G144" s="19">
        <f t="shared" si="3"/>
        <v>31.5</v>
      </c>
      <c r="H144" s="20">
        <f t="shared" si="2"/>
        <v>14.490000000000009</v>
      </c>
    </row>
    <row r="145" spans="1:8" ht="13" x14ac:dyDescent="0.15">
      <c r="A145" s="12">
        <v>45708</v>
      </c>
      <c r="B145" s="13" t="s">
        <v>5</v>
      </c>
      <c r="C145" s="14">
        <v>0.87460000000000004</v>
      </c>
      <c r="D145" s="16">
        <v>630</v>
      </c>
      <c r="E145" s="17">
        <f t="shared" si="7"/>
        <v>79.001999999999953</v>
      </c>
      <c r="F145" s="18">
        <f t="shared" si="1"/>
        <v>4345.1099999999969</v>
      </c>
      <c r="G145" s="19">
        <f t="shared" si="3"/>
        <v>31.5</v>
      </c>
      <c r="H145" s="20">
        <f t="shared" si="2"/>
        <v>-47.501999999999953</v>
      </c>
    </row>
    <row r="146" spans="1:8" ht="13" x14ac:dyDescent="0.15">
      <c r="A146" s="12">
        <v>45709</v>
      </c>
      <c r="B146" s="13" t="s">
        <v>6</v>
      </c>
      <c r="C146" s="14">
        <v>0.92679999999999996</v>
      </c>
      <c r="D146" s="16">
        <v>630</v>
      </c>
      <c r="E146" s="17">
        <f t="shared" si="7"/>
        <v>46.115999999999985</v>
      </c>
      <c r="F146" s="18">
        <f t="shared" si="1"/>
        <v>2536.3799999999992</v>
      </c>
      <c r="G146" s="19">
        <f t="shared" si="3"/>
        <v>31.5</v>
      </c>
      <c r="H146" s="20">
        <f t="shared" si="2"/>
        <v>-14.615999999999985</v>
      </c>
    </row>
    <row r="147" spans="1:8" ht="13" x14ac:dyDescent="0.15">
      <c r="A147" s="12">
        <v>45712</v>
      </c>
      <c r="B147" s="13" t="s">
        <v>2</v>
      </c>
      <c r="C147" s="14">
        <v>0.9153</v>
      </c>
      <c r="D147" s="16">
        <v>626</v>
      </c>
      <c r="E147" s="17">
        <f t="shared" si="7"/>
        <v>53.022199999999998</v>
      </c>
      <c r="F147" s="18">
        <f t="shared" si="1"/>
        <v>2916.221</v>
      </c>
      <c r="G147" s="19">
        <f t="shared" si="3"/>
        <v>31.300000000000068</v>
      </c>
      <c r="H147" s="20">
        <f t="shared" si="2"/>
        <v>-21.72219999999993</v>
      </c>
    </row>
    <row r="148" spans="1:8" ht="13" x14ac:dyDescent="0.15">
      <c r="A148" s="12">
        <v>45713</v>
      </c>
      <c r="B148" s="13" t="s">
        <v>3</v>
      </c>
      <c r="C148" s="14">
        <v>0.94730000000000003</v>
      </c>
      <c r="D148" s="16">
        <v>626</v>
      </c>
      <c r="E148" s="17">
        <f t="shared" si="7"/>
        <v>32.990199999999959</v>
      </c>
      <c r="F148" s="18">
        <f t="shared" si="1"/>
        <v>1814.4609999999977</v>
      </c>
      <c r="G148" s="19">
        <f t="shared" si="3"/>
        <v>31.300000000000068</v>
      </c>
      <c r="H148" s="20">
        <f t="shared" si="2"/>
        <v>-1.6901999999998907</v>
      </c>
    </row>
    <row r="149" spans="1:8" ht="13" x14ac:dyDescent="0.15">
      <c r="A149" s="12">
        <v>45714</v>
      </c>
      <c r="B149" s="13" t="s">
        <v>4</v>
      </c>
      <c r="C149" s="14">
        <v>0.94089999999999996</v>
      </c>
      <c r="D149" s="16">
        <v>626</v>
      </c>
      <c r="E149" s="17">
        <f t="shared" si="7"/>
        <v>36.996600000000058</v>
      </c>
      <c r="F149" s="18">
        <f t="shared" si="1"/>
        <v>2034.8130000000033</v>
      </c>
      <c r="G149" s="19">
        <f t="shared" si="3"/>
        <v>31.300000000000068</v>
      </c>
      <c r="H149" s="20">
        <f t="shared" si="2"/>
        <v>-5.6965999999999894</v>
      </c>
    </row>
    <row r="150" spans="1:8" ht="13" x14ac:dyDescent="0.15">
      <c r="A150" s="12">
        <v>45715</v>
      </c>
      <c r="B150" s="13" t="s">
        <v>5</v>
      </c>
      <c r="C150" s="14">
        <v>0.95530000000000004</v>
      </c>
      <c r="D150" s="16">
        <v>626</v>
      </c>
      <c r="E150" s="17">
        <f t="shared" si="7"/>
        <v>27.982199999999921</v>
      </c>
      <c r="F150" s="18">
        <f t="shared" si="1"/>
        <v>1539.0209999999956</v>
      </c>
      <c r="G150" s="19">
        <f t="shared" si="3"/>
        <v>31.300000000000068</v>
      </c>
      <c r="H150" s="20">
        <f t="shared" si="2"/>
        <v>3.3178000000001475</v>
      </c>
    </row>
    <row r="151" spans="1:8" ht="13" x14ac:dyDescent="0.15">
      <c r="A151" s="12">
        <v>45716</v>
      </c>
      <c r="B151" s="13" t="s">
        <v>6</v>
      </c>
      <c r="C151" s="14">
        <v>0.92490000000000006</v>
      </c>
      <c r="D151" s="16">
        <v>626</v>
      </c>
      <c r="E151" s="17">
        <f t="shared" si="7"/>
        <v>47.01260000000002</v>
      </c>
      <c r="F151" s="18">
        <f t="shared" si="1"/>
        <v>2585.6930000000011</v>
      </c>
      <c r="G151" s="19">
        <f t="shared" si="3"/>
        <v>31.300000000000068</v>
      </c>
      <c r="H151" s="20">
        <f t="shared" si="2"/>
        <v>-15.712599999999952</v>
      </c>
    </row>
    <row r="152" spans="1:8" ht="13" x14ac:dyDescent="0.15">
      <c r="A152" s="12">
        <v>45719</v>
      </c>
      <c r="B152" s="13" t="s">
        <v>2</v>
      </c>
      <c r="C152" s="14">
        <v>0.94089999999999996</v>
      </c>
      <c r="D152" s="16">
        <v>625</v>
      </c>
      <c r="E152" s="17">
        <f t="shared" si="7"/>
        <v>36.9375</v>
      </c>
      <c r="F152" s="18">
        <f t="shared" si="1"/>
        <v>2031.5625</v>
      </c>
      <c r="G152" s="19">
        <f t="shared" si="3"/>
        <v>31.25</v>
      </c>
      <c r="H152" s="20">
        <f t="shared" si="2"/>
        <v>-5.6875</v>
      </c>
    </row>
    <row r="153" spans="1:8" ht="13" x14ac:dyDescent="0.15">
      <c r="A153" s="12">
        <v>45720</v>
      </c>
      <c r="B153" s="13" t="s">
        <v>3</v>
      </c>
      <c r="C153" s="14">
        <v>0.8448</v>
      </c>
      <c r="D153" s="16">
        <v>625</v>
      </c>
      <c r="E153" s="17">
        <f t="shared" si="7"/>
        <v>97</v>
      </c>
      <c r="F153" s="18">
        <f t="shared" si="1"/>
        <v>5335</v>
      </c>
      <c r="G153" s="19">
        <f t="shared" si="3"/>
        <v>31.25</v>
      </c>
      <c r="H153" s="20">
        <f t="shared" si="2"/>
        <v>-65.75</v>
      </c>
    </row>
    <row r="154" spans="1:8" ht="13" x14ac:dyDescent="0.15">
      <c r="A154" s="12">
        <v>45721</v>
      </c>
      <c r="B154" s="13" t="s">
        <v>4</v>
      </c>
      <c r="C154" s="14">
        <v>0.97109999999999996</v>
      </c>
      <c r="D154" s="16">
        <v>622</v>
      </c>
      <c r="E154" s="17">
        <f t="shared" si="7"/>
        <v>17.975800000000049</v>
      </c>
      <c r="F154" s="18">
        <f t="shared" si="1"/>
        <v>988.66900000000271</v>
      </c>
      <c r="G154" s="19">
        <f t="shared" si="3"/>
        <v>31.100000000000023</v>
      </c>
      <c r="H154" s="20">
        <f t="shared" si="2"/>
        <v>13.124199999999973</v>
      </c>
    </row>
    <row r="155" spans="1:8" ht="13" x14ac:dyDescent="0.15">
      <c r="A155" s="12">
        <v>45722</v>
      </c>
      <c r="B155" s="13" t="s">
        <v>5</v>
      </c>
      <c r="C155" s="14">
        <v>0.95509999999999995</v>
      </c>
      <c r="D155" s="16">
        <v>623</v>
      </c>
      <c r="E155" s="17">
        <f t="shared" si="7"/>
        <v>27.972700000000032</v>
      </c>
      <c r="F155" s="18">
        <f t="shared" si="1"/>
        <v>1538.4985000000017</v>
      </c>
      <c r="G155" s="19">
        <f t="shared" si="3"/>
        <v>31.149999999999977</v>
      </c>
      <c r="H155" s="20">
        <f t="shared" si="2"/>
        <v>3.1772999999999456</v>
      </c>
    </row>
    <row r="156" spans="1:8" ht="13" x14ac:dyDescent="0.15">
      <c r="A156" s="12">
        <v>45723</v>
      </c>
      <c r="B156" s="13" t="s">
        <v>6</v>
      </c>
      <c r="C156" s="14">
        <v>0.94389999999999996</v>
      </c>
      <c r="D156" s="16">
        <v>624</v>
      </c>
      <c r="E156" s="17">
        <f t="shared" si="7"/>
        <v>35.006399999999985</v>
      </c>
      <c r="F156" s="18">
        <f t="shared" si="1"/>
        <v>1925.3519999999992</v>
      </c>
      <c r="G156" s="19">
        <f t="shared" si="3"/>
        <v>31.200000000000045</v>
      </c>
      <c r="H156" s="20">
        <f t="shared" si="2"/>
        <v>-3.8063999999999396</v>
      </c>
    </row>
    <row r="157" spans="1:8" ht="13" x14ac:dyDescent="0.15">
      <c r="A157" s="34">
        <v>45726</v>
      </c>
      <c r="B157" s="35" t="s">
        <v>2</v>
      </c>
      <c r="C157" s="14">
        <v>0.92630000000000001</v>
      </c>
      <c r="D157" s="16">
        <v>624</v>
      </c>
      <c r="E157" s="17">
        <f t="shared" si="7"/>
        <v>45.988799999999969</v>
      </c>
      <c r="F157" s="18">
        <f t="shared" si="1"/>
        <v>2529.3839999999982</v>
      </c>
      <c r="G157" s="19">
        <f t="shared" si="3"/>
        <v>31.200000000000045</v>
      </c>
      <c r="H157" s="20">
        <f t="shared" si="2"/>
        <v>-14.788799999999924</v>
      </c>
    </row>
    <row r="158" spans="1:8" ht="15.75" customHeight="1" x14ac:dyDescent="0.15">
      <c r="A158" s="34">
        <v>45727</v>
      </c>
      <c r="B158" s="35" t="s">
        <v>3</v>
      </c>
      <c r="C158" s="79">
        <v>0.96950000000000003</v>
      </c>
      <c r="D158" s="81">
        <v>623</v>
      </c>
      <c r="E158" s="17">
        <f t="shared" si="7"/>
        <v>19.001499999999965</v>
      </c>
      <c r="F158" s="18">
        <f t="shared" si="1"/>
        <v>1045.0824999999982</v>
      </c>
      <c r="G158" s="19">
        <f t="shared" si="3"/>
        <v>31.149999999999977</v>
      </c>
      <c r="H158" s="20">
        <f t="shared" si="2"/>
        <v>12.148500000000013</v>
      </c>
    </row>
    <row r="159" spans="1:8" ht="15.75" customHeight="1" x14ac:dyDescent="0.15">
      <c r="A159" s="34">
        <v>45728</v>
      </c>
      <c r="B159" s="35" t="s">
        <v>4</v>
      </c>
      <c r="C159" s="79">
        <v>0.95179999999999998</v>
      </c>
      <c r="D159" s="81">
        <v>623</v>
      </c>
      <c r="E159" s="17">
        <f t="shared" si="7"/>
        <v>30.028599999999983</v>
      </c>
      <c r="F159" s="18">
        <f t="shared" ref="F159:F181" si="8">E159*$E$5</f>
        <v>1651.572999999999</v>
      </c>
      <c r="G159" s="19">
        <f t="shared" ref="G159:G181" si="9">D159-(D159*G$3)</f>
        <v>31.149999999999977</v>
      </c>
      <c r="H159" s="20">
        <f t="shared" ref="H159:H181" si="10">G159-E159</f>
        <v>1.1213999999999942</v>
      </c>
    </row>
    <row r="160" spans="1:8" ht="15.75" customHeight="1" x14ac:dyDescent="0.15">
      <c r="A160" s="34">
        <v>45729</v>
      </c>
      <c r="B160" s="35" t="s">
        <v>5</v>
      </c>
      <c r="C160" s="79">
        <v>0.94059999999999999</v>
      </c>
      <c r="D160" s="81">
        <v>623</v>
      </c>
      <c r="E160" s="17">
        <f t="shared" si="7"/>
        <v>37.006200000000035</v>
      </c>
      <c r="F160" s="18">
        <f t="shared" si="8"/>
        <v>2035.3410000000019</v>
      </c>
      <c r="G160" s="19">
        <f t="shared" si="9"/>
        <v>31.149999999999977</v>
      </c>
      <c r="H160" s="20">
        <f t="shared" si="10"/>
        <v>-5.856200000000058</v>
      </c>
    </row>
    <row r="161" spans="1:8" ht="15.75" customHeight="1" x14ac:dyDescent="0.15">
      <c r="A161" s="34">
        <v>45730</v>
      </c>
      <c r="B161" s="35" t="s">
        <v>6</v>
      </c>
      <c r="C161" s="79">
        <v>0.88570000000000004</v>
      </c>
      <c r="D161" s="81">
        <v>621</v>
      </c>
      <c r="E161" s="17">
        <f t="shared" si="7"/>
        <v>70.980299999999943</v>
      </c>
      <c r="F161" s="18">
        <f t="shared" si="8"/>
        <v>3903.9164999999966</v>
      </c>
      <c r="G161" s="19">
        <f t="shared" si="9"/>
        <v>31.050000000000068</v>
      </c>
      <c r="H161" s="20">
        <f t="shared" si="10"/>
        <v>-39.930299999999875</v>
      </c>
    </row>
    <row r="162" spans="1:8" ht="15.75" customHeight="1" x14ac:dyDescent="0.15">
      <c r="A162" s="21">
        <v>45733</v>
      </c>
      <c r="B162" s="22" t="s">
        <v>2</v>
      </c>
      <c r="C162" s="80"/>
      <c r="D162" s="82"/>
      <c r="E162" s="17">
        <f t="shared" si="7"/>
        <v>0</v>
      </c>
      <c r="F162" s="18">
        <f t="shared" si="8"/>
        <v>0</v>
      </c>
      <c r="G162" s="19">
        <f t="shared" si="9"/>
        <v>0</v>
      </c>
      <c r="H162" s="20">
        <f t="shared" si="10"/>
        <v>0</v>
      </c>
    </row>
    <row r="163" spans="1:8" ht="15.75" customHeight="1" x14ac:dyDescent="0.15">
      <c r="A163" s="21">
        <v>45734</v>
      </c>
      <c r="B163" s="22" t="s">
        <v>3</v>
      </c>
      <c r="C163" s="80"/>
      <c r="D163" s="82"/>
      <c r="E163" s="17">
        <f t="shared" si="7"/>
        <v>0</v>
      </c>
      <c r="F163" s="18">
        <f t="shared" si="8"/>
        <v>0</v>
      </c>
      <c r="G163" s="19">
        <f t="shared" si="9"/>
        <v>0</v>
      </c>
      <c r="H163" s="20">
        <f t="shared" si="10"/>
        <v>0</v>
      </c>
    </row>
    <row r="164" spans="1:8" ht="15.75" customHeight="1" x14ac:dyDescent="0.15">
      <c r="A164" s="21">
        <v>45735</v>
      </c>
      <c r="B164" s="22" t="s">
        <v>4</v>
      </c>
      <c r="C164" s="80"/>
      <c r="D164" s="82"/>
      <c r="E164" s="17">
        <f t="shared" si="7"/>
        <v>0</v>
      </c>
      <c r="F164" s="18">
        <f t="shared" si="8"/>
        <v>0</v>
      </c>
      <c r="G164" s="19">
        <f t="shared" si="9"/>
        <v>0</v>
      </c>
      <c r="H164" s="20">
        <f t="shared" si="10"/>
        <v>0</v>
      </c>
    </row>
    <row r="165" spans="1:8" ht="15.75" customHeight="1" x14ac:dyDescent="0.15">
      <c r="A165" s="21">
        <v>45736</v>
      </c>
      <c r="B165" s="22" t="s">
        <v>5</v>
      </c>
      <c r="C165" s="80"/>
      <c r="D165" s="82"/>
      <c r="E165" s="17">
        <f t="shared" si="7"/>
        <v>0</v>
      </c>
      <c r="F165" s="18">
        <f t="shared" si="8"/>
        <v>0</v>
      </c>
      <c r="G165" s="19">
        <f t="shared" si="9"/>
        <v>0</v>
      </c>
      <c r="H165" s="20">
        <f t="shared" si="10"/>
        <v>0</v>
      </c>
    </row>
    <row r="166" spans="1:8" ht="15.75" customHeight="1" x14ac:dyDescent="0.15">
      <c r="A166" s="21">
        <v>45737</v>
      </c>
      <c r="B166" s="22" t="s">
        <v>6</v>
      </c>
      <c r="C166" s="80"/>
      <c r="D166" s="82"/>
      <c r="E166" s="17">
        <f t="shared" si="7"/>
        <v>0</v>
      </c>
      <c r="F166" s="18">
        <f t="shared" si="8"/>
        <v>0</v>
      </c>
      <c r="G166" s="19">
        <f t="shared" si="9"/>
        <v>0</v>
      </c>
      <c r="H166" s="20">
        <f t="shared" si="10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0.91469999999999996</v>
      </c>
      <c r="D167" s="81">
        <v>621</v>
      </c>
      <c r="E167" s="17">
        <f t="shared" si="7"/>
        <v>52.971300000000042</v>
      </c>
      <c r="F167" s="18">
        <f t="shared" si="8"/>
        <v>2913.4215000000022</v>
      </c>
      <c r="G167" s="19">
        <f t="shared" si="9"/>
        <v>31.050000000000068</v>
      </c>
      <c r="H167" s="20">
        <f t="shared" si="10"/>
        <v>-21.921299999999974</v>
      </c>
    </row>
    <row r="168" spans="1:8" ht="15.75" customHeight="1" x14ac:dyDescent="0.15">
      <c r="A168" s="12">
        <v>45741</v>
      </c>
      <c r="B168" s="13" t="s">
        <v>3</v>
      </c>
      <c r="C168" s="79">
        <v>0.93879999999999997</v>
      </c>
      <c r="D168" s="81">
        <v>621</v>
      </c>
      <c r="E168" s="17">
        <f t="shared" si="7"/>
        <v>38.005200000000059</v>
      </c>
      <c r="F168" s="18">
        <f t="shared" si="8"/>
        <v>2090.2860000000032</v>
      </c>
      <c r="G168" s="19">
        <f t="shared" si="9"/>
        <v>31.050000000000068</v>
      </c>
      <c r="H168" s="20">
        <f t="shared" si="10"/>
        <v>-6.9551999999999907</v>
      </c>
    </row>
    <row r="169" spans="1:8" ht="15.75" customHeight="1" x14ac:dyDescent="0.15">
      <c r="A169" s="12">
        <v>45742</v>
      </c>
      <c r="B169" s="13" t="s">
        <v>4</v>
      </c>
      <c r="C169" s="79">
        <v>0.95489999999999997</v>
      </c>
      <c r="D169" s="81">
        <v>621</v>
      </c>
      <c r="E169" s="17">
        <f t="shared" si="7"/>
        <v>28.007100000000037</v>
      </c>
      <c r="F169" s="18">
        <f t="shared" si="8"/>
        <v>1540.390500000002</v>
      </c>
      <c r="G169" s="19">
        <f t="shared" si="9"/>
        <v>31.050000000000068</v>
      </c>
      <c r="H169" s="20">
        <f t="shared" si="10"/>
        <v>3.0429000000000315</v>
      </c>
    </row>
    <row r="170" spans="1:8" ht="15.75" customHeight="1" x14ac:dyDescent="0.15">
      <c r="A170" s="12">
        <v>45743</v>
      </c>
      <c r="B170" s="13" t="s">
        <v>5</v>
      </c>
      <c r="C170" s="79">
        <v>0.94689999999999996</v>
      </c>
      <c r="D170" s="81">
        <v>621</v>
      </c>
      <c r="E170" s="17">
        <f t="shared" si="7"/>
        <v>32.975099999999998</v>
      </c>
      <c r="F170" s="18">
        <f t="shared" si="8"/>
        <v>1813.6304999999998</v>
      </c>
      <c r="G170" s="19">
        <f t="shared" si="9"/>
        <v>31.050000000000068</v>
      </c>
      <c r="H170" s="20">
        <f t="shared" si="10"/>
        <v>-1.9250999999999294</v>
      </c>
    </row>
    <row r="171" spans="1:8" ht="15.75" customHeight="1" x14ac:dyDescent="0.15">
      <c r="A171" s="12">
        <v>45744</v>
      </c>
      <c r="B171" s="13" t="s">
        <v>6</v>
      </c>
      <c r="C171" s="79">
        <v>0.94040000000000001</v>
      </c>
      <c r="D171" s="81">
        <v>621</v>
      </c>
      <c r="E171" s="17">
        <f t="shared" si="7"/>
        <v>37.011600000000044</v>
      </c>
      <c r="F171" s="18">
        <f t="shared" si="8"/>
        <v>2035.6380000000024</v>
      </c>
      <c r="G171" s="19">
        <f t="shared" si="9"/>
        <v>31.050000000000068</v>
      </c>
      <c r="H171" s="20">
        <f t="shared" si="10"/>
        <v>-5.9615999999999758</v>
      </c>
    </row>
    <row r="172" spans="1:8" ht="15.75" customHeight="1" x14ac:dyDescent="0.15">
      <c r="A172" s="12">
        <v>45747</v>
      </c>
      <c r="B172" s="13" t="s">
        <v>2</v>
      </c>
      <c r="C172" s="79">
        <v>0.92900000000000005</v>
      </c>
      <c r="D172" s="81">
        <v>620</v>
      </c>
      <c r="E172" s="17">
        <f t="shared" si="7"/>
        <v>44.019999999999982</v>
      </c>
      <c r="F172" s="18">
        <f t="shared" si="8"/>
        <v>2421.099999999999</v>
      </c>
      <c r="G172" s="19">
        <f t="shared" si="9"/>
        <v>31</v>
      </c>
      <c r="H172" s="20">
        <f t="shared" si="10"/>
        <v>-13.019999999999982</v>
      </c>
    </row>
    <row r="173" spans="1:8" ht="15.75" customHeight="1" x14ac:dyDescent="0.15">
      <c r="A173" s="12">
        <v>45748</v>
      </c>
      <c r="B173" s="13" t="s">
        <v>3</v>
      </c>
      <c r="C173" s="79">
        <v>0.94679999999999997</v>
      </c>
      <c r="D173" s="81">
        <v>620</v>
      </c>
      <c r="E173" s="17">
        <f t="shared" si="7"/>
        <v>32.984000000000037</v>
      </c>
      <c r="F173" s="18">
        <f t="shared" si="8"/>
        <v>1814.1200000000022</v>
      </c>
      <c r="G173" s="19">
        <f t="shared" si="9"/>
        <v>31</v>
      </c>
      <c r="H173" s="20">
        <f t="shared" si="10"/>
        <v>-1.9840000000000373</v>
      </c>
    </row>
    <row r="174" spans="1:8" ht="15.75" customHeight="1" x14ac:dyDescent="0.15">
      <c r="A174" s="12">
        <v>45749</v>
      </c>
      <c r="B174" s="13" t="s">
        <v>4</v>
      </c>
      <c r="C174" s="79">
        <v>0.94520000000000004</v>
      </c>
      <c r="D174" s="81">
        <v>620</v>
      </c>
      <c r="E174" s="17">
        <f t="shared" si="7"/>
        <v>33.975999999999999</v>
      </c>
      <c r="F174" s="18">
        <f t="shared" si="8"/>
        <v>1868.6799999999998</v>
      </c>
      <c r="G174" s="19">
        <f t="shared" si="9"/>
        <v>31</v>
      </c>
      <c r="H174" s="20">
        <f t="shared" si="10"/>
        <v>-2.9759999999999991</v>
      </c>
    </row>
    <row r="175" spans="1:8" ht="15.75" customHeight="1" x14ac:dyDescent="0.15">
      <c r="A175" s="12">
        <v>45750</v>
      </c>
      <c r="B175" s="13" t="s">
        <v>5</v>
      </c>
      <c r="C175" s="79">
        <v>0.95479999999999998</v>
      </c>
      <c r="D175" s="81">
        <v>619</v>
      </c>
      <c r="E175" s="17">
        <f t="shared" si="7"/>
        <v>27.978799999999978</v>
      </c>
      <c r="F175" s="18">
        <f t="shared" si="8"/>
        <v>1538.8339999999989</v>
      </c>
      <c r="G175" s="19">
        <f t="shared" si="9"/>
        <v>30.950000000000045</v>
      </c>
      <c r="H175" s="20">
        <f t="shared" si="10"/>
        <v>2.9712000000000671</v>
      </c>
    </row>
    <row r="176" spans="1:8" ht="15.75" customHeight="1" x14ac:dyDescent="0.15">
      <c r="A176" s="12">
        <v>45751</v>
      </c>
      <c r="B176" s="13" t="s">
        <v>6</v>
      </c>
      <c r="C176" s="79">
        <v>0.94350000000000001</v>
      </c>
      <c r="D176" s="81">
        <v>619</v>
      </c>
      <c r="E176" s="17">
        <f t="shared" si="7"/>
        <v>34.973499999999945</v>
      </c>
      <c r="F176" s="18">
        <f t="shared" si="8"/>
        <v>1923.5424999999968</v>
      </c>
      <c r="G176" s="19">
        <f t="shared" si="9"/>
        <v>30.950000000000045</v>
      </c>
      <c r="H176" s="20">
        <f t="shared" si="10"/>
        <v>-4.023499999999899</v>
      </c>
    </row>
    <row r="177" spans="1:8" ht="15.75" customHeight="1" x14ac:dyDescent="0.15">
      <c r="A177" s="12">
        <v>45754</v>
      </c>
      <c r="B177" s="13" t="s">
        <v>2</v>
      </c>
      <c r="C177" s="79">
        <v>0.91910000000000003</v>
      </c>
      <c r="D177" s="81">
        <v>618</v>
      </c>
      <c r="E177" s="17">
        <f t="shared" si="7"/>
        <v>49.996199999999931</v>
      </c>
      <c r="F177" s="18">
        <f t="shared" si="8"/>
        <v>2749.7909999999961</v>
      </c>
      <c r="G177" s="19">
        <f t="shared" si="9"/>
        <v>30.899999999999977</v>
      </c>
      <c r="H177" s="20">
        <f t="shared" si="10"/>
        <v>-19.096199999999953</v>
      </c>
    </row>
    <row r="178" spans="1:8" ht="15.75" customHeight="1" x14ac:dyDescent="0.15">
      <c r="A178" s="12">
        <v>45755</v>
      </c>
      <c r="B178" s="13" t="s">
        <v>3</v>
      </c>
      <c r="C178" s="79">
        <v>0.95799999999999996</v>
      </c>
      <c r="D178" s="81">
        <v>619</v>
      </c>
      <c r="E178" s="17">
        <f t="shared" si="7"/>
        <v>25.998000000000047</v>
      </c>
      <c r="F178" s="18">
        <f t="shared" si="8"/>
        <v>1429.8900000000026</v>
      </c>
      <c r="G178" s="19">
        <f t="shared" si="9"/>
        <v>30.950000000000045</v>
      </c>
      <c r="H178" s="20">
        <f t="shared" si="10"/>
        <v>4.9519999999999982</v>
      </c>
    </row>
    <row r="179" spans="1:8" ht="15.75" customHeight="1" x14ac:dyDescent="0.15">
      <c r="A179" s="12">
        <v>45756</v>
      </c>
      <c r="B179" s="13" t="s">
        <v>4</v>
      </c>
      <c r="C179" s="79">
        <v>0.93520000000000003</v>
      </c>
      <c r="D179" s="81">
        <v>617</v>
      </c>
      <c r="E179" s="17">
        <f t="shared" si="7"/>
        <v>39.981599999999958</v>
      </c>
      <c r="F179" s="18">
        <f t="shared" si="8"/>
        <v>2198.9879999999976</v>
      </c>
      <c r="G179" s="19">
        <f t="shared" si="9"/>
        <v>30.850000000000023</v>
      </c>
      <c r="H179" s="20">
        <f t="shared" si="10"/>
        <v>-9.1315999999999349</v>
      </c>
    </row>
    <row r="180" spans="1:8" ht="15.75" customHeight="1" x14ac:dyDescent="0.15">
      <c r="A180" s="12">
        <v>45757</v>
      </c>
      <c r="B180" s="13" t="s">
        <v>5</v>
      </c>
      <c r="C180" s="79">
        <v>0.94479999999999997</v>
      </c>
      <c r="D180" s="81">
        <v>616</v>
      </c>
      <c r="E180" s="17">
        <f t="shared" si="7"/>
        <v>34.003199999999993</v>
      </c>
      <c r="F180" s="18">
        <f t="shared" si="8"/>
        <v>1870.1759999999995</v>
      </c>
      <c r="G180" s="19">
        <f t="shared" si="9"/>
        <v>30.800000000000068</v>
      </c>
      <c r="H180" s="20">
        <f t="shared" si="10"/>
        <v>-3.2031999999999243</v>
      </c>
    </row>
    <row r="181" spans="1:8" ht="15.75" customHeight="1" x14ac:dyDescent="0.15">
      <c r="A181" s="12">
        <v>45758</v>
      </c>
      <c r="B181" s="13" t="s">
        <v>6</v>
      </c>
      <c r="C181" s="79">
        <v>0.93179999999999996</v>
      </c>
      <c r="D181" s="81">
        <v>616</v>
      </c>
      <c r="E181" s="17">
        <f t="shared" si="7"/>
        <v>42.011200000000031</v>
      </c>
      <c r="F181" s="18">
        <f t="shared" si="8"/>
        <v>2310.6160000000018</v>
      </c>
      <c r="G181" s="19">
        <f t="shared" si="9"/>
        <v>30.800000000000068</v>
      </c>
      <c r="H181" s="20">
        <f t="shared" si="10"/>
        <v>-11.211199999999963</v>
      </c>
    </row>
  </sheetData>
  <autoFilter ref="A6:F157" xr:uid="{00000000-0009-0000-0000-00000A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 C7:C157">
    <cfRule type="cellIs" dxfId="55" priority="4" operator="lessThan">
      <formula>"90%"</formula>
    </cfRule>
    <cfRule type="cellIs" dxfId="54" priority="5" operator="lessThan">
      <formula>"94%"</formula>
    </cfRule>
  </conditionalFormatting>
  <conditionalFormatting sqref="C6:C157">
    <cfRule type="cellIs" dxfId="53" priority="7" operator="lessThan">
      <formula>"92%"</formula>
    </cfRule>
  </conditionalFormatting>
  <conditionalFormatting sqref="H1:H181">
    <cfRule type="cellIs" dxfId="52" priority="6" operator="lessThan">
      <formula>0</formula>
    </cfRule>
  </conditionalFormatting>
  <conditionalFormatting sqref="C158:C181">
    <cfRule type="cellIs" dxfId="11" priority="1" operator="lessThan">
      <formula>"90%"</formula>
    </cfRule>
    <cfRule type="cellIs" dxfId="10" priority="2" operator="lessThan">
      <formula>"94%"</formula>
    </cfRule>
  </conditionalFormatting>
  <conditionalFormatting sqref="C158:C181">
    <cfRule type="cellIs" dxfId="9" priority="3" operator="lessThan">
      <formula>"92%"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73763"/>
    <outlinePr summaryBelow="0" summaryRight="0"/>
  </sheetPr>
  <dimension ref="A1:H181"/>
  <sheetViews>
    <sheetView workbookViewId="0">
      <pane ySplit="6" topLeftCell="A151" activePane="bottomLeft" state="frozen"/>
      <selection pane="bottomLeft" activeCell="I174" sqref="I174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17.5" customWidth="1"/>
  </cols>
  <sheetData>
    <row r="1" spans="1:8" ht="27" thickBot="1" x14ac:dyDescent="0.3">
      <c r="A1" s="1"/>
      <c r="B1" s="1"/>
      <c r="C1" s="1"/>
      <c r="D1" s="1"/>
      <c r="E1" s="2"/>
      <c r="F1" s="2"/>
      <c r="G1" s="3"/>
      <c r="H1" s="37" t="e">
        <f>SUM(H7:H158)</f>
        <v>#REF!</v>
      </c>
    </row>
    <row r="2" spans="1:8" ht="17" thickTop="1" x14ac:dyDescent="0.2">
      <c r="A2" s="63" t="s">
        <v>34</v>
      </c>
      <c r="B2" s="64"/>
      <c r="C2" s="64"/>
      <c r="D2" s="64"/>
      <c r="E2" s="65" t="s">
        <v>0</v>
      </c>
      <c r="F2" s="66"/>
      <c r="G2" s="5" t="s">
        <v>8</v>
      </c>
      <c r="H2" s="67" t="s">
        <v>35</v>
      </c>
    </row>
    <row r="3" spans="1:8" ht="24" x14ac:dyDescent="0.25">
      <c r="A3" s="64"/>
      <c r="B3" s="64"/>
      <c r="C3" s="64"/>
      <c r="D3" s="64"/>
      <c r="E3" s="68">
        <f>SUM(F7:F128)</f>
        <v>190510.47950000004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524</v>
      </c>
      <c r="E7" s="17">
        <f t="shared" ref="E7:E38" si="0">D7-(C7*D7)</f>
        <v>0</v>
      </c>
      <c r="F7" s="18">
        <f t="shared" ref="F7:F159" si="1">E7*$E$5</f>
        <v>0</v>
      </c>
      <c r="G7" s="19">
        <v>0</v>
      </c>
      <c r="H7" s="20">
        <f t="shared" ref="H7:H159" si="2">G7-E7</f>
        <v>0</v>
      </c>
    </row>
    <row r="8" spans="1:8" ht="13" x14ac:dyDescent="0.15">
      <c r="A8" s="12">
        <v>45517</v>
      </c>
      <c r="B8" s="13" t="s">
        <v>3</v>
      </c>
      <c r="C8" s="14">
        <v>0.97599999999999998</v>
      </c>
      <c r="D8" s="16">
        <v>541</v>
      </c>
      <c r="E8" s="17">
        <f t="shared" si="0"/>
        <v>12.984000000000037</v>
      </c>
      <c r="F8" s="18">
        <f t="shared" si="1"/>
        <v>714.12000000000205</v>
      </c>
      <c r="G8" s="19">
        <f t="shared" ref="G8:G159" si="3">D8-(D8*G$3)</f>
        <v>27.050000000000068</v>
      </c>
      <c r="H8" s="20">
        <f t="shared" si="2"/>
        <v>14.066000000000031</v>
      </c>
    </row>
    <row r="9" spans="1:8" ht="13" x14ac:dyDescent="0.15">
      <c r="A9" s="12">
        <v>45518</v>
      </c>
      <c r="B9" s="13" t="s">
        <v>4</v>
      </c>
      <c r="C9" s="14">
        <v>0.98770000000000002</v>
      </c>
      <c r="D9" s="16">
        <v>571</v>
      </c>
      <c r="E9" s="17">
        <f t="shared" si="0"/>
        <v>7.0232999999999493</v>
      </c>
      <c r="F9" s="18">
        <f t="shared" si="1"/>
        <v>386.28149999999721</v>
      </c>
      <c r="G9" s="19">
        <f t="shared" si="3"/>
        <v>28.550000000000068</v>
      </c>
      <c r="H9" s="20">
        <f t="shared" si="2"/>
        <v>21.526700000000119</v>
      </c>
    </row>
    <row r="10" spans="1:8" ht="13" x14ac:dyDescent="0.15">
      <c r="A10" s="12">
        <v>45519</v>
      </c>
      <c r="B10" s="13" t="s">
        <v>5</v>
      </c>
      <c r="C10" s="14">
        <v>0.97260000000000002</v>
      </c>
      <c r="D10" s="16">
        <v>583</v>
      </c>
      <c r="E10" s="17">
        <f t="shared" si="0"/>
        <v>15.974199999999996</v>
      </c>
      <c r="F10" s="18">
        <f t="shared" si="1"/>
        <v>878.58099999999979</v>
      </c>
      <c r="G10" s="19">
        <f t="shared" si="3"/>
        <v>29.149999999999977</v>
      </c>
      <c r="H10" s="20">
        <f t="shared" si="2"/>
        <v>13.175799999999981</v>
      </c>
    </row>
    <row r="11" spans="1:8" ht="13" x14ac:dyDescent="0.15">
      <c r="A11" s="12">
        <v>45520</v>
      </c>
      <c r="B11" s="13" t="s">
        <v>6</v>
      </c>
      <c r="C11" s="14">
        <v>0.95030000000000003</v>
      </c>
      <c r="D11" s="16">
        <v>583</v>
      </c>
      <c r="E11" s="17">
        <f t="shared" si="0"/>
        <v>28.975099999999998</v>
      </c>
      <c r="F11" s="18">
        <f t="shared" si="1"/>
        <v>1593.6304999999998</v>
      </c>
      <c r="G11" s="19">
        <f t="shared" si="3"/>
        <v>29.149999999999977</v>
      </c>
      <c r="H11" s="20">
        <f t="shared" si="2"/>
        <v>0.17489999999997963</v>
      </c>
    </row>
    <row r="12" spans="1:8" ht="13" x14ac:dyDescent="0.15">
      <c r="A12" s="12">
        <v>45523</v>
      </c>
      <c r="B12" s="13" t="s">
        <v>2</v>
      </c>
      <c r="C12" s="14">
        <v>0.95569999999999999</v>
      </c>
      <c r="D12" s="16">
        <v>587</v>
      </c>
      <c r="E12" s="17">
        <f t="shared" si="0"/>
        <v>26.004099999999994</v>
      </c>
      <c r="F12" s="18">
        <f t="shared" si="1"/>
        <v>1430.2254999999996</v>
      </c>
      <c r="G12" s="19">
        <f t="shared" si="3"/>
        <v>29.350000000000023</v>
      </c>
      <c r="H12" s="20">
        <f t="shared" si="2"/>
        <v>3.3459000000000287</v>
      </c>
    </row>
    <row r="13" spans="1:8" ht="13" x14ac:dyDescent="0.15">
      <c r="A13" s="12">
        <v>45524</v>
      </c>
      <c r="B13" s="13" t="s">
        <v>3</v>
      </c>
      <c r="C13" s="14">
        <v>0.95250000000000001</v>
      </c>
      <c r="D13" s="16">
        <v>589</v>
      </c>
      <c r="E13" s="17">
        <f t="shared" si="0"/>
        <v>27.977499999999964</v>
      </c>
      <c r="F13" s="18">
        <f t="shared" si="1"/>
        <v>1538.762499999998</v>
      </c>
      <c r="G13" s="19">
        <f t="shared" si="3"/>
        <v>29.450000000000045</v>
      </c>
      <c r="H13" s="20">
        <f t="shared" si="2"/>
        <v>1.4725000000000819</v>
      </c>
    </row>
    <row r="14" spans="1:8" ht="13" x14ac:dyDescent="0.15">
      <c r="A14" s="12">
        <v>45525</v>
      </c>
      <c r="B14" s="13" t="s">
        <v>4</v>
      </c>
      <c r="C14" s="14">
        <v>0.96950000000000003</v>
      </c>
      <c r="D14" s="16">
        <v>590</v>
      </c>
      <c r="E14" s="17">
        <f t="shared" si="0"/>
        <v>17.995000000000005</v>
      </c>
      <c r="F14" s="18">
        <f t="shared" si="1"/>
        <v>989.72500000000025</v>
      </c>
      <c r="G14" s="19">
        <f t="shared" si="3"/>
        <v>29.5</v>
      </c>
      <c r="H14" s="20">
        <f t="shared" si="2"/>
        <v>11.504999999999995</v>
      </c>
    </row>
    <row r="15" spans="1:8" ht="13" x14ac:dyDescent="0.15">
      <c r="A15" s="12">
        <v>45526</v>
      </c>
      <c r="B15" s="13" t="s">
        <v>5</v>
      </c>
      <c r="C15" s="14">
        <v>0.95109999999999995</v>
      </c>
      <c r="D15" s="16">
        <v>593</v>
      </c>
      <c r="E15" s="17">
        <f t="shared" si="0"/>
        <v>28.997700000000009</v>
      </c>
      <c r="F15" s="18">
        <f t="shared" si="1"/>
        <v>1594.8735000000006</v>
      </c>
      <c r="G15" s="19">
        <f t="shared" si="3"/>
        <v>29.649999999999977</v>
      </c>
      <c r="H15" s="20">
        <f t="shared" si="2"/>
        <v>0.65229999999996835</v>
      </c>
    </row>
    <row r="16" spans="1:8" ht="13" x14ac:dyDescent="0.15">
      <c r="A16" s="12">
        <v>45527</v>
      </c>
      <c r="B16" s="13" t="s">
        <v>6</v>
      </c>
      <c r="C16" s="14">
        <v>0.92220000000000002</v>
      </c>
      <c r="D16" s="16">
        <v>591</v>
      </c>
      <c r="E16" s="17">
        <f t="shared" si="0"/>
        <v>45.979799999999955</v>
      </c>
      <c r="F16" s="18">
        <f t="shared" si="1"/>
        <v>2528.8889999999974</v>
      </c>
      <c r="G16" s="19">
        <f t="shared" si="3"/>
        <v>29.550000000000068</v>
      </c>
      <c r="H16" s="20">
        <f t="shared" si="2"/>
        <v>-16.429799999999886</v>
      </c>
    </row>
    <row r="17" spans="1:8" ht="13" x14ac:dyDescent="0.15">
      <c r="A17" s="12">
        <v>45530</v>
      </c>
      <c r="B17" s="13" t="s">
        <v>2</v>
      </c>
      <c r="C17" s="14">
        <v>0.9546</v>
      </c>
      <c r="D17" s="16">
        <v>595</v>
      </c>
      <c r="E17" s="17">
        <f t="shared" si="0"/>
        <v>27.013000000000034</v>
      </c>
      <c r="F17" s="18">
        <f t="shared" si="1"/>
        <v>1485.715000000002</v>
      </c>
      <c r="G17" s="19">
        <f t="shared" si="3"/>
        <v>29.75</v>
      </c>
      <c r="H17" s="20">
        <f t="shared" si="2"/>
        <v>2.7369999999999663</v>
      </c>
    </row>
    <row r="18" spans="1:8" ht="13" x14ac:dyDescent="0.15">
      <c r="A18" s="12">
        <v>45531</v>
      </c>
      <c r="B18" s="13" t="s">
        <v>3</v>
      </c>
      <c r="C18" s="14">
        <v>0.94289999999999996</v>
      </c>
      <c r="D18" s="16">
        <v>595</v>
      </c>
      <c r="E18" s="17">
        <f t="shared" si="0"/>
        <v>33.974500000000035</v>
      </c>
      <c r="F18" s="18">
        <f t="shared" si="1"/>
        <v>1868.5975000000019</v>
      </c>
      <c r="G18" s="19">
        <f t="shared" si="3"/>
        <v>29.75</v>
      </c>
      <c r="H18" s="20">
        <f t="shared" si="2"/>
        <v>-4.2245000000000346</v>
      </c>
    </row>
    <row r="19" spans="1:8" ht="13" x14ac:dyDescent="0.15">
      <c r="A19" s="12">
        <v>45532</v>
      </c>
      <c r="B19" s="13" t="s">
        <v>4</v>
      </c>
      <c r="C19" s="14">
        <v>0.95299999999999996</v>
      </c>
      <c r="D19" s="16">
        <v>596</v>
      </c>
      <c r="E19" s="17">
        <f t="shared" si="0"/>
        <v>28.012000000000057</v>
      </c>
      <c r="F19" s="18">
        <f t="shared" si="1"/>
        <v>1540.660000000003</v>
      </c>
      <c r="G19" s="19">
        <f t="shared" si="3"/>
        <v>29.800000000000068</v>
      </c>
      <c r="H19" s="20">
        <f t="shared" si="2"/>
        <v>1.7880000000000109</v>
      </c>
    </row>
    <row r="20" spans="1:8" ht="13" x14ac:dyDescent="0.15">
      <c r="A20" s="12">
        <v>45533</v>
      </c>
      <c r="B20" s="13" t="s">
        <v>5</v>
      </c>
      <c r="C20" s="14">
        <v>0.94320000000000004</v>
      </c>
      <c r="D20" s="16">
        <v>599</v>
      </c>
      <c r="E20" s="17">
        <f t="shared" si="0"/>
        <v>34.023199999999974</v>
      </c>
      <c r="F20" s="18">
        <f t="shared" si="1"/>
        <v>1871.2759999999985</v>
      </c>
      <c r="G20" s="19">
        <f t="shared" si="3"/>
        <v>29.950000000000045</v>
      </c>
      <c r="H20" s="20">
        <f t="shared" si="2"/>
        <v>-4.0731999999999289</v>
      </c>
    </row>
    <row r="21" spans="1:8" ht="13" x14ac:dyDescent="0.15">
      <c r="A21" s="12">
        <v>45534</v>
      </c>
      <c r="B21" s="13" t="s">
        <v>6</v>
      </c>
      <c r="C21" s="14">
        <v>0.90480000000000005</v>
      </c>
      <c r="D21" s="16">
        <v>599</v>
      </c>
      <c r="E21" s="17">
        <f t="shared" si="0"/>
        <v>57.024800000000027</v>
      </c>
      <c r="F21" s="18">
        <f t="shared" si="1"/>
        <v>3136.3640000000014</v>
      </c>
      <c r="G21" s="19">
        <f t="shared" si="3"/>
        <v>29.950000000000045</v>
      </c>
      <c r="H21" s="20">
        <f t="shared" si="2"/>
        <v>-27.074799999999982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0.95330000000000004</v>
      </c>
      <c r="D23" s="16">
        <v>599</v>
      </c>
      <c r="E23" s="17">
        <f t="shared" si="0"/>
        <v>27.973299999999995</v>
      </c>
      <c r="F23" s="18">
        <f t="shared" si="1"/>
        <v>1538.5314999999996</v>
      </c>
      <c r="G23" s="19">
        <f t="shared" si="3"/>
        <v>29.950000000000045</v>
      </c>
      <c r="H23" s="20">
        <f t="shared" si="2"/>
        <v>1.9767000000000507</v>
      </c>
    </row>
    <row r="24" spans="1:8" ht="13" x14ac:dyDescent="0.15">
      <c r="A24" s="12">
        <v>45539</v>
      </c>
      <c r="B24" s="13" t="s">
        <v>4</v>
      </c>
      <c r="C24" s="14">
        <v>0.94499999999999995</v>
      </c>
      <c r="D24" s="16">
        <v>600</v>
      </c>
      <c r="E24" s="17">
        <f t="shared" si="0"/>
        <v>33</v>
      </c>
      <c r="F24" s="18">
        <f t="shared" si="1"/>
        <v>1815</v>
      </c>
      <c r="G24" s="19">
        <f t="shared" si="3"/>
        <v>30</v>
      </c>
      <c r="H24" s="20">
        <f t="shared" si="2"/>
        <v>-3</v>
      </c>
    </row>
    <row r="25" spans="1:8" ht="13" x14ac:dyDescent="0.15">
      <c r="A25" s="12">
        <v>45540</v>
      </c>
      <c r="B25" s="13" t="s">
        <v>5</v>
      </c>
      <c r="C25" s="14">
        <v>0.94</v>
      </c>
      <c r="D25" s="16">
        <v>600</v>
      </c>
      <c r="E25" s="17">
        <f t="shared" si="0"/>
        <v>36</v>
      </c>
      <c r="F25" s="18">
        <f t="shared" si="1"/>
        <v>1980</v>
      </c>
      <c r="G25" s="19">
        <f t="shared" si="3"/>
        <v>30</v>
      </c>
      <c r="H25" s="20">
        <f t="shared" si="2"/>
        <v>-6</v>
      </c>
    </row>
    <row r="26" spans="1:8" ht="13" x14ac:dyDescent="0.15">
      <c r="A26" s="12">
        <v>45541</v>
      </c>
      <c r="B26" s="13" t="s">
        <v>6</v>
      </c>
      <c r="C26" s="14">
        <v>0.93179999999999996</v>
      </c>
      <c r="D26" s="16">
        <v>601</v>
      </c>
      <c r="E26" s="17">
        <f t="shared" si="0"/>
        <v>40.988200000000006</v>
      </c>
      <c r="F26" s="18">
        <f t="shared" si="1"/>
        <v>2254.3510000000006</v>
      </c>
      <c r="G26" s="19">
        <f t="shared" si="3"/>
        <v>30.050000000000068</v>
      </c>
      <c r="H26" s="20">
        <f t="shared" si="2"/>
        <v>-10.938199999999938</v>
      </c>
    </row>
    <row r="27" spans="1:8" ht="13" x14ac:dyDescent="0.15">
      <c r="A27" s="12">
        <v>45544</v>
      </c>
      <c r="B27" s="13" t="s">
        <v>2</v>
      </c>
      <c r="C27" s="14">
        <v>0.95540000000000003</v>
      </c>
      <c r="D27" s="16">
        <v>605</v>
      </c>
      <c r="E27" s="17">
        <f t="shared" si="0"/>
        <v>26.982999999999947</v>
      </c>
      <c r="F27" s="18">
        <f t="shared" si="1"/>
        <v>1484.0649999999971</v>
      </c>
      <c r="G27" s="19">
        <f t="shared" si="3"/>
        <v>30.25</v>
      </c>
      <c r="H27" s="20">
        <f t="shared" si="2"/>
        <v>3.2670000000000528</v>
      </c>
    </row>
    <row r="28" spans="1:8" ht="13" x14ac:dyDescent="0.15">
      <c r="A28" s="12">
        <v>45545</v>
      </c>
      <c r="B28" s="13" t="s">
        <v>3</v>
      </c>
      <c r="C28" s="14">
        <v>0.94089999999999996</v>
      </c>
      <c r="D28" s="16">
        <v>609</v>
      </c>
      <c r="E28" s="17">
        <f t="shared" si="0"/>
        <v>35.991899999999987</v>
      </c>
      <c r="F28" s="18">
        <f t="shared" si="1"/>
        <v>1979.5544999999993</v>
      </c>
      <c r="G28" s="19">
        <f t="shared" si="3"/>
        <v>30.450000000000045</v>
      </c>
      <c r="H28" s="20">
        <f t="shared" si="2"/>
        <v>-5.5418999999999414</v>
      </c>
    </row>
    <row r="29" spans="1:8" ht="13" x14ac:dyDescent="0.15">
      <c r="A29" s="12">
        <v>45546</v>
      </c>
      <c r="B29" s="13" t="s">
        <v>4</v>
      </c>
      <c r="C29" s="14">
        <v>0.92449999999999999</v>
      </c>
      <c r="D29" s="16">
        <v>609</v>
      </c>
      <c r="E29" s="17">
        <f t="shared" si="0"/>
        <v>45.97950000000003</v>
      </c>
      <c r="F29" s="18">
        <f t="shared" si="1"/>
        <v>2528.8725000000018</v>
      </c>
      <c r="G29" s="19">
        <f t="shared" si="3"/>
        <v>30.450000000000045</v>
      </c>
      <c r="H29" s="20">
        <f t="shared" si="2"/>
        <v>-15.529499999999985</v>
      </c>
    </row>
    <row r="30" spans="1:8" ht="13" x14ac:dyDescent="0.15">
      <c r="A30" s="12">
        <v>45547</v>
      </c>
      <c r="B30" s="13" t="s">
        <v>5</v>
      </c>
      <c r="C30" s="14">
        <v>0.94750000000000001</v>
      </c>
      <c r="D30" s="16">
        <v>609</v>
      </c>
      <c r="E30" s="17">
        <f t="shared" si="0"/>
        <v>31.972499999999968</v>
      </c>
      <c r="F30" s="18">
        <f t="shared" si="1"/>
        <v>1758.4874999999984</v>
      </c>
      <c r="G30" s="19">
        <f t="shared" si="3"/>
        <v>30.450000000000045</v>
      </c>
      <c r="H30" s="20">
        <f t="shared" si="2"/>
        <v>-1.5224999999999227</v>
      </c>
    </row>
    <row r="31" spans="1:8" ht="13" x14ac:dyDescent="0.15">
      <c r="A31" s="12">
        <v>45548</v>
      </c>
      <c r="B31" s="13" t="s">
        <v>6</v>
      </c>
      <c r="C31" s="14">
        <v>0.88690000000000002</v>
      </c>
      <c r="D31" s="16">
        <v>610</v>
      </c>
      <c r="E31" s="17">
        <f t="shared" si="0"/>
        <v>68.990999999999985</v>
      </c>
      <c r="F31" s="18">
        <f t="shared" si="1"/>
        <v>3794.5049999999992</v>
      </c>
      <c r="G31" s="19">
        <f t="shared" si="3"/>
        <v>30.5</v>
      </c>
      <c r="H31" s="20">
        <f t="shared" si="2"/>
        <v>-38.490999999999985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0.94440000000000002</v>
      </c>
      <c r="D33" s="16">
        <v>611</v>
      </c>
      <c r="E33" s="17">
        <f t="shared" si="0"/>
        <v>33.971599999999967</v>
      </c>
      <c r="F33" s="18">
        <f t="shared" si="1"/>
        <v>1868.4379999999983</v>
      </c>
      <c r="G33" s="19">
        <f t="shared" si="3"/>
        <v>30.550000000000068</v>
      </c>
      <c r="H33" s="20">
        <f t="shared" si="2"/>
        <v>-3.4215999999998985</v>
      </c>
    </row>
    <row r="34" spans="1:8" ht="13" x14ac:dyDescent="0.15">
      <c r="A34" s="12">
        <v>45553</v>
      </c>
      <c r="B34" s="13" t="s">
        <v>4</v>
      </c>
      <c r="C34" s="14">
        <v>0.9345</v>
      </c>
      <c r="D34" s="16">
        <v>611</v>
      </c>
      <c r="E34" s="17">
        <f t="shared" si="0"/>
        <v>40.02049999999997</v>
      </c>
      <c r="F34" s="18">
        <f t="shared" si="1"/>
        <v>2201.1274999999982</v>
      </c>
      <c r="G34" s="19">
        <f t="shared" si="3"/>
        <v>30.550000000000068</v>
      </c>
      <c r="H34" s="20">
        <f t="shared" si="2"/>
        <v>-9.4704999999999018</v>
      </c>
    </row>
    <row r="35" spans="1:8" ht="13" x14ac:dyDescent="0.15">
      <c r="A35" s="12">
        <v>45554</v>
      </c>
      <c r="B35" s="13" t="s">
        <v>5</v>
      </c>
      <c r="C35" s="14">
        <v>0.92959999999999998</v>
      </c>
      <c r="D35" s="16">
        <v>611</v>
      </c>
      <c r="E35" s="17">
        <f t="shared" si="0"/>
        <v>43.014400000000023</v>
      </c>
      <c r="F35" s="18">
        <f t="shared" si="1"/>
        <v>2365.7920000000013</v>
      </c>
      <c r="G35" s="19">
        <f t="shared" si="3"/>
        <v>30.550000000000068</v>
      </c>
      <c r="H35" s="20">
        <f t="shared" si="2"/>
        <v>-12.464399999999955</v>
      </c>
    </row>
    <row r="36" spans="1:8" ht="13" x14ac:dyDescent="0.15">
      <c r="A36" s="12">
        <v>45555</v>
      </c>
      <c r="B36" s="13" t="s">
        <v>6</v>
      </c>
      <c r="C36" s="14">
        <v>0.92310000000000003</v>
      </c>
      <c r="D36" s="16">
        <v>611</v>
      </c>
      <c r="E36" s="17">
        <f t="shared" si="0"/>
        <v>46.985900000000015</v>
      </c>
      <c r="F36" s="18">
        <f t="shared" si="1"/>
        <v>2584.2245000000007</v>
      </c>
      <c r="G36" s="19">
        <f t="shared" si="3"/>
        <v>30.550000000000068</v>
      </c>
      <c r="H36" s="20">
        <f t="shared" si="2"/>
        <v>-16.435899999999947</v>
      </c>
    </row>
    <row r="37" spans="1:8" ht="13" x14ac:dyDescent="0.15">
      <c r="A37" s="12">
        <v>45558</v>
      </c>
      <c r="B37" s="13" t="s">
        <v>2</v>
      </c>
      <c r="C37" s="14">
        <v>0.9395</v>
      </c>
      <c r="D37" s="16">
        <v>612</v>
      </c>
      <c r="E37" s="17">
        <f t="shared" si="0"/>
        <v>37.025999999999954</v>
      </c>
      <c r="F37" s="18">
        <f t="shared" si="1"/>
        <v>2036.4299999999976</v>
      </c>
      <c r="G37" s="19">
        <f t="shared" si="3"/>
        <v>30.600000000000023</v>
      </c>
      <c r="H37" s="20">
        <f t="shared" si="2"/>
        <v>-6.4259999999999309</v>
      </c>
    </row>
    <row r="38" spans="1:8" ht="13" x14ac:dyDescent="0.15">
      <c r="A38" s="12">
        <v>45559</v>
      </c>
      <c r="B38" s="13" t="s">
        <v>3</v>
      </c>
      <c r="C38" s="14">
        <v>0.95279999999999998</v>
      </c>
      <c r="D38" s="16">
        <v>614</v>
      </c>
      <c r="E38" s="17">
        <f t="shared" si="0"/>
        <v>28.980800000000045</v>
      </c>
      <c r="F38" s="18">
        <f t="shared" si="1"/>
        <v>1593.9440000000025</v>
      </c>
      <c r="G38" s="19">
        <f t="shared" si="3"/>
        <v>30.700000000000045</v>
      </c>
      <c r="H38" s="20">
        <f t="shared" si="2"/>
        <v>1.7192000000000007</v>
      </c>
    </row>
    <row r="39" spans="1:8" ht="13" x14ac:dyDescent="0.15">
      <c r="A39" s="12">
        <v>45560</v>
      </c>
      <c r="B39" s="13" t="s">
        <v>4</v>
      </c>
      <c r="C39" s="14">
        <v>0.9577</v>
      </c>
      <c r="D39" s="16">
        <v>614</v>
      </c>
      <c r="E39" s="17">
        <f t="shared" ref="E39:E70" si="4">D39-(C39*D39)</f>
        <v>25.972200000000043</v>
      </c>
      <c r="F39" s="18">
        <f t="shared" si="1"/>
        <v>1428.4710000000023</v>
      </c>
      <c r="G39" s="19">
        <f t="shared" si="3"/>
        <v>30.700000000000045</v>
      </c>
      <c r="H39" s="20">
        <f t="shared" si="2"/>
        <v>4.727800000000002</v>
      </c>
    </row>
    <row r="40" spans="1:8" ht="13" x14ac:dyDescent="0.15">
      <c r="A40" s="12">
        <v>45561</v>
      </c>
      <c r="B40" s="13" t="s">
        <v>5</v>
      </c>
      <c r="C40" s="14">
        <v>0.94140000000000001</v>
      </c>
      <c r="D40" s="16">
        <v>614</v>
      </c>
      <c r="E40" s="17">
        <f t="shared" si="4"/>
        <v>35.980400000000031</v>
      </c>
      <c r="F40" s="18">
        <f t="shared" si="1"/>
        <v>1978.9220000000018</v>
      </c>
      <c r="G40" s="19">
        <f t="shared" si="3"/>
        <v>30.700000000000045</v>
      </c>
      <c r="H40" s="20">
        <f t="shared" si="2"/>
        <v>-5.280399999999986</v>
      </c>
    </row>
    <row r="41" spans="1:8" ht="13" x14ac:dyDescent="0.15">
      <c r="A41" s="12">
        <v>45562</v>
      </c>
      <c r="B41" s="13" t="s">
        <v>6</v>
      </c>
      <c r="C41" s="14">
        <v>0.92510000000000003</v>
      </c>
      <c r="D41" s="16">
        <v>614</v>
      </c>
      <c r="E41" s="17">
        <f t="shared" si="4"/>
        <v>45.988600000000019</v>
      </c>
      <c r="F41" s="18">
        <f t="shared" si="1"/>
        <v>2529.373000000001</v>
      </c>
      <c r="G41" s="19">
        <f t="shared" si="3"/>
        <v>30.700000000000045</v>
      </c>
      <c r="H41" s="20">
        <f t="shared" si="2"/>
        <v>-15.288599999999974</v>
      </c>
    </row>
    <row r="42" spans="1:8" ht="13" x14ac:dyDescent="0.15">
      <c r="A42" s="12">
        <v>45565</v>
      </c>
      <c r="B42" s="13" t="s">
        <v>2</v>
      </c>
      <c r="C42" s="14">
        <v>0.95920000000000005</v>
      </c>
      <c r="D42" s="16">
        <v>613</v>
      </c>
      <c r="E42" s="17">
        <f t="shared" si="4"/>
        <v>25.010400000000004</v>
      </c>
      <c r="F42" s="18">
        <f t="shared" si="1"/>
        <v>1375.5720000000001</v>
      </c>
      <c r="G42" s="19">
        <f t="shared" si="3"/>
        <v>30.649999999999977</v>
      </c>
      <c r="H42" s="20">
        <f t="shared" si="2"/>
        <v>5.6395999999999731</v>
      </c>
    </row>
    <row r="43" spans="1:8" ht="13" x14ac:dyDescent="0.15">
      <c r="A43" s="12">
        <v>45566</v>
      </c>
      <c r="B43" s="13" t="s">
        <v>3</v>
      </c>
      <c r="C43" s="14">
        <v>0.95599999999999996</v>
      </c>
      <c r="D43" s="16">
        <v>614</v>
      </c>
      <c r="E43" s="17">
        <f t="shared" si="4"/>
        <v>27.016000000000076</v>
      </c>
      <c r="F43" s="18">
        <f t="shared" si="1"/>
        <v>1485.8800000000042</v>
      </c>
      <c r="G43" s="19">
        <f t="shared" si="3"/>
        <v>30.700000000000045</v>
      </c>
      <c r="H43" s="20">
        <f t="shared" si="2"/>
        <v>3.6839999999999691</v>
      </c>
    </row>
    <row r="44" spans="1:8" ht="13" x14ac:dyDescent="0.15">
      <c r="A44" s="12">
        <v>45567</v>
      </c>
      <c r="B44" s="13" t="s">
        <v>4</v>
      </c>
      <c r="C44" s="14">
        <v>0.96279999999999999</v>
      </c>
      <c r="D44" s="16">
        <v>618</v>
      </c>
      <c r="E44" s="17">
        <f t="shared" si="4"/>
        <v>22.989599999999996</v>
      </c>
      <c r="F44" s="18">
        <f t="shared" si="1"/>
        <v>1264.4279999999999</v>
      </c>
      <c r="G44" s="19">
        <f t="shared" si="3"/>
        <v>30.899999999999977</v>
      </c>
      <c r="H44" s="20">
        <f t="shared" si="2"/>
        <v>7.9103999999999814</v>
      </c>
    </row>
    <row r="45" spans="1:8" ht="13" x14ac:dyDescent="0.15">
      <c r="A45" s="12">
        <v>45568</v>
      </c>
      <c r="B45" s="13" t="s">
        <v>5</v>
      </c>
      <c r="C45" s="14">
        <v>0.93689999999999996</v>
      </c>
      <c r="D45" s="16">
        <v>618</v>
      </c>
      <c r="E45" s="17">
        <f t="shared" si="4"/>
        <v>38.995800000000031</v>
      </c>
      <c r="F45" s="18">
        <f t="shared" si="1"/>
        <v>2144.7690000000016</v>
      </c>
      <c r="G45" s="19">
        <f t="shared" si="3"/>
        <v>30.899999999999977</v>
      </c>
      <c r="H45" s="20">
        <f t="shared" si="2"/>
        <v>-8.0958000000000538</v>
      </c>
    </row>
    <row r="46" spans="1:8" ht="13" x14ac:dyDescent="0.15">
      <c r="A46" s="12">
        <v>45569</v>
      </c>
      <c r="B46" s="13" t="s">
        <v>6</v>
      </c>
      <c r="C46" s="14">
        <v>0.94650000000000001</v>
      </c>
      <c r="D46" s="16">
        <v>617</v>
      </c>
      <c r="E46" s="17">
        <f t="shared" si="4"/>
        <v>33.009500000000003</v>
      </c>
      <c r="F46" s="18">
        <f t="shared" si="1"/>
        <v>1815.5225</v>
      </c>
      <c r="G46" s="19">
        <f t="shared" si="3"/>
        <v>30.850000000000023</v>
      </c>
      <c r="H46" s="20">
        <f t="shared" si="2"/>
        <v>-2.15949999999998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0.91439999999999999</v>
      </c>
      <c r="D52" s="16">
        <v>619</v>
      </c>
      <c r="E52" s="17">
        <f t="shared" si="4"/>
        <v>52.986400000000003</v>
      </c>
      <c r="F52" s="18">
        <f t="shared" si="1"/>
        <v>2914.2520000000004</v>
      </c>
      <c r="G52" s="19">
        <f t="shared" si="3"/>
        <v>30.950000000000045</v>
      </c>
      <c r="H52" s="20">
        <f t="shared" si="2"/>
        <v>-22.036399999999958</v>
      </c>
    </row>
    <row r="53" spans="1:8" ht="13" x14ac:dyDescent="0.15">
      <c r="A53" s="12">
        <v>45580</v>
      </c>
      <c r="B53" s="13" t="s">
        <v>3</v>
      </c>
      <c r="C53" s="14">
        <v>0.96279999999999999</v>
      </c>
      <c r="D53" s="16">
        <v>618</v>
      </c>
      <c r="E53" s="17">
        <f t="shared" si="4"/>
        <v>22.989599999999996</v>
      </c>
      <c r="F53" s="18">
        <f t="shared" si="1"/>
        <v>1264.4279999999999</v>
      </c>
      <c r="G53" s="19">
        <f t="shared" si="3"/>
        <v>30.899999999999977</v>
      </c>
      <c r="H53" s="20">
        <f t="shared" si="2"/>
        <v>7.9103999999999814</v>
      </c>
    </row>
    <row r="54" spans="1:8" ht="13" x14ac:dyDescent="0.15">
      <c r="A54" s="12">
        <v>45581</v>
      </c>
      <c r="B54" s="13" t="s">
        <v>4</v>
      </c>
      <c r="C54" s="29">
        <v>0.90790000000000004</v>
      </c>
      <c r="D54" s="16">
        <v>619</v>
      </c>
      <c r="E54" s="17">
        <f t="shared" si="4"/>
        <v>57.009900000000016</v>
      </c>
      <c r="F54" s="18">
        <f t="shared" si="1"/>
        <v>3135.5445000000009</v>
      </c>
      <c r="G54" s="19">
        <f t="shared" si="3"/>
        <v>30.950000000000045</v>
      </c>
      <c r="H54" s="20">
        <f t="shared" si="2"/>
        <v>-26.059899999999971</v>
      </c>
    </row>
    <row r="55" spans="1:8" ht="13" x14ac:dyDescent="0.15">
      <c r="A55" s="12">
        <v>45582</v>
      </c>
      <c r="B55" s="13" t="s">
        <v>5</v>
      </c>
      <c r="C55" s="14">
        <v>0.93369999999999997</v>
      </c>
      <c r="D55" s="16">
        <v>618</v>
      </c>
      <c r="E55" s="17">
        <f t="shared" si="4"/>
        <v>40.97339999999997</v>
      </c>
      <c r="F55" s="18">
        <f t="shared" si="1"/>
        <v>2253.5369999999984</v>
      </c>
      <c r="G55" s="19">
        <f t="shared" si="3"/>
        <v>30.899999999999977</v>
      </c>
      <c r="H55" s="20">
        <f t="shared" si="2"/>
        <v>-10.073399999999992</v>
      </c>
    </row>
    <row r="56" spans="1:8" ht="13" x14ac:dyDescent="0.15">
      <c r="A56" s="12">
        <v>45583</v>
      </c>
      <c r="B56" s="13" t="s">
        <v>6</v>
      </c>
      <c r="C56" s="14">
        <v>0.91900000000000004</v>
      </c>
      <c r="D56" s="16">
        <v>617</v>
      </c>
      <c r="E56" s="17">
        <f t="shared" si="4"/>
        <v>49.976999999999975</v>
      </c>
      <c r="F56" s="18">
        <f t="shared" si="1"/>
        <v>2748.7349999999988</v>
      </c>
      <c r="G56" s="19">
        <f t="shared" si="3"/>
        <v>30.850000000000023</v>
      </c>
      <c r="H56" s="20">
        <f t="shared" si="2"/>
        <v>-19.126999999999953</v>
      </c>
    </row>
    <row r="57" spans="1:8" ht="13" x14ac:dyDescent="0.15">
      <c r="A57" s="12">
        <v>45586</v>
      </c>
      <c r="B57" s="13" t="s">
        <v>2</v>
      </c>
      <c r="C57" s="14">
        <v>0.93840000000000001</v>
      </c>
      <c r="D57" s="16">
        <v>617</v>
      </c>
      <c r="E57" s="17">
        <f t="shared" si="4"/>
        <v>38.007200000000012</v>
      </c>
      <c r="F57" s="18">
        <f t="shared" si="1"/>
        <v>2090.3960000000006</v>
      </c>
      <c r="G57" s="19">
        <f t="shared" si="3"/>
        <v>30.850000000000023</v>
      </c>
      <c r="H57" s="20">
        <f t="shared" si="2"/>
        <v>-7.1571999999999889</v>
      </c>
    </row>
    <row r="58" spans="1:8" ht="13" x14ac:dyDescent="0.15">
      <c r="A58" s="12">
        <v>45587</v>
      </c>
      <c r="B58" s="13" t="s">
        <v>3</v>
      </c>
      <c r="C58" s="14">
        <v>0.94189999999999996</v>
      </c>
      <c r="D58" s="16">
        <v>620</v>
      </c>
      <c r="E58" s="17">
        <f t="shared" si="4"/>
        <v>36.022000000000048</v>
      </c>
      <c r="F58" s="18">
        <f t="shared" si="1"/>
        <v>1981.2100000000028</v>
      </c>
      <c r="G58" s="19">
        <f t="shared" si="3"/>
        <v>31</v>
      </c>
      <c r="H58" s="20">
        <f t="shared" si="2"/>
        <v>-5.0220000000000482</v>
      </c>
    </row>
    <row r="59" spans="1:8" ht="13" x14ac:dyDescent="0.15">
      <c r="A59" s="12">
        <v>45588</v>
      </c>
      <c r="B59" s="13" t="s">
        <v>4</v>
      </c>
      <c r="C59" s="14">
        <v>0.94030000000000002</v>
      </c>
      <c r="D59" s="16">
        <v>620</v>
      </c>
      <c r="E59" s="17">
        <f t="shared" si="4"/>
        <v>37.01400000000001</v>
      </c>
      <c r="F59" s="18">
        <f t="shared" si="1"/>
        <v>2035.7700000000004</v>
      </c>
      <c r="G59" s="19">
        <f t="shared" si="3"/>
        <v>31</v>
      </c>
      <c r="H59" s="20">
        <f t="shared" si="2"/>
        <v>-6.01400000000001</v>
      </c>
    </row>
    <row r="60" spans="1:8" ht="13" x14ac:dyDescent="0.15">
      <c r="A60" s="12">
        <v>45589</v>
      </c>
      <c r="B60" s="13" t="s">
        <v>5</v>
      </c>
      <c r="C60" s="14">
        <v>0.93059999999999998</v>
      </c>
      <c r="D60" s="16">
        <v>620</v>
      </c>
      <c r="E60" s="17">
        <f t="shared" si="4"/>
        <v>43.02800000000002</v>
      </c>
      <c r="F60" s="18">
        <f t="shared" si="1"/>
        <v>2366.5400000000009</v>
      </c>
      <c r="G60" s="19">
        <f t="shared" si="3"/>
        <v>31</v>
      </c>
      <c r="H60" s="20">
        <f t="shared" si="2"/>
        <v>-12.02800000000002</v>
      </c>
    </row>
    <row r="61" spans="1:8" ht="13" x14ac:dyDescent="0.15">
      <c r="A61" s="12">
        <v>45590</v>
      </c>
      <c r="B61" s="13" t="s">
        <v>6</v>
      </c>
      <c r="C61" s="14">
        <v>0.92579999999999996</v>
      </c>
      <c r="D61" s="16">
        <v>620</v>
      </c>
      <c r="E61" s="17">
        <f t="shared" si="4"/>
        <v>46.004000000000019</v>
      </c>
      <c r="F61" s="18">
        <f t="shared" si="1"/>
        <v>2530.2200000000012</v>
      </c>
      <c r="G61" s="19">
        <f t="shared" si="3"/>
        <v>31</v>
      </c>
      <c r="H61" s="20">
        <f t="shared" si="2"/>
        <v>-15.004000000000019</v>
      </c>
    </row>
    <row r="62" spans="1:8" ht="13" x14ac:dyDescent="0.15">
      <c r="A62" s="12">
        <v>45593</v>
      </c>
      <c r="B62" s="13" t="s">
        <v>2</v>
      </c>
      <c r="C62" s="14">
        <v>0.95009999999999994</v>
      </c>
      <c r="D62" s="16">
        <v>621</v>
      </c>
      <c r="E62" s="17">
        <f t="shared" si="4"/>
        <v>30.987900000000081</v>
      </c>
      <c r="F62" s="18">
        <f t="shared" si="1"/>
        <v>1704.3345000000045</v>
      </c>
      <c r="G62" s="19">
        <f t="shared" si="3"/>
        <v>31.050000000000068</v>
      </c>
      <c r="H62" s="20">
        <f t="shared" si="2"/>
        <v>6.2099999999986721E-2</v>
      </c>
    </row>
    <row r="63" spans="1:8" ht="13" x14ac:dyDescent="0.15">
      <c r="A63" s="12">
        <v>45594</v>
      </c>
      <c r="B63" s="13" t="s">
        <v>3</v>
      </c>
      <c r="C63" s="14">
        <v>0.94020000000000004</v>
      </c>
      <c r="D63" s="16">
        <v>619</v>
      </c>
      <c r="E63" s="17">
        <f t="shared" si="4"/>
        <v>37.016200000000026</v>
      </c>
      <c r="F63" s="18">
        <f t="shared" si="1"/>
        <v>2035.8910000000014</v>
      </c>
      <c r="G63" s="19">
        <f t="shared" si="3"/>
        <v>30.950000000000045</v>
      </c>
      <c r="H63" s="20">
        <f t="shared" si="2"/>
        <v>-6.0661999999999807</v>
      </c>
    </row>
    <row r="64" spans="1:8" ht="13" x14ac:dyDescent="0.15">
      <c r="A64" s="12">
        <v>45595</v>
      </c>
      <c r="B64" s="13" t="s">
        <v>4</v>
      </c>
      <c r="C64" s="14">
        <v>0.95</v>
      </c>
      <c r="D64" s="16">
        <v>620</v>
      </c>
      <c r="E64" s="17">
        <f t="shared" si="4"/>
        <v>31</v>
      </c>
      <c r="F64" s="18">
        <f t="shared" si="1"/>
        <v>1705</v>
      </c>
      <c r="G64" s="19">
        <f t="shared" si="3"/>
        <v>31</v>
      </c>
      <c r="H64" s="20">
        <f t="shared" si="2"/>
        <v>0</v>
      </c>
    </row>
    <row r="65" spans="1:8" ht="13" x14ac:dyDescent="0.15">
      <c r="A65" s="12">
        <v>45596</v>
      </c>
      <c r="B65" s="13" t="s">
        <v>5</v>
      </c>
      <c r="C65" s="14">
        <v>0.93700000000000006</v>
      </c>
      <c r="D65" s="16">
        <v>619</v>
      </c>
      <c r="E65" s="17">
        <f t="shared" si="4"/>
        <v>38.996999999999957</v>
      </c>
      <c r="F65" s="18">
        <f t="shared" si="1"/>
        <v>2144.8349999999978</v>
      </c>
      <c r="G65" s="19">
        <f t="shared" si="3"/>
        <v>30.950000000000045</v>
      </c>
      <c r="H65" s="20">
        <f t="shared" si="2"/>
        <v>-8.0469999999999118</v>
      </c>
    </row>
    <row r="66" spans="1:8" ht="13" x14ac:dyDescent="0.15">
      <c r="A66" s="12">
        <v>45597</v>
      </c>
      <c r="B66" s="13" t="s">
        <v>6</v>
      </c>
      <c r="C66" s="14">
        <v>0.89159999999999995</v>
      </c>
      <c r="D66" s="16">
        <v>618</v>
      </c>
      <c r="E66" s="17">
        <f t="shared" si="4"/>
        <v>66.991200000000049</v>
      </c>
      <c r="F66" s="18">
        <f t="shared" si="1"/>
        <v>3684.5160000000028</v>
      </c>
      <c r="G66" s="19">
        <f t="shared" si="3"/>
        <v>30.899999999999977</v>
      </c>
      <c r="H66" s="20">
        <f t="shared" si="2"/>
        <v>-36.091200000000072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0.95109999999999995</v>
      </c>
      <c r="D69" s="16">
        <v>613</v>
      </c>
      <c r="E69" s="17">
        <f t="shared" si="4"/>
        <v>29.975700000000074</v>
      </c>
      <c r="F69" s="18">
        <f t="shared" si="1"/>
        <v>1648.6635000000042</v>
      </c>
      <c r="G69" s="19">
        <f t="shared" si="3"/>
        <v>30.649999999999977</v>
      </c>
      <c r="H69" s="20">
        <f t="shared" si="2"/>
        <v>0.67429999999990287</v>
      </c>
    </row>
    <row r="70" spans="1:8" ht="13" x14ac:dyDescent="0.15">
      <c r="A70" s="12">
        <v>45603</v>
      </c>
      <c r="B70" s="13" t="s">
        <v>5</v>
      </c>
      <c r="C70" s="14">
        <v>0.94940000000000002</v>
      </c>
      <c r="D70" s="16">
        <v>613</v>
      </c>
      <c r="E70" s="17">
        <f t="shared" si="4"/>
        <v>31.017799999999966</v>
      </c>
      <c r="F70" s="18">
        <f t="shared" si="1"/>
        <v>1705.978999999998</v>
      </c>
      <c r="G70" s="19">
        <f t="shared" si="3"/>
        <v>30.649999999999977</v>
      </c>
      <c r="H70" s="20">
        <f t="shared" si="2"/>
        <v>-0.36779999999998836</v>
      </c>
    </row>
    <row r="71" spans="1:8" ht="13" x14ac:dyDescent="0.15">
      <c r="A71" s="12">
        <v>45604</v>
      </c>
      <c r="B71" s="13" t="s">
        <v>6</v>
      </c>
      <c r="C71" s="14">
        <v>0.93010000000000004</v>
      </c>
      <c r="D71" s="16">
        <v>615</v>
      </c>
      <c r="E71" s="17">
        <f t="shared" ref="E71:E102" si="5">D71-(C71*D71)</f>
        <v>42.988499999999931</v>
      </c>
      <c r="F71" s="18">
        <f t="shared" si="1"/>
        <v>2364.3674999999962</v>
      </c>
      <c r="G71" s="19">
        <f t="shared" si="3"/>
        <v>30.75</v>
      </c>
      <c r="H71" s="20">
        <f t="shared" si="2"/>
        <v>-12.238499999999931</v>
      </c>
    </row>
    <row r="72" spans="1:8" ht="13" x14ac:dyDescent="0.15">
      <c r="A72" s="12">
        <v>45607</v>
      </c>
      <c r="B72" s="13" t="s">
        <v>2</v>
      </c>
      <c r="C72" s="14">
        <v>0.92349999999999999</v>
      </c>
      <c r="D72" s="16">
        <v>614</v>
      </c>
      <c r="E72" s="17">
        <f t="shared" si="5"/>
        <v>46.971000000000004</v>
      </c>
      <c r="F72" s="18">
        <f t="shared" si="1"/>
        <v>2583.4050000000002</v>
      </c>
      <c r="G72" s="19">
        <f t="shared" si="3"/>
        <v>30.700000000000045</v>
      </c>
      <c r="H72" s="20">
        <f t="shared" si="2"/>
        <v>-16.270999999999958</v>
      </c>
    </row>
    <row r="73" spans="1:8" ht="13" x14ac:dyDescent="0.15">
      <c r="A73" s="12">
        <v>45608</v>
      </c>
      <c r="B73" s="13" t="s">
        <v>3</v>
      </c>
      <c r="C73" s="14">
        <v>0.93830000000000002</v>
      </c>
      <c r="D73" s="16">
        <v>616</v>
      </c>
      <c r="E73" s="17">
        <f t="shared" si="5"/>
        <v>38.007200000000012</v>
      </c>
      <c r="F73" s="18">
        <f t="shared" si="1"/>
        <v>2090.3960000000006</v>
      </c>
      <c r="G73" s="19">
        <f t="shared" si="3"/>
        <v>30.800000000000068</v>
      </c>
      <c r="H73" s="20">
        <f t="shared" si="2"/>
        <v>-7.2071999999999434</v>
      </c>
    </row>
    <row r="74" spans="1:8" ht="13" x14ac:dyDescent="0.15">
      <c r="A74" s="12">
        <v>45609</v>
      </c>
      <c r="B74" s="13" t="s">
        <v>4</v>
      </c>
      <c r="C74" s="14">
        <v>0.93969999999999998</v>
      </c>
      <c r="D74" s="16">
        <v>614</v>
      </c>
      <c r="E74" s="17">
        <f t="shared" si="5"/>
        <v>37.024200000000064</v>
      </c>
      <c r="F74" s="18">
        <f t="shared" si="1"/>
        <v>2036.3310000000035</v>
      </c>
      <c r="G74" s="19">
        <f t="shared" si="3"/>
        <v>30.700000000000045</v>
      </c>
      <c r="H74" s="20">
        <f t="shared" si="2"/>
        <v>-6.3242000000000189</v>
      </c>
    </row>
    <row r="75" spans="1:8" ht="13" x14ac:dyDescent="0.15">
      <c r="A75" s="12">
        <v>45610</v>
      </c>
      <c r="B75" s="13" t="s">
        <v>5</v>
      </c>
      <c r="C75" s="14">
        <v>0.93</v>
      </c>
      <c r="D75" s="16">
        <v>614</v>
      </c>
      <c r="E75" s="17">
        <f t="shared" si="5"/>
        <v>42.980000000000018</v>
      </c>
      <c r="F75" s="18">
        <f t="shared" si="1"/>
        <v>2363.900000000001</v>
      </c>
      <c r="G75" s="19">
        <f t="shared" si="3"/>
        <v>30.700000000000045</v>
      </c>
      <c r="H75" s="20">
        <f t="shared" si="2"/>
        <v>-12.279999999999973</v>
      </c>
    </row>
    <row r="76" spans="1:8" ht="13" x14ac:dyDescent="0.15">
      <c r="A76" s="12">
        <v>45611</v>
      </c>
      <c r="B76" s="13" t="s">
        <v>6</v>
      </c>
      <c r="C76" s="14">
        <v>0.93159999999999998</v>
      </c>
      <c r="D76" s="16">
        <v>614</v>
      </c>
      <c r="E76" s="17">
        <f t="shared" si="5"/>
        <v>41.997600000000034</v>
      </c>
      <c r="F76" s="18">
        <f t="shared" si="1"/>
        <v>2309.8680000000018</v>
      </c>
      <c r="G76" s="19">
        <f t="shared" si="3"/>
        <v>30.700000000000045</v>
      </c>
      <c r="H76" s="20">
        <f t="shared" si="2"/>
        <v>-11.297599999999989</v>
      </c>
    </row>
    <row r="77" spans="1:8" ht="13" x14ac:dyDescent="0.15">
      <c r="A77" s="12">
        <v>45614</v>
      </c>
      <c r="B77" s="13" t="s">
        <v>2</v>
      </c>
      <c r="C77" s="14">
        <v>0.95130000000000003</v>
      </c>
      <c r="D77" s="16">
        <v>616</v>
      </c>
      <c r="E77" s="17">
        <f t="shared" si="5"/>
        <v>29.999199999999973</v>
      </c>
      <c r="F77" s="18">
        <f t="shared" si="1"/>
        <v>1649.9559999999985</v>
      </c>
      <c r="G77" s="19">
        <f t="shared" si="3"/>
        <v>30.800000000000068</v>
      </c>
      <c r="H77" s="20">
        <f t="shared" si="2"/>
        <v>0.80080000000009477</v>
      </c>
    </row>
    <row r="78" spans="1:8" ht="13" x14ac:dyDescent="0.15">
      <c r="A78" s="12">
        <v>45615</v>
      </c>
      <c r="B78" s="13" t="s">
        <v>3</v>
      </c>
      <c r="C78" s="14">
        <v>0.94969999999999999</v>
      </c>
      <c r="D78" s="16">
        <v>616</v>
      </c>
      <c r="E78" s="17">
        <f t="shared" si="5"/>
        <v>30.98479999999995</v>
      </c>
      <c r="F78" s="18">
        <f t="shared" si="1"/>
        <v>1704.1639999999973</v>
      </c>
      <c r="G78" s="19">
        <f t="shared" si="3"/>
        <v>30.800000000000068</v>
      </c>
      <c r="H78" s="20">
        <f t="shared" si="2"/>
        <v>-0.18479999999988195</v>
      </c>
    </row>
    <row r="79" spans="1:8" ht="13" x14ac:dyDescent="0.15">
      <c r="A79" s="12">
        <v>45616</v>
      </c>
      <c r="B79" s="13" t="s">
        <v>4</v>
      </c>
      <c r="C79" s="14">
        <v>0.93179999999999996</v>
      </c>
      <c r="D79" s="16">
        <v>616</v>
      </c>
      <c r="E79" s="17">
        <f t="shared" si="5"/>
        <v>42.011200000000031</v>
      </c>
      <c r="F79" s="18">
        <f t="shared" si="1"/>
        <v>2310.6160000000018</v>
      </c>
      <c r="G79" s="19">
        <f t="shared" si="3"/>
        <v>30.800000000000068</v>
      </c>
      <c r="H79" s="20">
        <f t="shared" si="2"/>
        <v>-11.211199999999963</v>
      </c>
    </row>
    <row r="80" spans="1:8" ht="13" x14ac:dyDescent="0.15">
      <c r="A80" s="12">
        <v>45617</v>
      </c>
      <c r="B80" s="13" t="s">
        <v>5</v>
      </c>
      <c r="C80" s="14">
        <v>0.9335</v>
      </c>
      <c r="D80" s="16">
        <v>617</v>
      </c>
      <c r="E80" s="17">
        <f t="shared" si="5"/>
        <v>41.030499999999961</v>
      </c>
      <c r="F80" s="18">
        <f t="shared" si="1"/>
        <v>2256.677499999998</v>
      </c>
      <c r="G80" s="19">
        <f t="shared" si="3"/>
        <v>30.850000000000023</v>
      </c>
      <c r="H80" s="20">
        <f t="shared" si="2"/>
        <v>-10.180499999999938</v>
      </c>
    </row>
    <row r="81" spans="1:8" ht="13" x14ac:dyDescent="0.15">
      <c r="A81" s="12">
        <v>45618</v>
      </c>
      <c r="B81" s="13" t="s">
        <v>6</v>
      </c>
      <c r="C81" s="14">
        <v>0.87519999999999998</v>
      </c>
      <c r="D81" s="16">
        <v>617</v>
      </c>
      <c r="E81" s="17">
        <f t="shared" si="5"/>
        <v>77.001600000000053</v>
      </c>
      <c r="F81" s="18">
        <f t="shared" si="1"/>
        <v>4235.0880000000034</v>
      </c>
      <c r="G81" s="19">
        <f t="shared" si="3"/>
        <v>30.850000000000023</v>
      </c>
      <c r="H81" s="20">
        <f t="shared" si="2"/>
        <v>-46.15160000000003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0.92689999999999995</v>
      </c>
      <c r="D87" s="16">
        <v>616</v>
      </c>
      <c r="E87" s="17">
        <f t="shared" si="5"/>
        <v>45.029600000000073</v>
      </c>
      <c r="F87" s="18">
        <f t="shared" si="1"/>
        <v>2476.6280000000042</v>
      </c>
      <c r="G87" s="19">
        <f t="shared" si="3"/>
        <v>30.800000000000068</v>
      </c>
      <c r="H87" s="20">
        <f t="shared" si="2"/>
        <v>-14.229600000000005</v>
      </c>
    </row>
    <row r="88" spans="1:8" ht="13" x14ac:dyDescent="0.15">
      <c r="A88" s="12">
        <v>45629</v>
      </c>
      <c r="B88" s="13" t="s">
        <v>3</v>
      </c>
      <c r="C88" s="14">
        <v>0.93510000000000004</v>
      </c>
      <c r="D88" s="16">
        <v>616</v>
      </c>
      <c r="E88" s="17">
        <f t="shared" si="5"/>
        <v>39.978399999999965</v>
      </c>
      <c r="F88" s="18">
        <f t="shared" si="1"/>
        <v>2198.8119999999981</v>
      </c>
      <c r="G88" s="19">
        <f t="shared" si="3"/>
        <v>30.800000000000068</v>
      </c>
      <c r="H88" s="20">
        <f t="shared" si="2"/>
        <v>-9.1783999999998969</v>
      </c>
    </row>
    <row r="89" spans="1:8" ht="13" x14ac:dyDescent="0.15">
      <c r="A89" s="12">
        <v>45630</v>
      </c>
      <c r="B89" s="13" t="s">
        <v>4</v>
      </c>
      <c r="C89" s="14">
        <v>0.94169999999999998</v>
      </c>
      <c r="D89" s="16">
        <v>618</v>
      </c>
      <c r="E89" s="17">
        <f t="shared" si="5"/>
        <v>36.02940000000001</v>
      </c>
      <c r="F89" s="18">
        <f t="shared" si="1"/>
        <v>1981.6170000000006</v>
      </c>
      <c r="G89" s="19">
        <f t="shared" si="3"/>
        <v>30.899999999999977</v>
      </c>
      <c r="H89" s="20">
        <f t="shared" si="2"/>
        <v>-5.1294000000000324</v>
      </c>
    </row>
    <row r="90" spans="1:8" ht="13" x14ac:dyDescent="0.15">
      <c r="A90" s="12">
        <v>45631</v>
      </c>
      <c r="B90" s="13" t="s">
        <v>5</v>
      </c>
      <c r="C90" s="14">
        <v>0.94340000000000002</v>
      </c>
      <c r="D90" s="16">
        <v>618</v>
      </c>
      <c r="E90" s="17">
        <f t="shared" si="5"/>
        <v>34.978799999999978</v>
      </c>
      <c r="F90" s="18">
        <f t="shared" si="1"/>
        <v>1923.8339999999989</v>
      </c>
      <c r="G90" s="19">
        <f t="shared" si="3"/>
        <v>30.899999999999977</v>
      </c>
      <c r="H90" s="20">
        <f t="shared" si="2"/>
        <v>-4.0788000000000011</v>
      </c>
    </row>
    <row r="91" spans="1:8" ht="13" x14ac:dyDescent="0.15">
      <c r="A91" s="12">
        <v>45632</v>
      </c>
      <c r="B91" s="13" t="s">
        <v>6</v>
      </c>
      <c r="C91" s="14">
        <v>0.93369999999999997</v>
      </c>
      <c r="D91" s="16">
        <v>618</v>
      </c>
      <c r="E91" s="17">
        <f t="shared" si="5"/>
        <v>40.97339999999997</v>
      </c>
      <c r="F91" s="18">
        <f t="shared" si="1"/>
        <v>2253.5369999999984</v>
      </c>
      <c r="G91" s="19">
        <f t="shared" si="3"/>
        <v>30.899999999999977</v>
      </c>
      <c r="H91" s="20">
        <f t="shared" si="2"/>
        <v>-10.073399999999992</v>
      </c>
    </row>
    <row r="92" spans="1:8" ht="13" x14ac:dyDescent="0.15">
      <c r="A92" s="12">
        <v>45635</v>
      </c>
      <c r="B92" s="13" t="s">
        <v>2</v>
      </c>
      <c r="C92" s="14">
        <v>0.95950000000000002</v>
      </c>
      <c r="D92" s="16">
        <v>618</v>
      </c>
      <c r="E92" s="17">
        <f t="shared" si="5"/>
        <v>25.028999999999996</v>
      </c>
      <c r="F92" s="18">
        <f t="shared" si="1"/>
        <v>1376.5949999999998</v>
      </c>
      <c r="G92" s="19">
        <f t="shared" si="3"/>
        <v>30.899999999999977</v>
      </c>
      <c r="H92" s="20">
        <f t="shared" si="2"/>
        <v>5.8709999999999809</v>
      </c>
    </row>
    <row r="93" spans="1:8" ht="13" x14ac:dyDescent="0.15">
      <c r="A93" s="12">
        <v>45636</v>
      </c>
      <c r="B93" s="13" t="s">
        <v>3</v>
      </c>
      <c r="C93" s="14">
        <v>0.95950000000000002</v>
      </c>
      <c r="D93" s="16">
        <v>618</v>
      </c>
      <c r="E93" s="17">
        <f t="shared" si="5"/>
        <v>25.028999999999996</v>
      </c>
      <c r="F93" s="18">
        <f t="shared" si="1"/>
        <v>1376.5949999999998</v>
      </c>
      <c r="G93" s="19">
        <f t="shared" si="3"/>
        <v>30.899999999999977</v>
      </c>
      <c r="H93" s="20">
        <f t="shared" si="2"/>
        <v>5.8709999999999809</v>
      </c>
    </row>
    <row r="94" spans="1:8" ht="13" x14ac:dyDescent="0.15">
      <c r="A94" s="12">
        <v>45637</v>
      </c>
      <c r="B94" s="13" t="s">
        <v>4</v>
      </c>
      <c r="C94" s="14">
        <v>0.95169999999999999</v>
      </c>
      <c r="D94" s="16">
        <v>621</v>
      </c>
      <c r="E94" s="17">
        <f t="shared" si="5"/>
        <v>29.994299999999953</v>
      </c>
      <c r="F94" s="18">
        <f t="shared" si="1"/>
        <v>1649.6864999999975</v>
      </c>
      <c r="G94" s="19">
        <f t="shared" si="3"/>
        <v>31.050000000000068</v>
      </c>
      <c r="H94" s="20">
        <f t="shared" si="2"/>
        <v>1.0557000000001153</v>
      </c>
    </row>
    <row r="95" spans="1:8" ht="13" x14ac:dyDescent="0.15">
      <c r="A95" s="12">
        <v>45638</v>
      </c>
      <c r="B95" s="13" t="s">
        <v>5</v>
      </c>
      <c r="C95" s="14">
        <v>0.93559999999999999</v>
      </c>
      <c r="D95" s="16">
        <v>621</v>
      </c>
      <c r="E95" s="17">
        <f t="shared" si="5"/>
        <v>39.992399999999975</v>
      </c>
      <c r="F95" s="18">
        <f t="shared" si="1"/>
        <v>2199.5819999999985</v>
      </c>
      <c r="G95" s="19">
        <f t="shared" si="3"/>
        <v>31.050000000000068</v>
      </c>
      <c r="H95" s="20">
        <f t="shared" si="2"/>
        <v>-8.9423999999999069</v>
      </c>
    </row>
    <row r="96" spans="1:8" ht="13" x14ac:dyDescent="0.15">
      <c r="A96" s="12">
        <v>45639</v>
      </c>
      <c r="B96" s="13" t="s">
        <v>6</v>
      </c>
      <c r="C96" s="14">
        <v>0.92910000000000004</v>
      </c>
      <c r="D96" s="16">
        <v>621</v>
      </c>
      <c r="E96" s="17">
        <f t="shared" si="5"/>
        <v>44.028900000000021</v>
      </c>
      <c r="F96" s="18">
        <f t="shared" si="1"/>
        <v>2421.589500000001</v>
      </c>
      <c r="G96" s="19">
        <f t="shared" si="3"/>
        <v>31.050000000000068</v>
      </c>
      <c r="H96" s="20">
        <f t="shared" si="2"/>
        <v>-12.978899999999953</v>
      </c>
    </row>
    <row r="97" spans="1:8" ht="13" x14ac:dyDescent="0.15">
      <c r="A97" s="12">
        <v>45642</v>
      </c>
      <c r="B97" s="13" t="s">
        <v>2</v>
      </c>
      <c r="C97" s="14">
        <v>0.93559999999999999</v>
      </c>
      <c r="D97" s="16">
        <v>621</v>
      </c>
      <c r="E97" s="17">
        <f t="shared" si="5"/>
        <v>39.992399999999975</v>
      </c>
      <c r="F97" s="18">
        <f t="shared" si="1"/>
        <v>2199.5819999999985</v>
      </c>
      <c r="G97" s="19">
        <f t="shared" si="3"/>
        <v>31.050000000000068</v>
      </c>
      <c r="H97" s="20">
        <f t="shared" si="2"/>
        <v>-8.9423999999999069</v>
      </c>
    </row>
    <row r="98" spans="1:8" ht="13" x14ac:dyDescent="0.15">
      <c r="A98" s="12">
        <v>45643</v>
      </c>
      <c r="B98" s="13" t="s">
        <v>3</v>
      </c>
      <c r="C98" s="14">
        <v>0.95009999999999994</v>
      </c>
      <c r="D98" s="16">
        <v>621</v>
      </c>
      <c r="E98" s="17">
        <f t="shared" si="5"/>
        <v>30.987900000000081</v>
      </c>
      <c r="F98" s="18">
        <f t="shared" si="1"/>
        <v>1704.3345000000045</v>
      </c>
      <c r="G98" s="19">
        <f t="shared" si="3"/>
        <v>31.050000000000068</v>
      </c>
      <c r="H98" s="20">
        <f t="shared" si="2"/>
        <v>6.2099999999986721E-2</v>
      </c>
    </row>
    <row r="99" spans="1:8" ht="13" x14ac:dyDescent="0.15">
      <c r="A99" s="12">
        <v>45644</v>
      </c>
      <c r="B99" s="13" t="s">
        <v>4</v>
      </c>
      <c r="C99" s="14">
        <v>0.95350000000000001</v>
      </c>
      <c r="D99" s="16">
        <v>623</v>
      </c>
      <c r="E99" s="17">
        <f t="shared" si="5"/>
        <v>28.969500000000039</v>
      </c>
      <c r="F99" s="18">
        <f t="shared" si="1"/>
        <v>1593.322500000002</v>
      </c>
      <c r="G99" s="19">
        <f t="shared" si="3"/>
        <v>31.149999999999977</v>
      </c>
      <c r="H99" s="20">
        <f t="shared" si="2"/>
        <v>2.1804999999999382</v>
      </c>
    </row>
    <row r="100" spans="1:8" ht="13" x14ac:dyDescent="0.15">
      <c r="A100" s="12">
        <v>45645</v>
      </c>
      <c r="B100" s="13" t="s">
        <v>5</v>
      </c>
      <c r="C100" s="14">
        <v>0.95499999999999996</v>
      </c>
      <c r="D100" s="16">
        <v>622</v>
      </c>
      <c r="E100" s="17">
        <f t="shared" si="5"/>
        <v>27.990000000000009</v>
      </c>
      <c r="F100" s="18">
        <f t="shared" si="1"/>
        <v>1539.4500000000005</v>
      </c>
      <c r="G100" s="19">
        <f t="shared" si="3"/>
        <v>31.100000000000023</v>
      </c>
      <c r="H100" s="20">
        <f t="shared" si="2"/>
        <v>3.1100000000000136</v>
      </c>
    </row>
    <row r="101" spans="1:8" ht="13" x14ac:dyDescent="0.15">
      <c r="A101" s="12">
        <v>45646</v>
      </c>
      <c r="B101" s="13" t="s">
        <v>6</v>
      </c>
      <c r="C101" s="14">
        <v>0.92279999999999995</v>
      </c>
      <c r="D101" s="16">
        <v>622</v>
      </c>
      <c r="E101" s="17">
        <f t="shared" si="5"/>
        <v>48.018400000000042</v>
      </c>
      <c r="F101" s="18">
        <f t="shared" si="1"/>
        <v>2641.0120000000024</v>
      </c>
      <c r="G101" s="19">
        <f t="shared" si="3"/>
        <v>31.100000000000023</v>
      </c>
      <c r="H101" s="20">
        <f t="shared" si="2"/>
        <v>-16.91840000000002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0.93410000000000004</v>
      </c>
      <c r="D114" s="16">
        <v>622</v>
      </c>
      <c r="E114" s="17">
        <f t="shared" si="6"/>
        <v>40.989799999999946</v>
      </c>
      <c r="F114" s="18">
        <f t="shared" si="1"/>
        <v>2254.4389999999971</v>
      </c>
      <c r="G114" s="19">
        <f t="shared" si="3"/>
        <v>31.100000000000023</v>
      </c>
      <c r="H114" s="20">
        <f t="shared" si="2"/>
        <v>-9.8897999999999229</v>
      </c>
    </row>
    <row r="115" spans="1:8" ht="13" x14ac:dyDescent="0.15">
      <c r="A115" s="12">
        <v>45666</v>
      </c>
      <c r="B115" s="13" t="s">
        <v>5</v>
      </c>
      <c r="C115" s="14">
        <v>0.92779999999999996</v>
      </c>
      <c r="D115" s="16">
        <v>623</v>
      </c>
      <c r="E115" s="17">
        <f t="shared" si="6"/>
        <v>44.980599999999981</v>
      </c>
      <c r="F115" s="18">
        <f t="shared" si="1"/>
        <v>2473.9329999999991</v>
      </c>
      <c r="G115" s="19">
        <f t="shared" si="3"/>
        <v>31.149999999999977</v>
      </c>
      <c r="H115" s="20">
        <f t="shared" si="2"/>
        <v>-13.830600000000004</v>
      </c>
    </row>
    <row r="116" spans="1:8" ht="13" x14ac:dyDescent="0.15">
      <c r="A116" s="12">
        <v>45667</v>
      </c>
      <c r="B116" s="13" t="s">
        <v>6</v>
      </c>
      <c r="C116" s="14">
        <v>0.92269999999999996</v>
      </c>
      <c r="D116" s="16">
        <v>621</v>
      </c>
      <c r="E116" s="17">
        <f t="shared" si="6"/>
        <v>48.003299999999967</v>
      </c>
      <c r="F116" s="18">
        <f t="shared" si="1"/>
        <v>2640.1814999999983</v>
      </c>
      <c r="G116" s="19">
        <f t="shared" si="3"/>
        <v>31.050000000000068</v>
      </c>
      <c r="H116" s="20">
        <f t="shared" si="2"/>
        <v>-16.953299999999899</v>
      </c>
    </row>
    <row r="117" spans="1:8" ht="13" x14ac:dyDescent="0.15">
      <c r="A117" s="12">
        <v>45670</v>
      </c>
      <c r="B117" s="13" t="s">
        <v>2</v>
      </c>
      <c r="C117" s="14">
        <v>0.9375</v>
      </c>
      <c r="D117" s="16">
        <v>624</v>
      </c>
      <c r="E117" s="17">
        <f t="shared" si="6"/>
        <v>39</v>
      </c>
      <c r="F117" s="18">
        <f t="shared" si="1"/>
        <v>2145</v>
      </c>
      <c r="G117" s="19">
        <f t="shared" si="3"/>
        <v>31.200000000000045</v>
      </c>
      <c r="H117" s="20">
        <f t="shared" si="2"/>
        <v>-7.7999999999999545</v>
      </c>
    </row>
    <row r="118" spans="1:8" ht="13" x14ac:dyDescent="0.15">
      <c r="A118" s="12">
        <v>45671</v>
      </c>
      <c r="B118" s="13" t="s">
        <v>3</v>
      </c>
      <c r="C118" s="14">
        <v>0.94230000000000003</v>
      </c>
      <c r="D118" s="16">
        <v>624</v>
      </c>
      <c r="E118" s="17">
        <f t="shared" si="6"/>
        <v>36.004799999999932</v>
      </c>
      <c r="F118" s="18">
        <f t="shared" si="1"/>
        <v>1980.2639999999963</v>
      </c>
      <c r="G118" s="19">
        <f t="shared" si="3"/>
        <v>31.200000000000045</v>
      </c>
      <c r="H118" s="20">
        <f t="shared" si="2"/>
        <v>-4.8047999999998865</v>
      </c>
    </row>
    <row r="119" spans="1:8" ht="13" x14ac:dyDescent="0.15">
      <c r="A119" s="12">
        <v>45672</v>
      </c>
      <c r="B119" s="13" t="s">
        <v>4</v>
      </c>
      <c r="C119" s="14">
        <v>0.95840000000000003</v>
      </c>
      <c r="D119" s="16">
        <v>625</v>
      </c>
      <c r="E119" s="17">
        <f t="shared" si="6"/>
        <v>26</v>
      </c>
      <c r="F119" s="18">
        <f t="shared" si="1"/>
        <v>1430</v>
      </c>
      <c r="G119" s="19">
        <f t="shared" si="3"/>
        <v>31.25</v>
      </c>
      <c r="H119" s="20">
        <f t="shared" si="2"/>
        <v>5.25</v>
      </c>
    </row>
    <row r="120" spans="1:8" ht="13" x14ac:dyDescent="0.15">
      <c r="A120" s="12">
        <v>45673</v>
      </c>
      <c r="B120" s="13" t="s">
        <v>5</v>
      </c>
      <c r="C120" s="14">
        <v>0.9425</v>
      </c>
      <c r="D120" s="16">
        <v>626</v>
      </c>
      <c r="E120" s="17">
        <f t="shared" si="6"/>
        <v>35.995000000000005</v>
      </c>
      <c r="F120" s="18">
        <f t="shared" si="1"/>
        <v>1979.7250000000004</v>
      </c>
      <c r="G120" s="19">
        <f t="shared" si="3"/>
        <v>31.300000000000068</v>
      </c>
      <c r="H120" s="20">
        <f t="shared" si="2"/>
        <v>-4.6949999999999363</v>
      </c>
    </row>
    <row r="121" spans="1:8" ht="13" x14ac:dyDescent="0.15">
      <c r="A121" s="12">
        <v>45674</v>
      </c>
      <c r="B121" s="13" t="s">
        <v>6</v>
      </c>
      <c r="C121" s="14">
        <v>0.91210000000000002</v>
      </c>
      <c r="D121" s="16">
        <v>626</v>
      </c>
      <c r="E121" s="17">
        <f t="shared" si="6"/>
        <v>55.025399999999991</v>
      </c>
      <c r="F121" s="18">
        <f t="shared" si="1"/>
        <v>3026.3969999999995</v>
      </c>
      <c r="G121" s="19">
        <f t="shared" si="3"/>
        <v>31.300000000000068</v>
      </c>
      <c r="H121" s="20">
        <f t="shared" si="2"/>
        <v>-23.725399999999922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0.82399999999999995</v>
      </c>
      <c r="D125" s="16">
        <v>625</v>
      </c>
      <c r="E125" s="17">
        <f t="shared" si="6"/>
        <v>110</v>
      </c>
      <c r="F125" s="18">
        <f t="shared" si="1"/>
        <v>6050</v>
      </c>
      <c r="G125" s="19">
        <f t="shared" si="3"/>
        <v>31.25</v>
      </c>
      <c r="H125" s="20">
        <f t="shared" si="2"/>
        <v>-78.75</v>
      </c>
    </row>
    <row r="126" spans="1:8" ht="13" x14ac:dyDescent="0.15">
      <c r="A126" s="12">
        <v>45681</v>
      </c>
      <c r="B126" s="13" t="s">
        <v>6</v>
      </c>
      <c r="C126" s="14">
        <v>0.91520000000000001</v>
      </c>
      <c r="D126" s="16">
        <v>625</v>
      </c>
      <c r="E126" s="17">
        <f t="shared" si="6"/>
        <v>53</v>
      </c>
      <c r="F126" s="18">
        <f t="shared" si="1"/>
        <v>2915</v>
      </c>
      <c r="G126" s="19">
        <f t="shared" si="3"/>
        <v>31.25</v>
      </c>
      <c r="H126" s="20">
        <f t="shared" si="2"/>
        <v>-21.75</v>
      </c>
    </row>
    <row r="127" spans="1:8" ht="13" x14ac:dyDescent="0.15">
      <c r="A127" s="12">
        <v>45684</v>
      </c>
      <c r="B127" s="13" t="s">
        <v>2</v>
      </c>
      <c r="C127" s="14">
        <v>0.96650000000000003</v>
      </c>
      <c r="D127" s="16">
        <v>627</v>
      </c>
      <c r="E127" s="17">
        <f t="shared" si="6"/>
        <v>21.004500000000007</v>
      </c>
      <c r="F127" s="18">
        <f t="shared" si="1"/>
        <v>1155.2475000000004</v>
      </c>
      <c r="G127" s="19">
        <f t="shared" si="3"/>
        <v>31.350000000000023</v>
      </c>
      <c r="H127" s="20">
        <f t="shared" si="2"/>
        <v>10.345500000000015</v>
      </c>
    </row>
    <row r="128" spans="1:8" ht="13" x14ac:dyDescent="0.15">
      <c r="A128" s="12">
        <v>45685</v>
      </c>
      <c r="B128" s="13" t="s">
        <v>3</v>
      </c>
      <c r="C128" s="14">
        <v>0.95069999999999999</v>
      </c>
      <c r="D128" s="16">
        <v>629</v>
      </c>
      <c r="E128" s="17">
        <f t="shared" si="6"/>
        <v>31.009699999999953</v>
      </c>
      <c r="F128" s="18">
        <f t="shared" si="1"/>
        <v>1705.5334999999973</v>
      </c>
      <c r="G128" s="19">
        <f t="shared" si="3"/>
        <v>31.450000000000045</v>
      </c>
      <c r="H128" s="20">
        <f t="shared" si="2"/>
        <v>0.44030000000009295</v>
      </c>
    </row>
    <row r="129" spans="1:8" ht="13" x14ac:dyDescent="0.15">
      <c r="A129" s="12">
        <v>45686</v>
      </c>
      <c r="B129" s="13" t="s">
        <v>4</v>
      </c>
      <c r="C129" s="14">
        <v>0.93959999999999999</v>
      </c>
      <c r="D129" s="16">
        <v>629</v>
      </c>
      <c r="E129" s="17">
        <f t="shared" si="6"/>
        <v>37.991600000000062</v>
      </c>
      <c r="F129" s="18">
        <f t="shared" si="1"/>
        <v>2089.5380000000032</v>
      </c>
      <c r="G129" s="19">
        <f t="shared" si="3"/>
        <v>31.450000000000045</v>
      </c>
      <c r="H129" s="20">
        <f t="shared" si="2"/>
        <v>-6.5416000000000167</v>
      </c>
    </row>
    <row r="130" spans="1:8" ht="13" x14ac:dyDescent="0.15">
      <c r="A130" s="12">
        <v>45687</v>
      </c>
      <c r="B130" s="13" t="s">
        <v>5</v>
      </c>
      <c r="C130" s="14">
        <v>0.9304</v>
      </c>
      <c r="D130" s="16">
        <v>632</v>
      </c>
      <c r="E130" s="17">
        <f t="shared" si="6"/>
        <v>43.98720000000003</v>
      </c>
      <c r="F130" s="18">
        <f t="shared" si="1"/>
        <v>2419.2960000000016</v>
      </c>
      <c r="G130" s="19">
        <f t="shared" si="3"/>
        <v>31.600000000000023</v>
      </c>
      <c r="H130" s="20">
        <f t="shared" si="2"/>
        <v>-12.387200000000007</v>
      </c>
    </row>
    <row r="131" spans="1:8" ht="13" x14ac:dyDescent="0.15">
      <c r="A131" s="12">
        <v>45688</v>
      </c>
      <c r="B131" s="13" t="s">
        <v>6</v>
      </c>
      <c r="C131" s="14">
        <v>0.91410000000000002</v>
      </c>
      <c r="E131" s="17">
        <f t="shared" si="6"/>
        <v>0</v>
      </c>
      <c r="F131" s="18">
        <f t="shared" si="1"/>
        <v>0</v>
      </c>
      <c r="G131" s="19">
        <f t="shared" si="3"/>
        <v>0</v>
      </c>
      <c r="H131" s="20">
        <f t="shared" si="2"/>
        <v>0</v>
      </c>
    </row>
    <row r="132" spans="1:8" ht="13" x14ac:dyDescent="0.15">
      <c r="A132" s="12">
        <v>45691</v>
      </c>
      <c r="B132" s="13" t="s">
        <v>2</v>
      </c>
      <c r="C132" s="14">
        <v>0.81330000000000002</v>
      </c>
      <c r="D132" s="16">
        <v>632</v>
      </c>
      <c r="E132" s="17">
        <f t="shared" si="6"/>
        <v>117.99440000000004</v>
      </c>
      <c r="F132" s="18">
        <f t="shared" si="1"/>
        <v>6489.6920000000027</v>
      </c>
      <c r="G132" s="19">
        <f t="shared" si="3"/>
        <v>31.600000000000023</v>
      </c>
      <c r="H132" s="20">
        <f t="shared" si="2"/>
        <v>-86.394400000000019</v>
      </c>
    </row>
    <row r="133" spans="1:8" ht="13" x14ac:dyDescent="0.15">
      <c r="A133" s="12">
        <v>45692</v>
      </c>
      <c r="B133" s="13" t="s">
        <v>3</v>
      </c>
      <c r="C133" s="14">
        <v>0.94930000000000003</v>
      </c>
      <c r="D133" s="16">
        <v>632</v>
      </c>
      <c r="E133" s="17">
        <f t="shared" si="6"/>
        <v>32.04239999999993</v>
      </c>
      <c r="F133" s="18">
        <f t="shared" si="1"/>
        <v>1762.3319999999962</v>
      </c>
      <c r="G133" s="19">
        <f t="shared" si="3"/>
        <v>31.600000000000023</v>
      </c>
      <c r="H133" s="20">
        <f t="shared" si="2"/>
        <v>-0.44239999999990687</v>
      </c>
    </row>
    <row r="134" spans="1:8" ht="13" x14ac:dyDescent="0.15">
      <c r="A134" s="12">
        <v>45693</v>
      </c>
      <c r="B134" s="13" t="s">
        <v>4</v>
      </c>
      <c r="C134" s="14">
        <v>0.95089999999999997</v>
      </c>
      <c r="D134" s="16">
        <v>631</v>
      </c>
      <c r="E134" s="17">
        <f t="shared" si="6"/>
        <v>30.982100000000059</v>
      </c>
      <c r="F134" s="18">
        <f t="shared" si="1"/>
        <v>1704.0155000000032</v>
      </c>
      <c r="G134" s="19">
        <f t="shared" si="3"/>
        <v>31.550000000000068</v>
      </c>
      <c r="H134" s="20">
        <f t="shared" si="2"/>
        <v>0.56790000000000873</v>
      </c>
    </row>
    <row r="135" spans="1:8" ht="13" x14ac:dyDescent="0.15">
      <c r="A135" s="12">
        <v>45694</v>
      </c>
      <c r="B135" s="13" t="s">
        <v>5</v>
      </c>
      <c r="C135" s="14">
        <v>0.91920000000000002</v>
      </c>
      <c r="D135" s="16">
        <v>631</v>
      </c>
      <c r="E135" s="17">
        <f t="shared" ref="E135:E143" si="7">D135-(C135*D135)</f>
        <v>50.98479999999995</v>
      </c>
      <c r="F135" s="18">
        <f t="shared" si="1"/>
        <v>2804.163999999997</v>
      </c>
      <c r="G135" s="19">
        <f t="shared" si="3"/>
        <v>31.550000000000068</v>
      </c>
      <c r="H135" s="20">
        <f t="shared" si="2"/>
        <v>-19.434799999999882</v>
      </c>
    </row>
    <row r="136" spans="1:8" ht="13" x14ac:dyDescent="0.15">
      <c r="A136" s="12">
        <v>45695</v>
      </c>
      <c r="B136" s="13" t="s">
        <v>6</v>
      </c>
      <c r="C136" s="14">
        <v>0.91600000000000004</v>
      </c>
      <c r="D136" s="16">
        <v>631</v>
      </c>
      <c r="E136" s="17">
        <f t="shared" si="7"/>
        <v>53.004000000000019</v>
      </c>
      <c r="F136" s="18">
        <f t="shared" si="1"/>
        <v>2915.2200000000012</v>
      </c>
      <c r="G136" s="19">
        <f t="shared" si="3"/>
        <v>31.550000000000068</v>
      </c>
      <c r="H136" s="20">
        <f t="shared" si="2"/>
        <v>-21.453999999999951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3" x14ac:dyDescent="0.15">
      <c r="A139" s="12">
        <v>45700</v>
      </c>
      <c r="B139" s="13" t="s">
        <v>4</v>
      </c>
      <c r="C139" s="14">
        <v>0.95879999999999999</v>
      </c>
      <c r="D139" s="16">
        <v>631</v>
      </c>
      <c r="E139" s="17">
        <f t="shared" si="7"/>
        <v>25.997200000000021</v>
      </c>
      <c r="F139" s="18">
        <f t="shared" si="1"/>
        <v>1429.8460000000011</v>
      </c>
      <c r="G139" s="19">
        <f t="shared" si="3"/>
        <v>31.550000000000068</v>
      </c>
      <c r="H139" s="20">
        <f t="shared" si="2"/>
        <v>5.5528000000000475</v>
      </c>
    </row>
    <row r="140" spans="1:8" ht="13" x14ac:dyDescent="0.15">
      <c r="A140" s="12">
        <v>45701</v>
      </c>
      <c r="B140" s="13" t="s">
        <v>5</v>
      </c>
      <c r="C140" s="14">
        <v>0.91920000000000002</v>
      </c>
      <c r="D140" s="16">
        <v>631</v>
      </c>
      <c r="E140" s="17">
        <f t="shared" si="7"/>
        <v>50.98479999999995</v>
      </c>
      <c r="F140" s="18">
        <f t="shared" si="1"/>
        <v>2804.163999999997</v>
      </c>
      <c r="G140" s="19">
        <f t="shared" si="3"/>
        <v>31.550000000000068</v>
      </c>
      <c r="H140" s="20">
        <f t="shared" si="2"/>
        <v>-19.434799999999882</v>
      </c>
    </row>
    <row r="141" spans="1:8" ht="13" x14ac:dyDescent="0.15">
      <c r="A141" s="12">
        <v>45702</v>
      </c>
      <c r="B141" s="13" t="s">
        <v>6</v>
      </c>
      <c r="C141" s="14">
        <v>0.88149999999999995</v>
      </c>
      <c r="D141" s="16">
        <v>633</v>
      </c>
      <c r="E141" s="17">
        <f t="shared" si="7"/>
        <v>75.010499999999979</v>
      </c>
      <c r="F141" s="18">
        <f t="shared" si="1"/>
        <v>4125.5774999999985</v>
      </c>
      <c r="G141" s="19">
        <f t="shared" si="3"/>
        <v>31.649999999999977</v>
      </c>
      <c r="H141" s="20">
        <f t="shared" si="2"/>
        <v>-43.360500000000002</v>
      </c>
    </row>
    <row r="142" spans="1:8" ht="13" x14ac:dyDescent="0.15">
      <c r="A142" s="30">
        <v>45705</v>
      </c>
      <c r="B142" s="31" t="s">
        <v>2</v>
      </c>
      <c r="C142" s="14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0.93330000000000002</v>
      </c>
      <c r="D143" s="16">
        <v>630</v>
      </c>
      <c r="E143" s="17">
        <f t="shared" si="7"/>
        <v>42.020999999999958</v>
      </c>
      <c r="F143" s="18">
        <f t="shared" si="1"/>
        <v>2311.1549999999979</v>
      </c>
      <c r="G143" s="19">
        <f t="shared" si="3"/>
        <v>31.5</v>
      </c>
      <c r="H143" s="20">
        <f t="shared" si="2"/>
        <v>-10.520999999999958</v>
      </c>
    </row>
    <row r="144" spans="1:8" ht="13" x14ac:dyDescent="0.15">
      <c r="A144" s="12">
        <v>45707</v>
      </c>
      <c r="B144" s="13" t="s">
        <v>4</v>
      </c>
      <c r="C144" s="14">
        <v>0.95709999999999995</v>
      </c>
      <c r="D144" s="16">
        <v>630</v>
      </c>
      <c r="E144" s="17" t="e">
        <f>D144-(#REF!*D144)</f>
        <v>#REF!</v>
      </c>
      <c r="F144" s="18" t="e">
        <f t="shared" si="1"/>
        <v>#REF!</v>
      </c>
      <c r="G144" s="19">
        <f t="shared" si="3"/>
        <v>31.5</v>
      </c>
      <c r="H144" s="20" t="e">
        <f t="shared" si="2"/>
        <v>#REF!</v>
      </c>
    </row>
    <row r="145" spans="1:8" ht="13" x14ac:dyDescent="0.15">
      <c r="A145" s="12">
        <v>45708</v>
      </c>
      <c r="B145" s="13" t="s">
        <v>5</v>
      </c>
      <c r="C145" s="50">
        <v>0.84789999999999999</v>
      </c>
      <c r="D145" s="16">
        <v>631</v>
      </c>
      <c r="E145" s="17">
        <f>D145-(C144*D145)</f>
        <v>27.069900000000075</v>
      </c>
      <c r="F145" s="18">
        <f t="shared" si="1"/>
        <v>1488.8445000000042</v>
      </c>
      <c r="G145" s="19">
        <f t="shared" si="3"/>
        <v>31.550000000000068</v>
      </c>
      <c r="H145" s="20">
        <f t="shared" si="2"/>
        <v>4.4800999999999931</v>
      </c>
    </row>
    <row r="146" spans="1:8" ht="13" x14ac:dyDescent="0.15">
      <c r="A146" s="12">
        <v>45709</v>
      </c>
      <c r="B146" s="13" t="s">
        <v>6</v>
      </c>
      <c r="C146" s="14">
        <v>0.90810000000000002</v>
      </c>
      <c r="D146" s="16">
        <v>631</v>
      </c>
      <c r="E146" s="17">
        <f t="shared" ref="E146:E181" si="8">D146-(C146*D146)</f>
        <v>57.988899999999944</v>
      </c>
      <c r="F146" s="18">
        <f t="shared" si="1"/>
        <v>3189.389499999997</v>
      </c>
      <c r="G146" s="19">
        <f t="shared" si="3"/>
        <v>31.550000000000068</v>
      </c>
      <c r="H146" s="20">
        <f t="shared" si="2"/>
        <v>-26.438899999999876</v>
      </c>
    </row>
    <row r="147" spans="1:8" ht="13" x14ac:dyDescent="0.15">
      <c r="A147" s="12">
        <v>45712</v>
      </c>
      <c r="B147" s="13" t="s">
        <v>2</v>
      </c>
      <c r="C147" s="14">
        <v>0.9304</v>
      </c>
      <c r="D147" s="16">
        <v>632</v>
      </c>
      <c r="E147" s="17">
        <f t="shared" si="8"/>
        <v>43.98720000000003</v>
      </c>
      <c r="F147" s="18">
        <f t="shared" si="1"/>
        <v>2419.2960000000016</v>
      </c>
      <c r="G147" s="19">
        <f t="shared" si="3"/>
        <v>31.600000000000023</v>
      </c>
      <c r="H147" s="20">
        <f t="shared" si="2"/>
        <v>-12.387200000000007</v>
      </c>
    </row>
    <row r="148" spans="1:8" ht="13" x14ac:dyDescent="0.15">
      <c r="A148" s="12">
        <v>45713</v>
      </c>
      <c r="B148" s="13" t="s">
        <v>3</v>
      </c>
      <c r="C148" s="14">
        <v>0.95730000000000004</v>
      </c>
      <c r="D148" s="16">
        <v>632</v>
      </c>
      <c r="E148" s="17">
        <f t="shared" si="8"/>
        <v>26.986400000000003</v>
      </c>
      <c r="F148" s="18">
        <f t="shared" si="1"/>
        <v>1484.2520000000002</v>
      </c>
      <c r="G148" s="19">
        <f t="shared" si="3"/>
        <v>31.600000000000023</v>
      </c>
      <c r="H148" s="20">
        <f t="shared" si="2"/>
        <v>4.6136000000000195</v>
      </c>
    </row>
    <row r="149" spans="1:8" ht="13" x14ac:dyDescent="0.15">
      <c r="A149" s="12">
        <v>45714</v>
      </c>
      <c r="B149" s="13" t="s">
        <v>4</v>
      </c>
      <c r="C149" s="14">
        <v>0.92869999999999997</v>
      </c>
      <c r="D149" s="16">
        <v>631</v>
      </c>
      <c r="E149" s="17">
        <f t="shared" si="8"/>
        <v>44.990300000000047</v>
      </c>
      <c r="F149" s="18">
        <f t="shared" si="1"/>
        <v>2474.4665000000027</v>
      </c>
      <c r="G149" s="19">
        <f t="shared" si="3"/>
        <v>31.550000000000068</v>
      </c>
      <c r="H149" s="20">
        <f t="shared" si="2"/>
        <v>-13.440299999999979</v>
      </c>
    </row>
    <row r="150" spans="1:8" ht="13" x14ac:dyDescent="0.15">
      <c r="A150" s="12">
        <v>45715</v>
      </c>
      <c r="B150" s="13" t="s">
        <v>5</v>
      </c>
      <c r="C150" s="14">
        <v>0.93130000000000002</v>
      </c>
      <c r="D150" s="16">
        <v>631</v>
      </c>
      <c r="E150" s="17">
        <f t="shared" si="8"/>
        <v>43.349699999999984</v>
      </c>
      <c r="F150" s="18">
        <f t="shared" si="1"/>
        <v>2384.2334999999994</v>
      </c>
      <c r="G150" s="19">
        <f t="shared" si="3"/>
        <v>31.550000000000068</v>
      </c>
      <c r="H150" s="20">
        <f t="shared" si="2"/>
        <v>-11.799699999999916</v>
      </c>
    </row>
    <row r="151" spans="1:8" ht="13" x14ac:dyDescent="0.15">
      <c r="A151" s="12">
        <v>45716</v>
      </c>
      <c r="B151" s="13" t="s">
        <v>6</v>
      </c>
      <c r="C151" s="14">
        <v>0.8921</v>
      </c>
      <c r="D151" s="16">
        <v>630</v>
      </c>
      <c r="E151" s="17">
        <f t="shared" si="8"/>
        <v>67.976999999999975</v>
      </c>
      <c r="F151" s="18">
        <f t="shared" si="1"/>
        <v>3738.7349999999988</v>
      </c>
      <c r="G151" s="19">
        <f t="shared" si="3"/>
        <v>31.5</v>
      </c>
      <c r="H151" s="20">
        <f t="shared" si="2"/>
        <v>-36.476999999999975</v>
      </c>
    </row>
    <row r="152" spans="1:8" ht="13" x14ac:dyDescent="0.15">
      <c r="A152" s="12">
        <v>45719</v>
      </c>
      <c r="B152" s="13" t="s">
        <v>2</v>
      </c>
      <c r="C152" s="14">
        <v>0.90049999999999997</v>
      </c>
      <c r="D152" s="16">
        <v>633</v>
      </c>
      <c r="E152" s="17">
        <f t="shared" si="8"/>
        <v>62.983500000000049</v>
      </c>
      <c r="F152" s="18">
        <f t="shared" si="1"/>
        <v>3464.0925000000025</v>
      </c>
      <c r="G152" s="19">
        <f t="shared" si="3"/>
        <v>31.649999999999977</v>
      </c>
      <c r="H152" s="20">
        <f t="shared" si="2"/>
        <v>-31.333500000000072</v>
      </c>
    </row>
    <row r="153" spans="1:8" ht="13" x14ac:dyDescent="0.15">
      <c r="A153" s="12">
        <v>45720</v>
      </c>
      <c r="B153" s="13" t="s">
        <v>3</v>
      </c>
      <c r="C153" s="14">
        <v>0.86929999999999996</v>
      </c>
      <c r="D153" s="16">
        <v>635</v>
      </c>
      <c r="E153" s="17">
        <f t="shared" si="8"/>
        <v>82.994500000000016</v>
      </c>
      <c r="F153" s="18">
        <f t="shared" si="1"/>
        <v>4564.6975000000011</v>
      </c>
      <c r="G153" s="19">
        <f t="shared" si="3"/>
        <v>31.75</v>
      </c>
      <c r="H153" s="20">
        <f t="shared" si="2"/>
        <v>-51.244500000000016</v>
      </c>
    </row>
    <row r="154" spans="1:8" ht="13" x14ac:dyDescent="0.15">
      <c r="A154" s="12">
        <v>45721</v>
      </c>
      <c r="B154" s="13" t="s">
        <v>4</v>
      </c>
      <c r="C154" s="14">
        <v>0.93859999999999999</v>
      </c>
      <c r="D154" s="16">
        <v>635</v>
      </c>
      <c r="E154" s="17">
        <f t="shared" si="8"/>
        <v>38.989000000000033</v>
      </c>
      <c r="F154" s="18">
        <f t="shared" si="1"/>
        <v>2144.3950000000018</v>
      </c>
      <c r="G154" s="19">
        <f t="shared" si="3"/>
        <v>31.75</v>
      </c>
      <c r="H154" s="20">
        <f t="shared" si="2"/>
        <v>-7.2390000000000327</v>
      </c>
    </row>
    <row r="155" spans="1:8" ht="13" x14ac:dyDescent="0.15">
      <c r="A155" s="12">
        <v>45722</v>
      </c>
      <c r="B155" s="13" t="s">
        <v>5</v>
      </c>
      <c r="C155" s="14">
        <v>0.94169999999999998</v>
      </c>
      <c r="D155" s="16">
        <v>635</v>
      </c>
      <c r="E155" s="17">
        <f t="shared" si="8"/>
        <v>37.02049999999997</v>
      </c>
      <c r="F155" s="18">
        <f t="shared" si="1"/>
        <v>2036.1274999999982</v>
      </c>
      <c r="G155" s="19">
        <f t="shared" si="3"/>
        <v>31.75</v>
      </c>
      <c r="H155" s="20">
        <f t="shared" si="2"/>
        <v>-5.27049999999997</v>
      </c>
    </row>
    <row r="156" spans="1:8" ht="13" x14ac:dyDescent="0.15">
      <c r="A156" s="12">
        <v>45723</v>
      </c>
      <c r="B156" s="13" t="s">
        <v>6</v>
      </c>
      <c r="C156" s="14">
        <v>0.87239999999999995</v>
      </c>
      <c r="D156" s="16">
        <v>635</v>
      </c>
      <c r="E156" s="17">
        <f t="shared" si="8"/>
        <v>81.026000000000067</v>
      </c>
      <c r="F156" s="18">
        <f t="shared" si="1"/>
        <v>4456.4300000000039</v>
      </c>
      <c r="G156" s="19">
        <f t="shared" si="3"/>
        <v>31.75</v>
      </c>
      <c r="H156" s="20">
        <f t="shared" si="2"/>
        <v>-49.276000000000067</v>
      </c>
    </row>
    <row r="157" spans="1:8" ht="13" x14ac:dyDescent="0.15">
      <c r="A157" s="34">
        <v>45726</v>
      </c>
      <c r="B157" s="35" t="s">
        <v>2</v>
      </c>
      <c r="C157" s="14">
        <v>0.90380000000000005</v>
      </c>
      <c r="D157" s="16">
        <v>635</v>
      </c>
      <c r="E157" s="17">
        <f t="shared" si="8"/>
        <v>61.086999999999989</v>
      </c>
      <c r="F157" s="18">
        <f t="shared" si="1"/>
        <v>3359.7849999999994</v>
      </c>
      <c r="G157" s="19">
        <f t="shared" si="3"/>
        <v>31.75</v>
      </c>
      <c r="H157" s="20">
        <f t="shared" si="2"/>
        <v>-29.336999999999989</v>
      </c>
    </row>
    <row r="158" spans="1:8" ht="13" x14ac:dyDescent="0.15">
      <c r="A158" s="34">
        <v>45727</v>
      </c>
      <c r="B158" s="35" t="s">
        <v>3</v>
      </c>
      <c r="C158" s="14">
        <v>0.91959999999999997</v>
      </c>
      <c r="D158" s="16">
        <v>634</v>
      </c>
      <c r="E158" s="17">
        <f t="shared" si="8"/>
        <v>50.973600000000033</v>
      </c>
      <c r="F158" s="18">
        <f t="shared" si="1"/>
        <v>2803.5480000000016</v>
      </c>
      <c r="G158" s="19">
        <f t="shared" si="3"/>
        <v>31.700000000000045</v>
      </c>
      <c r="H158" s="20">
        <f t="shared" si="2"/>
        <v>-19.273599999999988</v>
      </c>
    </row>
    <row r="159" spans="1:8" ht="15.75" customHeight="1" x14ac:dyDescent="0.15">
      <c r="A159" s="34">
        <v>45728</v>
      </c>
      <c r="B159" s="35" t="s">
        <v>4</v>
      </c>
      <c r="C159" s="79">
        <v>0.92420000000000002</v>
      </c>
      <c r="D159" s="81">
        <v>633</v>
      </c>
      <c r="E159" s="17">
        <f t="shared" si="8"/>
        <v>47.981400000000008</v>
      </c>
      <c r="F159" s="18">
        <f t="shared" si="1"/>
        <v>2638.9770000000003</v>
      </c>
      <c r="G159" s="19">
        <f t="shared" si="3"/>
        <v>31.649999999999977</v>
      </c>
      <c r="H159" s="20">
        <f t="shared" si="2"/>
        <v>-16.331400000000031</v>
      </c>
    </row>
    <row r="160" spans="1:8" ht="15.75" customHeight="1" x14ac:dyDescent="0.15">
      <c r="A160" s="34">
        <v>45729</v>
      </c>
      <c r="B160" s="35" t="s">
        <v>5</v>
      </c>
      <c r="C160" s="79">
        <v>0.91930000000000001</v>
      </c>
      <c r="D160" s="81">
        <v>632</v>
      </c>
      <c r="E160" s="17">
        <f t="shared" si="8"/>
        <v>51.002399999999966</v>
      </c>
      <c r="F160" s="18">
        <f t="shared" ref="F160:F181" si="9">E160*$E$5</f>
        <v>2805.1319999999982</v>
      </c>
      <c r="G160" s="19">
        <f t="shared" ref="G160:G181" si="10">D160-(D160*G$3)</f>
        <v>31.600000000000023</v>
      </c>
      <c r="H160" s="20">
        <f t="shared" ref="H160:H181" si="11">G160-E160</f>
        <v>-19.402399999999943</v>
      </c>
    </row>
    <row r="161" spans="1:8" ht="15.75" customHeight="1" x14ac:dyDescent="0.15">
      <c r="A161" s="34">
        <v>45730</v>
      </c>
      <c r="B161" s="35" t="s">
        <v>6</v>
      </c>
      <c r="C161" s="79">
        <v>0.86550000000000005</v>
      </c>
      <c r="D161" s="81">
        <v>632</v>
      </c>
      <c r="E161" s="17">
        <f t="shared" si="8"/>
        <v>85.004000000000019</v>
      </c>
      <c r="F161" s="18">
        <f t="shared" si="9"/>
        <v>4675.2200000000012</v>
      </c>
      <c r="G161" s="19">
        <f t="shared" si="10"/>
        <v>31.600000000000023</v>
      </c>
      <c r="H161" s="20">
        <f t="shared" si="11"/>
        <v>-53.403999999999996</v>
      </c>
    </row>
    <row r="162" spans="1:8" ht="15.75" customHeight="1" x14ac:dyDescent="0.15">
      <c r="A162" s="21">
        <v>45733</v>
      </c>
      <c r="B162" s="22" t="s">
        <v>2</v>
      </c>
      <c r="C162" s="79"/>
      <c r="D162" s="82"/>
      <c r="E162" s="17">
        <f t="shared" si="8"/>
        <v>0</v>
      </c>
      <c r="F162" s="18">
        <f t="shared" si="9"/>
        <v>0</v>
      </c>
      <c r="G162" s="19">
        <f t="shared" si="10"/>
        <v>0</v>
      </c>
      <c r="H162" s="20">
        <f t="shared" si="11"/>
        <v>0</v>
      </c>
    </row>
    <row r="163" spans="1:8" ht="15.75" customHeight="1" x14ac:dyDescent="0.15">
      <c r="A163" s="21">
        <v>45734</v>
      </c>
      <c r="B163" s="22" t="s">
        <v>3</v>
      </c>
      <c r="C163" s="79"/>
      <c r="D163" s="82"/>
      <c r="E163" s="17">
        <f t="shared" si="8"/>
        <v>0</v>
      </c>
      <c r="F163" s="18">
        <f t="shared" si="9"/>
        <v>0</v>
      </c>
      <c r="G163" s="19">
        <f t="shared" si="10"/>
        <v>0</v>
      </c>
      <c r="H163" s="20">
        <f t="shared" si="11"/>
        <v>0</v>
      </c>
    </row>
    <row r="164" spans="1:8" ht="15.75" customHeight="1" x14ac:dyDescent="0.15">
      <c r="A164" s="21">
        <v>45735</v>
      </c>
      <c r="B164" s="22" t="s">
        <v>4</v>
      </c>
      <c r="C164" s="79"/>
      <c r="D164" s="82"/>
      <c r="E164" s="17">
        <f t="shared" si="8"/>
        <v>0</v>
      </c>
      <c r="F164" s="18">
        <f t="shared" si="9"/>
        <v>0</v>
      </c>
      <c r="G164" s="19">
        <f t="shared" si="10"/>
        <v>0</v>
      </c>
      <c r="H164" s="20">
        <f t="shared" si="11"/>
        <v>0</v>
      </c>
    </row>
    <row r="165" spans="1:8" ht="15.75" customHeight="1" x14ac:dyDescent="0.15">
      <c r="A165" s="21">
        <v>45736</v>
      </c>
      <c r="B165" s="22" t="s">
        <v>5</v>
      </c>
      <c r="C165" s="79"/>
      <c r="D165" s="82"/>
      <c r="E165" s="17">
        <f t="shared" si="8"/>
        <v>0</v>
      </c>
      <c r="F165" s="18">
        <f t="shared" si="9"/>
        <v>0</v>
      </c>
      <c r="G165" s="19">
        <f t="shared" si="10"/>
        <v>0</v>
      </c>
      <c r="H165" s="20">
        <f t="shared" si="11"/>
        <v>0</v>
      </c>
    </row>
    <row r="166" spans="1:8" ht="15.75" customHeight="1" x14ac:dyDescent="0.15">
      <c r="A166" s="21">
        <v>45737</v>
      </c>
      <c r="B166" s="22" t="s">
        <v>6</v>
      </c>
      <c r="C166" s="79"/>
      <c r="D166" s="82"/>
      <c r="E166" s="17">
        <f t="shared" si="8"/>
        <v>0</v>
      </c>
      <c r="F166" s="18">
        <f t="shared" si="9"/>
        <v>0</v>
      </c>
      <c r="G166" s="19">
        <f t="shared" si="10"/>
        <v>0</v>
      </c>
      <c r="H166" s="20">
        <f t="shared" si="11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0.87519999999999998</v>
      </c>
      <c r="D167" s="81">
        <v>633</v>
      </c>
      <c r="E167" s="17">
        <f t="shared" si="8"/>
        <v>78.998400000000061</v>
      </c>
      <c r="F167" s="18">
        <f t="shared" si="9"/>
        <v>4344.912000000003</v>
      </c>
      <c r="G167" s="19">
        <f t="shared" si="10"/>
        <v>31.649999999999977</v>
      </c>
      <c r="H167" s="20">
        <f t="shared" si="11"/>
        <v>-47.348400000000083</v>
      </c>
    </row>
    <row r="168" spans="1:8" ht="15.75" customHeight="1" x14ac:dyDescent="0.15">
      <c r="A168" s="12">
        <v>45741</v>
      </c>
      <c r="B168" s="13" t="s">
        <v>3</v>
      </c>
      <c r="C168" s="79">
        <v>0.92579999999999996</v>
      </c>
      <c r="D168" s="81">
        <v>633</v>
      </c>
      <c r="E168" s="17">
        <f t="shared" si="8"/>
        <v>46.968600000000038</v>
      </c>
      <c r="F168" s="18">
        <f t="shared" si="9"/>
        <v>2583.273000000002</v>
      </c>
      <c r="G168" s="19">
        <f t="shared" si="10"/>
        <v>31.649999999999977</v>
      </c>
      <c r="H168" s="20">
        <f t="shared" si="11"/>
        <v>-15.31860000000006</v>
      </c>
    </row>
    <row r="169" spans="1:8" ht="15.75" customHeight="1" x14ac:dyDescent="0.15">
      <c r="A169" s="12">
        <v>45742</v>
      </c>
      <c r="B169" s="13" t="s">
        <v>4</v>
      </c>
      <c r="C169" s="79">
        <v>0.92410000000000003</v>
      </c>
      <c r="D169" s="81">
        <v>632</v>
      </c>
      <c r="E169" s="17">
        <f t="shared" si="8"/>
        <v>47.968799999999987</v>
      </c>
      <c r="F169" s="18">
        <f t="shared" si="9"/>
        <v>2638.2839999999992</v>
      </c>
      <c r="G169" s="19">
        <f t="shared" si="10"/>
        <v>31.600000000000023</v>
      </c>
      <c r="H169" s="20">
        <f t="shared" si="11"/>
        <v>-16.368799999999965</v>
      </c>
    </row>
    <row r="170" spans="1:8" ht="15.75" customHeight="1" x14ac:dyDescent="0.15">
      <c r="A170" s="12">
        <v>45743</v>
      </c>
      <c r="B170" s="13" t="s">
        <v>5</v>
      </c>
      <c r="C170" s="79">
        <v>0.92100000000000004</v>
      </c>
      <c r="D170" s="81">
        <v>633</v>
      </c>
      <c r="E170" s="17">
        <f t="shared" si="8"/>
        <v>50.006999999999948</v>
      </c>
      <c r="F170" s="18">
        <f t="shared" si="9"/>
        <v>2750.384999999997</v>
      </c>
      <c r="G170" s="19">
        <f t="shared" si="10"/>
        <v>31.649999999999977</v>
      </c>
      <c r="H170" s="20">
        <f t="shared" si="11"/>
        <v>-18.356999999999971</v>
      </c>
    </row>
    <row r="171" spans="1:8" ht="15.75" customHeight="1" x14ac:dyDescent="0.15">
      <c r="A171" s="12">
        <v>45744</v>
      </c>
      <c r="B171" s="13" t="s">
        <v>6</v>
      </c>
      <c r="C171" s="79">
        <v>0.87990000000000002</v>
      </c>
      <c r="D171" s="81">
        <v>633</v>
      </c>
      <c r="E171" s="17">
        <f t="shared" si="8"/>
        <v>76.023299999999949</v>
      </c>
      <c r="F171" s="18">
        <f t="shared" si="9"/>
        <v>4181.2814999999973</v>
      </c>
      <c r="G171" s="19">
        <f t="shared" si="10"/>
        <v>31.649999999999977</v>
      </c>
      <c r="H171" s="20">
        <f t="shared" si="11"/>
        <v>-44.373299999999972</v>
      </c>
    </row>
    <row r="172" spans="1:8" ht="15.75" customHeight="1" x14ac:dyDescent="0.15">
      <c r="A172" s="12">
        <v>45747</v>
      </c>
      <c r="B172" s="13" t="s">
        <v>2</v>
      </c>
      <c r="C172" s="79">
        <v>0.89400000000000002</v>
      </c>
      <c r="D172" s="81">
        <v>632</v>
      </c>
      <c r="E172" s="17">
        <f t="shared" si="8"/>
        <v>66.991999999999962</v>
      </c>
      <c r="F172" s="18">
        <f t="shared" si="9"/>
        <v>3684.5599999999977</v>
      </c>
      <c r="G172" s="19">
        <f t="shared" si="10"/>
        <v>31.600000000000023</v>
      </c>
      <c r="H172" s="20">
        <f t="shared" si="11"/>
        <v>-35.391999999999939</v>
      </c>
    </row>
    <row r="173" spans="1:8" ht="15.75" customHeight="1" x14ac:dyDescent="0.15">
      <c r="A173" s="12">
        <v>45748</v>
      </c>
      <c r="B173" s="13" t="s">
        <v>3</v>
      </c>
      <c r="C173" s="79">
        <v>0.91639999999999999</v>
      </c>
      <c r="D173" s="81">
        <v>634</v>
      </c>
      <c r="E173" s="17">
        <f t="shared" si="8"/>
        <v>53.002399999999966</v>
      </c>
      <c r="F173" s="18">
        <f t="shared" si="9"/>
        <v>2915.1319999999982</v>
      </c>
      <c r="G173" s="19">
        <f t="shared" si="10"/>
        <v>31.700000000000045</v>
      </c>
      <c r="H173" s="20">
        <f t="shared" si="11"/>
        <v>-21.302399999999921</v>
      </c>
    </row>
    <row r="174" spans="1:8" ht="15.75" customHeight="1" x14ac:dyDescent="0.15">
      <c r="A174" s="12">
        <v>45749</v>
      </c>
      <c r="B174" s="13" t="s">
        <v>4</v>
      </c>
      <c r="C174" s="79">
        <v>0.91180000000000005</v>
      </c>
      <c r="D174" s="81">
        <v>635</v>
      </c>
      <c r="E174" s="17">
        <f t="shared" si="8"/>
        <v>56.006999999999948</v>
      </c>
      <c r="F174" s="18">
        <f t="shared" si="9"/>
        <v>3080.384999999997</v>
      </c>
      <c r="G174" s="19">
        <f t="shared" si="10"/>
        <v>31.75</v>
      </c>
      <c r="H174" s="20">
        <f t="shared" si="11"/>
        <v>-24.256999999999948</v>
      </c>
    </row>
    <row r="175" spans="1:8" ht="15.75" customHeight="1" x14ac:dyDescent="0.15">
      <c r="A175" s="12">
        <v>45750</v>
      </c>
      <c r="B175" s="13" t="s">
        <v>5</v>
      </c>
      <c r="C175" s="79">
        <v>0.90569999999999995</v>
      </c>
      <c r="D175" s="81">
        <v>636</v>
      </c>
      <c r="E175" s="17">
        <f t="shared" si="8"/>
        <v>59.974800000000073</v>
      </c>
      <c r="F175" s="18">
        <f t="shared" si="9"/>
        <v>3298.6140000000041</v>
      </c>
      <c r="G175" s="19">
        <f t="shared" si="10"/>
        <v>31.800000000000068</v>
      </c>
      <c r="H175" s="20">
        <f t="shared" si="11"/>
        <v>-28.174800000000005</v>
      </c>
    </row>
    <row r="176" spans="1:8" ht="15.75" customHeight="1" x14ac:dyDescent="0.15">
      <c r="A176" s="12">
        <v>45751</v>
      </c>
      <c r="B176" s="13" t="s">
        <v>6</v>
      </c>
      <c r="C176" s="79">
        <v>0.91339999999999999</v>
      </c>
      <c r="D176" s="81">
        <v>635</v>
      </c>
      <c r="E176" s="17">
        <f t="shared" si="8"/>
        <v>54.990999999999985</v>
      </c>
      <c r="F176" s="18">
        <f t="shared" si="9"/>
        <v>3024.5049999999992</v>
      </c>
      <c r="G176" s="19">
        <f t="shared" si="10"/>
        <v>31.75</v>
      </c>
      <c r="H176" s="20">
        <f t="shared" si="11"/>
        <v>-23.240999999999985</v>
      </c>
    </row>
    <row r="177" spans="1:8" ht="15.75" customHeight="1" x14ac:dyDescent="0.15">
      <c r="A177" s="12">
        <v>45754</v>
      </c>
      <c r="B177" s="13" t="s">
        <v>2</v>
      </c>
      <c r="C177" s="79">
        <v>0.9355</v>
      </c>
      <c r="D177" s="81">
        <v>636</v>
      </c>
      <c r="E177" s="17">
        <f t="shared" si="8"/>
        <v>41.022000000000048</v>
      </c>
      <c r="F177" s="18">
        <f t="shared" si="9"/>
        <v>2256.2100000000028</v>
      </c>
      <c r="G177" s="19">
        <f t="shared" si="10"/>
        <v>31.800000000000068</v>
      </c>
      <c r="H177" s="20">
        <f t="shared" si="11"/>
        <v>-9.22199999999998</v>
      </c>
    </row>
    <row r="178" spans="1:8" ht="15.75" customHeight="1" x14ac:dyDescent="0.15">
      <c r="A178" s="12">
        <v>45755</v>
      </c>
      <c r="B178" s="13" t="s">
        <v>3</v>
      </c>
      <c r="C178" s="79">
        <v>0.9607</v>
      </c>
      <c r="D178" s="81">
        <v>636</v>
      </c>
      <c r="E178" s="17">
        <f t="shared" si="8"/>
        <v>24.994800000000055</v>
      </c>
      <c r="F178" s="18">
        <f t="shared" si="9"/>
        <v>1374.7140000000031</v>
      </c>
      <c r="G178" s="19">
        <f t="shared" si="10"/>
        <v>31.800000000000068</v>
      </c>
      <c r="H178" s="20">
        <f t="shared" si="11"/>
        <v>6.8052000000000135</v>
      </c>
    </row>
    <row r="179" spans="1:8" ht="15.75" customHeight="1" x14ac:dyDescent="0.15">
      <c r="A179" s="12">
        <v>45756</v>
      </c>
      <c r="B179" s="13" t="s">
        <v>4</v>
      </c>
      <c r="C179" s="79">
        <v>0.92279999999999995</v>
      </c>
      <c r="D179" s="81">
        <v>635</v>
      </c>
      <c r="E179" s="17">
        <f t="shared" si="8"/>
        <v>49.022000000000048</v>
      </c>
      <c r="F179" s="18">
        <f t="shared" si="9"/>
        <v>2696.2100000000028</v>
      </c>
      <c r="G179" s="19">
        <f t="shared" si="10"/>
        <v>31.75</v>
      </c>
      <c r="H179" s="20">
        <f t="shared" si="11"/>
        <v>-17.272000000000048</v>
      </c>
    </row>
    <row r="180" spans="1:8" ht="15.75" customHeight="1" x14ac:dyDescent="0.15">
      <c r="A180" s="12">
        <v>45757</v>
      </c>
      <c r="B180" s="13" t="s">
        <v>5</v>
      </c>
      <c r="C180" s="79">
        <v>0.93230000000000002</v>
      </c>
      <c r="D180" s="81">
        <v>635</v>
      </c>
      <c r="E180" s="17">
        <f t="shared" si="8"/>
        <v>42.989500000000021</v>
      </c>
      <c r="F180" s="18">
        <f t="shared" si="9"/>
        <v>2364.422500000001</v>
      </c>
      <c r="G180" s="19">
        <f t="shared" si="10"/>
        <v>31.75</v>
      </c>
      <c r="H180" s="20">
        <f t="shared" si="11"/>
        <v>-11.239500000000021</v>
      </c>
    </row>
    <row r="181" spans="1:8" ht="15.75" customHeight="1" x14ac:dyDescent="0.15">
      <c r="A181" s="12">
        <v>45758</v>
      </c>
      <c r="B181" s="13" t="s">
        <v>6</v>
      </c>
      <c r="C181" s="79">
        <v>0.91010000000000002</v>
      </c>
      <c r="D181" s="81">
        <v>634</v>
      </c>
      <c r="E181" s="17">
        <f t="shared" si="8"/>
        <v>56.996599999999944</v>
      </c>
      <c r="F181" s="18">
        <f t="shared" si="9"/>
        <v>3134.8129999999969</v>
      </c>
      <c r="G181" s="19">
        <f t="shared" si="10"/>
        <v>31.700000000000045</v>
      </c>
      <c r="H181" s="20">
        <f t="shared" si="11"/>
        <v>-25.296599999999899</v>
      </c>
    </row>
  </sheetData>
  <autoFilter ref="A6:F158" xr:uid="{00000000-0009-0000-0000-00000B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8">
    <cfRule type="cellIs" dxfId="51" priority="7" operator="lessThan">
      <formula>"92%"</formula>
    </cfRule>
  </conditionalFormatting>
  <conditionalFormatting sqref="C7:C158">
    <cfRule type="cellIs" dxfId="50" priority="4" operator="lessThan">
      <formula>"90%"</formula>
    </cfRule>
    <cfRule type="cellIs" dxfId="49" priority="5" operator="lessThan">
      <formula>"94%"</formula>
    </cfRule>
  </conditionalFormatting>
  <conditionalFormatting sqref="H1:H181">
    <cfRule type="cellIs" dxfId="48" priority="6" operator="lessThan">
      <formula>0</formula>
    </cfRule>
  </conditionalFormatting>
  <conditionalFormatting sqref="C159:C181">
    <cfRule type="cellIs" dxfId="8" priority="3" operator="lessThan">
      <formula>"92%"</formula>
    </cfRule>
  </conditionalFormatting>
  <conditionalFormatting sqref="C159:C181">
    <cfRule type="cellIs" dxfId="7" priority="1" operator="lessThan">
      <formula>"90%"</formula>
    </cfRule>
    <cfRule type="cellIs" dxfId="6" priority="2" operator="lessThan">
      <formula>"94%"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73763"/>
    <outlinePr summaryBelow="0" summaryRight="0"/>
    <pageSetUpPr fitToPage="1"/>
  </sheetPr>
  <dimension ref="A1:H180"/>
  <sheetViews>
    <sheetView workbookViewId="0">
      <pane ySplit="6" topLeftCell="A150" activePane="bottomLeft" state="frozen"/>
      <selection pane="bottomLeft" activeCell="J168" sqref="J168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17.5" customWidth="1"/>
  </cols>
  <sheetData>
    <row r="1" spans="1:8" ht="27" thickBot="1" x14ac:dyDescent="0.3">
      <c r="A1" s="1"/>
      <c r="B1" s="1"/>
      <c r="C1" s="1"/>
      <c r="D1" s="1"/>
      <c r="E1" s="2"/>
      <c r="F1" s="2"/>
      <c r="G1" s="3"/>
      <c r="H1" s="37">
        <f>SUM(H7:H155)</f>
        <v>-4935.1836499999881</v>
      </c>
    </row>
    <row r="2" spans="1:8" ht="17" thickTop="1" x14ac:dyDescent="0.2">
      <c r="A2" s="63" t="s">
        <v>34</v>
      </c>
      <c r="B2" s="64"/>
      <c r="C2" s="64"/>
      <c r="D2" s="64"/>
      <c r="E2" s="65" t="s">
        <v>0</v>
      </c>
      <c r="F2" s="66"/>
      <c r="G2" s="5" t="s">
        <v>8</v>
      </c>
      <c r="H2" s="67" t="s">
        <v>36</v>
      </c>
    </row>
    <row r="3" spans="1:8" ht="24" x14ac:dyDescent="0.25">
      <c r="A3" s="64"/>
      <c r="B3" s="64"/>
      <c r="C3" s="64"/>
      <c r="D3" s="64"/>
      <c r="E3" s="68">
        <f>SUM(F7:F128)</f>
        <v>863403.91775000014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2360</v>
      </c>
      <c r="E7" s="17">
        <f t="shared" ref="E7:E38" si="0">D7-(C7*D7)</f>
        <v>0</v>
      </c>
      <c r="F7" s="18">
        <f t="shared" ref="F7:F156" si="1">E7*$E$5</f>
        <v>0</v>
      </c>
      <c r="G7" s="19">
        <v>0</v>
      </c>
      <c r="H7" s="20">
        <f t="shared" ref="H7:H155" si="2">G7-E7</f>
        <v>0</v>
      </c>
    </row>
    <row r="8" spans="1:8" ht="13" x14ac:dyDescent="0.15">
      <c r="A8" s="12">
        <v>45517</v>
      </c>
      <c r="B8" s="13" t="s">
        <v>3</v>
      </c>
      <c r="C8" s="14">
        <v>0.97960000000000003</v>
      </c>
      <c r="D8" s="16">
        <v>2447</v>
      </c>
      <c r="E8" s="17">
        <f t="shared" si="0"/>
        <v>49.918799999999919</v>
      </c>
      <c r="F8" s="18">
        <f t="shared" si="1"/>
        <v>2745.5339999999956</v>
      </c>
      <c r="G8" s="19">
        <f t="shared" ref="G8:G156" si="3">D8-(D8*G$3)</f>
        <v>122.34999999999991</v>
      </c>
      <c r="H8" s="20">
        <f t="shared" si="2"/>
        <v>72.43119999999999</v>
      </c>
    </row>
    <row r="9" spans="1:8" ht="13" x14ac:dyDescent="0.15">
      <c r="A9" s="12">
        <v>45518</v>
      </c>
      <c r="B9" s="13" t="s">
        <v>4</v>
      </c>
      <c r="C9" s="14">
        <v>0.97260000000000002</v>
      </c>
      <c r="D9" s="16">
        <v>2520</v>
      </c>
      <c r="E9" s="17">
        <f t="shared" si="0"/>
        <v>69.047999999999774</v>
      </c>
      <c r="F9" s="18">
        <f t="shared" si="1"/>
        <v>3797.6399999999876</v>
      </c>
      <c r="G9" s="19">
        <f t="shared" si="3"/>
        <v>126</v>
      </c>
      <c r="H9" s="20">
        <f t="shared" si="2"/>
        <v>56.952000000000226</v>
      </c>
    </row>
    <row r="10" spans="1:8" ht="13" x14ac:dyDescent="0.15">
      <c r="A10" s="12">
        <v>45519</v>
      </c>
      <c r="B10" s="13" t="s">
        <v>5</v>
      </c>
      <c r="C10" s="14">
        <v>0.96760000000000002</v>
      </c>
      <c r="D10" s="16">
        <v>2529</v>
      </c>
      <c r="E10" s="17">
        <f t="shared" si="0"/>
        <v>81.939600000000155</v>
      </c>
      <c r="F10" s="18">
        <f t="shared" si="1"/>
        <v>4506.678000000009</v>
      </c>
      <c r="G10" s="19">
        <f t="shared" si="3"/>
        <v>126.45000000000027</v>
      </c>
      <c r="H10" s="20">
        <f t="shared" si="2"/>
        <v>44.510400000000118</v>
      </c>
    </row>
    <row r="11" spans="1:8" ht="13" x14ac:dyDescent="0.15">
      <c r="A11" s="12">
        <v>45520</v>
      </c>
      <c r="B11" s="13" t="s">
        <v>6</v>
      </c>
      <c r="C11" s="14">
        <v>0.95550000000000002</v>
      </c>
      <c r="D11" s="16">
        <v>2538</v>
      </c>
      <c r="E11" s="17">
        <f t="shared" si="0"/>
        <v>112.9409999999998</v>
      </c>
      <c r="F11" s="18">
        <f t="shared" si="1"/>
        <v>6211.7549999999892</v>
      </c>
      <c r="G11" s="19">
        <f t="shared" si="3"/>
        <v>126.90000000000009</v>
      </c>
      <c r="H11" s="20">
        <f t="shared" si="2"/>
        <v>13.959000000000287</v>
      </c>
    </row>
    <row r="12" spans="1:8" ht="13" x14ac:dyDescent="0.15">
      <c r="A12" s="12">
        <v>45523</v>
      </c>
      <c r="B12" s="13" t="s">
        <v>2</v>
      </c>
      <c r="C12" s="14">
        <v>0.95409999999999995</v>
      </c>
      <c r="D12" s="16">
        <v>2570</v>
      </c>
      <c r="E12" s="17">
        <f t="shared" si="0"/>
        <v>117.96300000000019</v>
      </c>
      <c r="F12" s="18">
        <f t="shared" si="1"/>
        <v>6487.9650000000111</v>
      </c>
      <c r="G12" s="19">
        <f t="shared" si="3"/>
        <v>128.5</v>
      </c>
      <c r="H12" s="20">
        <f t="shared" si="2"/>
        <v>10.536999999999807</v>
      </c>
    </row>
    <row r="13" spans="1:8" ht="13" x14ac:dyDescent="0.15">
      <c r="A13" s="12">
        <v>45524</v>
      </c>
      <c r="B13" s="13" t="s">
        <v>3</v>
      </c>
      <c r="C13" s="14">
        <v>0.95930000000000004</v>
      </c>
      <c r="D13" s="16">
        <v>2580</v>
      </c>
      <c r="E13" s="17">
        <f t="shared" si="0"/>
        <v>105.00599999999986</v>
      </c>
      <c r="F13" s="18">
        <f t="shared" si="1"/>
        <v>5775.3299999999927</v>
      </c>
      <c r="G13" s="19">
        <f t="shared" si="3"/>
        <v>129</v>
      </c>
      <c r="H13" s="20">
        <f t="shared" si="2"/>
        <v>23.994000000000142</v>
      </c>
    </row>
    <row r="14" spans="1:8" ht="13" x14ac:dyDescent="0.15">
      <c r="A14" s="12">
        <v>45525</v>
      </c>
      <c r="B14" s="13" t="s">
        <v>4</v>
      </c>
      <c r="C14" s="14">
        <v>0.96250000000000002</v>
      </c>
      <c r="D14" s="16">
        <v>2587</v>
      </c>
      <c r="E14" s="17">
        <f t="shared" si="0"/>
        <v>97.012499999999818</v>
      </c>
      <c r="F14" s="18">
        <f t="shared" si="1"/>
        <v>5335.68749999999</v>
      </c>
      <c r="G14" s="19">
        <f t="shared" si="3"/>
        <v>129.34999999999991</v>
      </c>
      <c r="H14" s="20">
        <f t="shared" si="2"/>
        <v>32.337500000000091</v>
      </c>
    </row>
    <row r="15" spans="1:8" ht="13" x14ac:dyDescent="0.15">
      <c r="A15" s="12">
        <v>45526</v>
      </c>
      <c r="B15" s="13" t="s">
        <v>5</v>
      </c>
      <c r="C15" s="14">
        <v>0.9526</v>
      </c>
      <c r="D15" s="16">
        <v>2594</v>
      </c>
      <c r="E15" s="17">
        <f t="shared" si="0"/>
        <v>122.95559999999978</v>
      </c>
      <c r="F15" s="18">
        <f t="shared" si="1"/>
        <v>6762.5579999999882</v>
      </c>
      <c r="G15" s="19">
        <f t="shared" si="3"/>
        <v>129.70000000000027</v>
      </c>
      <c r="H15" s="20">
        <f t="shared" si="2"/>
        <v>6.7444000000004962</v>
      </c>
    </row>
    <row r="16" spans="1:8" ht="13" x14ac:dyDescent="0.15">
      <c r="A16" s="12">
        <v>45527</v>
      </c>
      <c r="B16" s="13" t="s">
        <v>6</v>
      </c>
      <c r="C16" s="14">
        <v>0.9415</v>
      </c>
      <c r="D16" s="16">
        <v>2597</v>
      </c>
      <c r="E16" s="17">
        <f t="shared" si="0"/>
        <v>151.92450000000008</v>
      </c>
      <c r="F16" s="18">
        <f t="shared" si="1"/>
        <v>8355.8475000000035</v>
      </c>
      <c r="G16" s="19">
        <f t="shared" si="3"/>
        <v>129.84999999999991</v>
      </c>
      <c r="H16" s="20">
        <f t="shared" si="2"/>
        <v>-22.074500000000171</v>
      </c>
    </row>
    <row r="17" spans="1:8" ht="13" x14ac:dyDescent="0.15">
      <c r="A17" s="12">
        <v>45530</v>
      </c>
      <c r="B17" s="13" t="s">
        <v>2</v>
      </c>
      <c r="C17" s="14">
        <v>0.94510000000000005</v>
      </c>
      <c r="D17" s="16">
        <v>2606</v>
      </c>
      <c r="E17" s="17">
        <f t="shared" si="0"/>
        <v>143.06939999999986</v>
      </c>
      <c r="F17" s="18">
        <f t="shared" si="1"/>
        <v>7868.8169999999918</v>
      </c>
      <c r="G17" s="19">
        <f t="shared" si="3"/>
        <v>130.30000000000018</v>
      </c>
      <c r="H17" s="20">
        <f t="shared" si="2"/>
        <v>-12.769399999999678</v>
      </c>
    </row>
    <row r="18" spans="1:8" ht="13" x14ac:dyDescent="0.15">
      <c r="A18" s="12">
        <v>45531</v>
      </c>
      <c r="B18" s="13" t="s">
        <v>3</v>
      </c>
      <c r="C18" s="14">
        <v>0.94369999999999998</v>
      </c>
      <c r="D18" s="16">
        <v>2614</v>
      </c>
      <c r="E18" s="17">
        <f t="shared" si="0"/>
        <v>147.16820000000007</v>
      </c>
      <c r="F18" s="18">
        <f t="shared" si="1"/>
        <v>8094.2510000000038</v>
      </c>
      <c r="G18" s="19">
        <f t="shared" si="3"/>
        <v>130.70000000000027</v>
      </c>
      <c r="H18" s="20">
        <f t="shared" si="2"/>
        <v>-16.468199999999797</v>
      </c>
    </row>
    <row r="19" spans="1:8" ht="13" x14ac:dyDescent="0.15">
      <c r="A19" s="12">
        <v>45532</v>
      </c>
      <c r="B19" s="13" t="s">
        <v>4</v>
      </c>
      <c r="C19" s="14">
        <v>0.94950000000000001</v>
      </c>
      <c r="D19" s="16">
        <v>2612</v>
      </c>
      <c r="E19" s="17">
        <f t="shared" si="0"/>
        <v>131.90599999999995</v>
      </c>
      <c r="F19" s="18">
        <f t="shared" si="1"/>
        <v>7254.8299999999972</v>
      </c>
      <c r="G19" s="19">
        <f t="shared" si="3"/>
        <v>130.59999999999991</v>
      </c>
      <c r="H19" s="20">
        <f t="shared" si="2"/>
        <v>-1.30600000000004</v>
      </c>
    </row>
    <row r="20" spans="1:8" ht="13" x14ac:dyDescent="0.15">
      <c r="A20" s="12">
        <v>45533</v>
      </c>
      <c r="B20" s="13" t="s">
        <v>5</v>
      </c>
      <c r="C20" s="14">
        <v>0.94850000000000001</v>
      </c>
      <c r="D20" s="16">
        <v>2619</v>
      </c>
      <c r="E20" s="17">
        <f t="shared" si="0"/>
        <v>134.8784999999998</v>
      </c>
      <c r="F20" s="18">
        <f t="shared" si="1"/>
        <v>7418.3174999999892</v>
      </c>
      <c r="G20" s="19">
        <f t="shared" si="3"/>
        <v>130.95000000000027</v>
      </c>
      <c r="H20" s="20">
        <f t="shared" si="2"/>
        <v>-3.9284999999995307</v>
      </c>
    </row>
    <row r="21" spans="1:8" ht="13" x14ac:dyDescent="0.15">
      <c r="A21" s="12">
        <v>45534</v>
      </c>
      <c r="B21" s="13" t="s">
        <v>6</v>
      </c>
      <c r="C21" s="14">
        <v>0.93469999999999998</v>
      </c>
      <c r="D21" s="16">
        <v>2620</v>
      </c>
      <c r="E21" s="17">
        <f t="shared" si="0"/>
        <v>171.08600000000024</v>
      </c>
      <c r="F21" s="18">
        <f t="shared" si="1"/>
        <v>9409.7300000000141</v>
      </c>
      <c r="G21" s="19">
        <f t="shared" si="3"/>
        <v>131</v>
      </c>
      <c r="H21" s="20">
        <f t="shared" si="2"/>
        <v>-40.08600000000024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0.93899999999999995</v>
      </c>
      <c r="D23" s="16">
        <v>2625</v>
      </c>
      <c r="E23" s="17">
        <f t="shared" si="0"/>
        <v>160.125</v>
      </c>
      <c r="F23" s="18">
        <f t="shared" si="1"/>
        <v>8806.875</v>
      </c>
      <c r="G23" s="19">
        <f t="shared" si="3"/>
        <v>131.25</v>
      </c>
      <c r="H23" s="20">
        <f t="shared" si="2"/>
        <v>-28.875</v>
      </c>
    </row>
    <row r="24" spans="1:8" ht="13" x14ac:dyDescent="0.15">
      <c r="A24" s="12">
        <v>45539</v>
      </c>
      <c r="B24" s="13" t="s">
        <v>4</v>
      </c>
      <c r="C24" s="14">
        <v>0.94550000000000001</v>
      </c>
      <c r="D24" s="16">
        <v>2626</v>
      </c>
      <c r="E24" s="17">
        <f t="shared" si="0"/>
        <v>143.11700000000019</v>
      </c>
      <c r="F24" s="18">
        <f t="shared" si="1"/>
        <v>7871.4350000000104</v>
      </c>
      <c r="G24" s="19">
        <f t="shared" si="3"/>
        <v>131.30000000000018</v>
      </c>
      <c r="H24" s="20">
        <f t="shared" si="2"/>
        <v>-11.817000000000007</v>
      </c>
    </row>
    <row r="25" spans="1:8" ht="13" x14ac:dyDescent="0.15">
      <c r="A25" s="12">
        <v>45540</v>
      </c>
      <c r="B25" s="13" t="s">
        <v>5</v>
      </c>
      <c r="C25" s="14">
        <v>0.94410000000000005</v>
      </c>
      <c r="D25" s="16">
        <v>2632</v>
      </c>
      <c r="E25" s="17">
        <f t="shared" si="0"/>
        <v>147.12879999999996</v>
      </c>
      <c r="F25" s="18">
        <f t="shared" si="1"/>
        <v>8092.0839999999971</v>
      </c>
      <c r="G25" s="19">
        <f t="shared" si="3"/>
        <v>131.59999999999991</v>
      </c>
      <c r="H25" s="20">
        <f t="shared" si="2"/>
        <v>-15.528800000000047</v>
      </c>
    </row>
    <row r="26" spans="1:8" ht="13" x14ac:dyDescent="0.15">
      <c r="A26" s="12">
        <v>45541</v>
      </c>
      <c r="B26" s="13" t="s">
        <v>6</v>
      </c>
      <c r="C26" s="14">
        <v>0.91759999999999997</v>
      </c>
      <c r="D26" s="16">
        <v>2633</v>
      </c>
      <c r="E26" s="17">
        <f t="shared" si="0"/>
        <v>216.95920000000024</v>
      </c>
      <c r="F26" s="18">
        <f t="shared" si="1"/>
        <v>11932.756000000012</v>
      </c>
      <c r="G26" s="19">
        <f t="shared" si="3"/>
        <v>131.65000000000009</v>
      </c>
      <c r="H26" s="20">
        <f t="shared" si="2"/>
        <v>-85.309200000000146</v>
      </c>
    </row>
    <row r="27" spans="1:8" ht="13" x14ac:dyDescent="0.15">
      <c r="A27" s="12">
        <v>45544</v>
      </c>
      <c r="B27" s="13" t="s">
        <v>2</v>
      </c>
      <c r="C27" s="14">
        <v>0.94189999999999996</v>
      </c>
      <c r="D27" s="16">
        <v>2633</v>
      </c>
      <c r="E27" s="17">
        <f t="shared" si="0"/>
        <v>152.97730000000001</v>
      </c>
      <c r="F27" s="18">
        <f t="shared" si="1"/>
        <v>8413.7515000000003</v>
      </c>
      <c r="G27" s="19">
        <f t="shared" si="3"/>
        <v>131.65000000000009</v>
      </c>
      <c r="H27" s="20">
        <f t="shared" si="2"/>
        <v>-21.327299999999923</v>
      </c>
    </row>
    <row r="28" spans="1:8" ht="13" x14ac:dyDescent="0.15">
      <c r="A28" s="12">
        <v>45545</v>
      </c>
      <c r="B28" s="13" t="s">
        <v>3</v>
      </c>
      <c r="C28" s="14">
        <v>0.94469999999999998</v>
      </c>
      <c r="D28" s="16">
        <v>2638</v>
      </c>
      <c r="E28" s="17">
        <f t="shared" si="0"/>
        <v>145.88140000000021</v>
      </c>
      <c r="F28" s="18">
        <f t="shared" si="1"/>
        <v>8023.4770000000117</v>
      </c>
      <c r="G28" s="19">
        <f t="shared" si="3"/>
        <v>131.90000000000009</v>
      </c>
      <c r="H28" s="20">
        <f t="shared" si="2"/>
        <v>-13.981400000000122</v>
      </c>
    </row>
    <row r="29" spans="1:8" ht="13" x14ac:dyDescent="0.15">
      <c r="A29" s="12">
        <v>45546</v>
      </c>
      <c r="B29" s="13" t="s">
        <v>4</v>
      </c>
      <c r="C29" s="14">
        <v>0.94159999999999999</v>
      </c>
      <c r="D29" s="16">
        <v>2638</v>
      </c>
      <c r="E29" s="17">
        <f t="shared" si="0"/>
        <v>154.05920000000015</v>
      </c>
      <c r="F29" s="18">
        <f t="shared" si="1"/>
        <v>8473.2560000000085</v>
      </c>
      <c r="G29" s="19">
        <f t="shared" si="3"/>
        <v>131.90000000000009</v>
      </c>
      <c r="H29" s="20">
        <f t="shared" si="2"/>
        <v>-22.159200000000055</v>
      </c>
    </row>
    <row r="30" spans="1:8" ht="13" x14ac:dyDescent="0.15">
      <c r="A30" s="12">
        <v>45547</v>
      </c>
      <c r="B30" s="13" t="s">
        <v>5</v>
      </c>
      <c r="C30" s="14">
        <v>0.95220000000000005</v>
      </c>
      <c r="D30" s="16">
        <v>2637</v>
      </c>
      <c r="E30" s="17">
        <f t="shared" si="0"/>
        <v>126.04860000000008</v>
      </c>
      <c r="F30" s="18">
        <f t="shared" si="1"/>
        <v>6932.6730000000043</v>
      </c>
      <c r="G30" s="19">
        <f t="shared" si="3"/>
        <v>131.84999999999991</v>
      </c>
      <c r="H30" s="20">
        <f t="shared" si="2"/>
        <v>5.8013999999998305</v>
      </c>
    </row>
    <row r="31" spans="1:8" ht="13" x14ac:dyDescent="0.15">
      <c r="A31" s="12">
        <v>45548</v>
      </c>
      <c r="B31" s="13" t="s">
        <v>6</v>
      </c>
      <c r="C31" s="14">
        <v>0.92</v>
      </c>
      <c r="D31" s="16">
        <v>2636</v>
      </c>
      <c r="E31" s="17">
        <f t="shared" si="0"/>
        <v>210.88000000000011</v>
      </c>
      <c r="F31" s="18">
        <f t="shared" si="1"/>
        <v>11598.400000000005</v>
      </c>
      <c r="G31" s="19">
        <f t="shared" si="3"/>
        <v>131.80000000000018</v>
      </c>
      <c r="H31" s="20">
        <f t="shared" si="2"/>
        <v>-79.079999999999927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0.94279999999999997</v>
      </c>
      <c r="D33" s="16">
        <v>2641</v>
      </c>
      <c r="E33" s="17">
        <f t="shared" si="0"/>
        <v>151.0652</v>
      </c>
      <c r="F33" s="18">
        <f t="shared" si="1"/>
        <v>8308.5859999999993</v>
      </c>
      <c r="G33" s="19">
        <f t="shared" si="3"/>
        <v>132.05000000000018</v>
      </c>
      <c r="H33" s="20">
        <f t="shared" si="2"/>
        <v>-19.015199999999822</v>
      </c>
    </row>
    <row r="34" spans="1:8" ht="13" x14ac:dyDescent="0.15">
      <c r="A34" s="12">
        <v>45553</v>
      </c>
      <c r="B34" s="13" t="s">
        <v>4</v>
      </c>
      <c r="C34" s="14">
        <v>0.9375</v>
      </c>
      <c r="D34" s="16">
        <v>2641</v>
      </c>
      <c r="E34" s="17">
        <f t="shared" si="0"/>
        <v>165.0625</v>
      </c>
      <c r="F34" s="18">
        <f t="shared" si="1"/>
        <v>9078.4375</v>
      </c>
      <c r="G34" s="19">
        <f t="shared" si="3"/>
        <v>132.05000000000018</v>
      </c>
      <c r="H34" s="20">
        <f t="shared" si="2"/>
        <v>-33.012499999999818</v>
      </c>
    </row>
    <row r="35" spans="1:8" ht="13" x14ac:dyDescent="0.15">
      <c r="A35" s="12">
        <v>45554</v>
      </c>
      <c r="B35" s="13" t="s">
        <v>5</v>
      </c>
      <c r="C35" s="14">
        <v>0.9375</v>
      </c>
      <c r="D35" s="16">
        <v>2641</v>
      </c>
      <c r="E35" s="17">
        <f t="shared" si="0"/>
        <v>165.0625</v>
      </c>
      <c r="F35" s="18">
        <f t="shared" si="1"/>
        <v>9078.4375</v>
      </c>
      <c r="G35" s="19">
        <f t="shared" si="3"/>
        <v>132.05000000000018</v>
      </c>
      <c r="H35" s="20">
        <f t="shared" si="2"/>
        <v>-33.012499999999818</v>
      </c>
    </row>
    <row r="36" spans="1:8" ht="13" x14ac:dyDescent="0.15">
      <c r="A36" s="12">
        <v>45555</v>
      </c>
      <c r="B36" s="13" t="s">
        <v>6</v>
      </c>
      <c r="C36" s="14">
        <v>0.92010000000000003</v>
      </c>
      <c r="D36" s="16">
        <v>2641</v>
      </c>
      <c r="E36" s="17">
        <f t="shared" si="0"/>
        <v>211.01589999999987</v>
      </c>
      <c r="F36" s="18">
        <f t="shared" si="1"/>
        <v>11605.874499999993</v>
      </c>
      <c r="G36" s="19">
        <f t="shared" si="3"/>
        <v>132.05000000000018</v>
      </c>
      <c r="H36" s="20">
        <f t="shared" si="2"/>
        <v>-78.965899999999692</v>
      </c>
    </row>
    <row r="37" spans="1:8" ht="13" x14ac:dyDescent="0.15">
      <c r="A37" s="12">
        <v>45558</v>
      </c>
      <c r="B37" s="13" t="s">
        <v>2</v>
      </c>
      <c r="C37" s="14">
        <v>0.91910000000000003</v>
      </c>
      <c r="D37" s="16">
        <v>2644</v>
      </c>
      <c r="E37" s="17">
        <f t="shared" si="0"/>
        <v>213.89959999999974</v>
      </c>
      <c r="F37" s="18">
        <f t="shared" si="1"/>
        <v>11764.477999999985</v>
      </c>
      <c r="G37" s="19">
        <f t="shared" si="3"/>
        <v>132.20000000000027</v>
      </c>
      <c r="H37" s="20">
        <f t="shared" si="2"/>
        <v>-81.699599999999464</v>
      </c>
    </row>
    <row r="38" spans="1:8" ht="13" x14ac:dyDescent="0.15">
      <c r="A38" s="12">
        <v>45559</v>
      </c>
      <c r="B38" s="13" t="s">
        <v>3</v>
      </c>
      <c r="C38" s="14">
        <v>0.9335</v>
      </c>
      <c r="D38" s="16">
        <v>2648</v>
      </c>
      <c r="E38" s="17">
        <f t="shared" si="0"/>
        <v>176.0920000000001</v>
      </c>
      <c r="F38" s="18">
        <f t="shared" si="1"/>
        <v>9685.0600000000049</v>
      </c>
      <c r="G38" s="19">
        <f t="shared" si="3"/>
        <v>132.40000000000009</v>
      </c>
      <c r="H38" s="20">
        <f t="shared" si="2"/>
        <v>-43.692000000000007</v>
      </c>
    </row>
    <row r="39" spans="1:8" ht="13" x14ac:dyDescent="0.15">
      <c r="A39" s="12">
        <v>45560</v>
      </c>
      <c r="B39" s="13" t="s">
        <v>4</v>
      </c>
      <c r="C39" s="14">
        <v>0.94779999999999998</v>
      </c>
      <c r="D39" s="16">
        <v>2646</v>
      </c>
      <c r="E39" s="17">
        <f t="shared" ref="E39:E70" si="4">D39-(C39*D39)</f>
        <v>138.12120000000004</v>
      </c>
      <c r="F39" s="18">
        <f t="shared" si="1"/>
        <v>7596.6660000000029</v>
      </c>
      <c r="G39" s="19">
        <f t="shared" si="3"/>
        <v>132.30000000000018</v>
      </c>
      <c r="H39" s="20">
        <f t="shared" si="2"/>
        <v>-5.8211999999998625</v>
      </c>
    </row>
    <row r="40" spans="1:8" ht="13" x14ac:dyDescent="0.15">
      <c r="A40" s="12">
        <v>45561</v>
      </c>
      <c r="B40" s="13" t="s">
        <v>5</v>
      </c>
      <c r="C40" s="14">
        <v>0.93769999999999998</v>
      </c>
      <c r="D40" s="16">
        <v>2646</v>
      </c>
      <c r="E40" s="17">
        <f t="shared" si="4"/>
        <v>164.84580000000005</v>
      </c>
      <c r="F40" s="18">
        <f t="shared" si="1"/>
        <v>9066.5190000000039</v>
      </c>
      <c r="G40" s="19">
        <f t="shared" si="3"/>
        <v>132.30000000000018</v>
      </c>
      <c r="H40" s="20">
        <f t="shared" si="2"/>
        <v>-32.545799999999872</v>
      </c>
    </row>
    <row r="41" spans="1:8" ht="13" x14ac:dyDescent="0.15">
      <c r="A41" s="12">
        <v>45562</v>
      </c>
      <c r="B41" s="13" t="s">
        <v>6</v>
      </c>
      <c r="C41" s="14">
        <v>0.92530000000000001</v>
      </c>
      <c r="D41" s="16">
        <v>2650</v>
      </c>
      <c r="E41" s="17">
        <f t="shared" si="4"/>
        <v>197.95499999999993</v>
      </c>
      <c r="F41" s="18">
        <f t="shared" si="1"/>
        <v>10887.524999999996</v>
      </c>
      <c r="G41" s="19">
        <f t="shared" si="3"/>
        <v>132.5</v>
      </c>
      <c r="H41" s="20">
        <f t="shared" si="2"/>
        <v>-65.454999999999927</v>
      </c>
    </row>
    <row r="42" spans="1:8" ht="13" x14ac:dyDescent="0.15">
      <c r="A42" s="12">
        <v>45565</v>
      </c>
      <c r="B42" s="13" t="s">
        <v>2</v>
      </c>
      <c r="C42" s="14">
        <v>0.93369999999999997</v>
      </c>
      <c r="D42" s="16">
        <v>2653</v>
      </c>
      <c r="E42" s="17">
        <f t="shared" si="4"/>
        <v>175.89390000000003</v>
      </c>
      <c r="F42" s="18">
        <f t="shared" si="1"/>
        <v>9674.1645000000026</v>
      </c>
      <c r="G42" s="19">
        <f t="shared" si="3"/>
        <v>132.65000000000009</v>
      </c>
      <c r="H42" s="20">
        <f t="shared" si="2"/>
        <v>-43.24389999999994</v>
      </c>
    </row>
    <row r="43" spans="1:8" ht="13" x14ac:dyDescent="0.15">
      <c r="A43" s="12">
        <v>45566</v>
      </c>
      <c r="B43" s="13" t="s">
        <v>3</v>
      </c>
      <c r="C43" s="14">
        <v>0.93969999999999998</v>
      </c>
      <c r="D43" s="16">
        <v>2652</v>
      </c>
      <c r="E43" s="17">
        <f t="shared" si="4"/>
        <v>159.91560000000027</v>
      </c>
      <c r="F43" s="18">
        <f t="shared" si="1"/>
        <v>8795.3580000000147</v>
      </c>
      <c r="G43" s="19">
        <f t="shared" si="3"/>
        <v>132.59999999999991</v>
      </c>
      <c r="H43" s="20">
        <f t="shared" si="2"/>
        <v>-27.315600000000359</v>
      </c>
    </row>
    <row r="44" spans="1:8" ht="13" x14ac:dyDescent="0.15">
      <c r="A44" s="12">
        <v>45567</v>
      </c>
      <c r="B44" s="13" t="s">
        <v>4</v>
      </c>
      <c r="C44" s="14">
        <v>0.93710000000000004</v>
      </c>
      <c r="D44" s="16">
        <v>2655</v>
      </c>
      <c r="E44" s="17">
        <f t="shared" si="4"/>
        <v>166.9994999999999</v>
      </c>
      <c r="F44" s="18">
        <f t="shared" si="1"/>
        <v>9184.9724999999944</v>
      </c>
      <c r="G44" s="19">
        <f t="shared" si="3"/>
        <v>132.75</v>
      </c>
      <c r="H44" s="20">
        <f t="shared" si="2"/>
        <v>-34.249499999999898</v>
      </c>
    </row>
    <row r="45" spans="1:8" ht="13" x14ac:dyDescent="0.15">
      <c r="A45" s="12">
        <v>45568</v>
      </c>
      <c r="B45" s="13" t="s">
        <v>5</v>
      </c>
      <c r="C45" s="14">
        <v>0.94130000000000003</v>
      </c>
      <c r="D45" s="16">
        <v>2656</v>
      </c>
      <c r="E45" s="17">
        <f t="shared" si="4"/>
        <v>155.9072000000001</v>
      </c>
      <c r="F45" s="18">
        <f t="shared" si="1"/>
        <v>8574.8960000000061</v>
      </c>
      <c r="G45" s="19">
        <f t="shared" si="3"/>
        <v>132.80000000000018</v>
      </c>
      <c r="H45" s="20">
        <f t="shared" si="2"/>
        <v>-23.107199999999921</v>
      </c>
    </row>
    <row r="46" spans="1:8" ht="13" x14ac:dyDescent="0.15">
      <c r="A46" s="12">
        <v>45569</v>
      </c>
      <c r="B46" s="13" t="s">
        <v>6</v>
      </c>
      <c r="C46" s="14">
        <v>0.92090000000000005</v>
      </c>
      <c r="D46" s="16">
        <v>2656</v>
      </c>
      <c r="E46" s="17">
        <f t="shared" si="4"/>
        <v>210.08959999999979</v>
      </c>
      <c r="F46" s="18">
        <f t="shared" si="1"/>
        <v>11554.927999999989</v>
      </c>
      <c r="G46" s="19">
        <f t="shared" si="3"/>
        <v>132.80000000000018</v>
      </c>
      <c r="H46" s="20">
        <f t="shared" si="2"/>
        <v>-77.289599999999609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0.92520000000000002</v>
      </c>
      <c r="D52" s="16">
        <v>2646</v>
      </c>
      <c r="E52" s="17">
        <f t="shared" si="4"/>
        <v>197.92079999999987</v>
      </c>
      <c r="F52" s="18">
        <f t="shared" si="1"/>
        <v>10885.643999999993</v>
      </c>
      <c r="G52" s="19">
        <f t="shared" si="3"/>
        <v>132.30000000000018</v>
      </c>
      <c r="H52" s="20">
        <f t="shared" si="2"/>
        <v>-65.62079999999969</v>
      </c>
    </row>
    <row r="53" spans="1:8" ht="13" x14ac:dyDescent="0.15">
      <c r="A53" s="12">
        <v>45580</v>
      </c>
      <c r="B53" s="13" t="s">
        <v>3</v>
      </c>
      <c r="C53" s="14">
        <v>0.93940000000000001</v>
      </c>
      <c r="D53" s="16">
        <v>2642</v>
      </c>
      <c r="E53" s="17">
        <f t="shared" si="4"/>
        <v>160.10519999999997</v>
      </c>
      <c r="F53" s="18">
        <f t="shared" si="1"/>
        <v>8805.7859999999982</v>
      </c>
      <c r="G53" s="19">
        <f t="shared" si="3"/>
        <v>132.09999999999991</v>
      </c>
      <c r="H53" s="20">
        <f t="shared" si="2"/>
        <v>-28.005200000000059</v>
      </c>
    </row>
    <row r="54" spans="1:8" ht="13" x14ac:dyDescent="0.15">
      <c r="A54" s="12">
        <v>45581</v>
      </c>
      <c r="B54" s="13" t="s">
        <v>4</v>
      </c>
      <c r="C54" s="29">
        <v>0.9617</v>
      </c>
      <c r="D54" s="16">
        <v>2640</v>
      </c>
      <c r="E54" s="17">
        <f t="shared" si="4"/>
        <v>101.11200000000008</v>
      </c>
      <c r="F54" s="18">
        <f t="shared" si="1"/>
        <v>5561.1600000000044</v>
      </c>
      <c r="G54" s="19">
        <f t="shared" si="3"/>
        <v>132</v>
      </c>
      <c r="H54" s="20">
        <f t="shared" si="2"/>
        <v>30.88799999999992</v>
      </c>
    </row>
    <row r="55" spans="1:8" ht="13" x14ac:dyDescent="0.15">
      <c r="A55" s="12">
        <v>45582</v>
      </c>
      <c r="B55" s="13" t="s">
        <v>5</v>
      </c>
      <c r="C55" s="14">
        <v>0.93869999999999998</v>
      </c>
      <c r="D55" s="16">
        <v>2641</v>
      </c>
      <c r="E55" s="17">
        <f t="shared" si="4"/>
        <v>161.89330000000018</v>
      </c>
      <c r="F55" s="18">
        <f t="shared" si="1"/>
        <v>8904.1315000000104</v>
      </c>
      <c r="G55" s="19">
        <f t="shared" si="3"/>
        <v>132.05000000000018</v>
      </c>
      <c r="H55" s="20">
        <f t="shared" si="2"/>
        <v>-29.843299999999999</v>
      </c>
    </row>
    <row r="56" spans="1:8" ht="13" x14ac:dyDescent="0.15">
      <c r="A56" s="12">
        <v>45583</v>
      </c>
      <c r="B56" s="13" t="s">
        <v>6</v>
      </c>
      <c r="C56" s="14">
        <v>0.92610000000000003</v>
      </c>
      <c r="D56" s="16">
        <v>2640</v>
      </c>
      <c r="E56" s="17">
        <f t="shared" si="4"/>
        <v>195.096</v>
      </c>
      <c r="F56" s="18">
        <f t="shared" si="1"/>
        <v>10730.28</v>
      </c>
      <c r="G56" s="19">
        <f t="shared" si="3"/>
        <v>132</v>
      </c>
      <c r="H56" s="20">
        <f t="shared" si="2"/>
        <v>-63.096000000000004</v>
      </c>
    </row>
    <row r="57" spans="1:8" ht="13" x14ac:dyDescent="0.15">
      <c r="A57" s="12">
        <v>45586</v>
      </c>
      <c r="B57" s="13" t="s">
        <v>2</v>
      </c>
      <c r="C57" s="14">
        <v>0.93410000000000004</v>
      </c>
      <c r="D57" s="16">
        <v>2639</v>
      </c>
      <c r="E57" s="17">
        <f t="shared" si="4"/>
        <v>173.91010000000006</v>
      </c>
      <c r="F57" s="18">
        <f t="shared" si="1"/>
        <v>9565.0555000000022</v>
      </c>
      <c r="G57" s="19">
        <f t="shared" si="3"/>
        <v>131.95000000000027</v>
      </c>
      <c r="H57" s="20">
        <f t="shared" si="2"/>
        <v>-41.960099999999784</v>
      </c>
    </row>
    <row r="58" spans="1:8" ht="13" x14ac:dyDescent="0.15">
      <c r="A58" s="12">
        <v>45587</v>
      </c>
      <c r="B58" s="13" t="s">
        <v>3</v>
      </c>
      <c r="C58" s="14">
        <v>0.94350000000000001</v>
      </c>
      <c r="D58" s="16">
        <v>2638</v>
      </c>
      <c r="E58" s="17">
        <f t="shared" si="4"/>
        <v>149.04700000000003</v>
      </c>
      <c r="F58" s="18">
        <f t="shared" si="1"/>
        <v>8197.5850000000009</v>
      </c>
      <c r="G58" s="19">
        <f t="shared" si="3"/>
        <v>131.90000000000009</v>
      </c>
      <c r="H58" s="20">
        <f t="shared" si="2"/>
        <v>-17.146999999999935</v>
      </c>
    </row>
    <row r="59" spans="1:8" ht="13" x14ac:dyDescent="0.15">
      <c r="A59" s="12">
        <v>45588</v>
      </c>
      <c r="B59" s="13" t="s">
        <v>4</v>
      </c>
      <c r="C59" s="14">
        <v>0.93220000000000003</v>
      </c>
      <c r="D59" s="16">
        <v>2640</v>
      </c>
      <c r="E59" s="17">
        <f t="shared" si="4"/>
        <v>178.99199999999973</v>
      </c>
      <c r="F59" s="18">
        <f t="shared" si="1"/>
        <v>9844.5599999999849</v>
      </c>
      <c r="G59" s="19">
        <f t="shared" si="3"/>
        <v>132</v>
      </c>
      <c r="H59" s="20">
        <f t="shared" si="2"/>
        <v>-46.991999999999734</v>
      </c>
    </row>
    <row r="60" spans="1:8" ht="13" x14ac:dyDescent="0.15">
      <c r="A60" s="12">
        <v>45589</v>
      </c>
      <c r="B60" s="13" t="s">
        <v>5</v>
      </c>
      <c r="C60" s="14">
        <v>0.92720000000000002</v>
      </c>
      <c r="D60" s="16">
        <v>2639</v>
      </c>
      <c r="E60" s="17">
        <f t="shared" si="4"/>
        <v>192.11920000000009</v>
      </c>
      <c r="F60" s="18">
        <f t="shared" si="1"/>
        <v>10566.556000000004</v>
      </c>
      <c r="G60" s="19">
        <f t="shared" si="3"/>
        <v>131.95000000000027</v>
      </c>
      <c r="H60" s="20">
        <f t="shared" si="2"/>
        <v>-60.169199999999819</v>
      </c>
    </row>
    <row r="61" spans="1:8" ht="13" x14ac:dyDescent="0.15">
      <c r="A61" s="12">
        <v>45590</v>
      </c>
      <c r="B61" s="13" t="s">
        <v>6</v>
      </c>
      <c r="C61" s="14">
        <v>0.93030000000000002</v>
      </c>
      <c r="D61" s="16">
        <v>2639</v>
      </c>
      <c r="E61" s="17">
        <f t="shared" si="4"/>
        <v>183.9382999999998</v>
      </c>
      <c r="F61" s="18">
        <f t="shared" si="1"/>
        <v>10116.606499999989</v>
      </c>
      <c r="G61" s="19">
        <f t="shared" si="3"/>
        <v>131.95000000000027</v>
      </c>
      <c r="H61" s="20">
        <f t="shared" si="2"/>
        <v>-51.988299999999526</v>
      </c>
    </row>
    <row r="62" spans="1:8" ht="13" x14ac:dyDescent="0.15">
      <c r="A62" s="12">
        <v>45593</v>
      </c>
      <c r="B62" s="13" t="s">
        <v>2</v>
      </c>
      <c r="C62" s="14">
        <v>0.92569999999999997</v>
      </c>
      <c r="D62" s="16">
        <v>2639</v>
      </c>
      <c r="E62" s="17">
        <f t="shared" si="4"/>
        <v>196.07770000000028</v>
      </c>
      <c r="F62" s="18">
        <f t="shared" si="1"/>
        <v>10784.273500000016</v>
      </c>
      <c r="G62" s="19">
        <f t="shared" si="3"/>
        <v>131.95000000000027</v>
      </c>
      <c r="H62" s="20">
        <f t="shared" si="2"/>
        <v>-64.127700000000004</v>
      </c>
    </row>
    <row r="63" spans="1:8" ht="13" x14ac:dyDescent="0.15">
      <c r="A63" s="12">
        <v>45594</v>
      </c>
      <c r="B63" s="13" t="s">
        <v>3</v>
      </c>
      <c r="C63" s="14">
        <v>0.93710000000000004</v>
      </c>
      <c r="D63" s="16">
        <v>2639</v>
      </c>
      <c r="E63" s="17">
        <f t="shared" si="4"/>
        <v>165.99309999999969</v>
      </c>
      <c r="F63" s="18">
        <f t="shared" si="1"/>
        <v>9129.6204999999827</v>
      </c>
      <c r="G63" s="19">
        <f t="shared" si="3"/>
        <v>131.95000000000027</v>
      </c>
      <c r="H63" s="20">
        <f t="shared" si="2"/>
        <v>-34.043099999999413</v>
      </c>
    </row>
    <row r="64" spans="1:8" ht="13" x14ac:dyDescent="0.15">
      <c r="A64" s="12">
        <v>45595</v>
      </c>
      <c r="B64" s="13" t="s">
        <v>4</v>
      </c>
      <c r="C64" s="14">
        <v>0.9375</v>
      </c>
      <c r="D64" s="16">
        <v>2638</v>
      </c>
      <c r="E64" s="17">
        <f t="shared" si="4"/>
        <v>164.875</v>
      </c>
      <c r="F64" s="18">
        <f t="shared" si="1"/>
        <v>9068.125</v>
      </c>
      <c r="G64" s="19">
        <f t="shared" si="3"/>
        <v>131.90000000000009</v>
      </c>
      <c r="H64" s="20">
        <f t="shared" si="2"/>
        <v>-32.974999999999909</v>
      </c>
    </row>
    <row r="65" spans="1:8" ht="13" x14ac:dyDescent="0.15">
      <c r="A65" s="12">
        <v>45596</v>
      </c>
      <c r="B65" s="13" t="s">
        <v>5</v>
      </c>
      <c r="C65" s="14">
        <v>0.93320000000000003</v>
      </c>
      <c r="D65" s="16">
        <v>2635</v>
      </c>
      <c r="E65" s="17">
        <f t="shared" si="4"/>
        <v>176.01800000000003</v>
      </c>
      <c r="F65" s="18">
        <f t="shared" si="1"/>
        <v>9680.9900000000016</v>
      </c>
      <c r="G65" s="19">
        <f t="shared" si="3"/>
        <v>131.75</v>
      </c>
      <c r="H65" s="20">
        <f t="shared" si="2"/>
        <v>-44.268000000000029</v>
      </c>
    </row>
    <row r="66" spans="1:8" ht="13" x14ac:dyDescent="0.15">
      <c r="A66" s="12">
        <v>45597</v>
      </c>
      <c r="B66" s="13" t="s">
        <v>6</v>
      </c>
      <c r="C66" s="14">
        <v>0.88649999999999995</v>
      </c>
      <c r="D66" s="16">
        <v>2635</v>
      </c>
      <c r="E66" s="17">
        <f t="shared" si="4"/>
        <v>299.07250000000022</v>
      </c>
      <c r="F66" s="18">
        <f t="shared" si="1"/>
        <v>16448.98750000001</v>
      </c>
      <c r="G66" s="19">
        <f t="shared" si="3"/>
        <v>131.75</v>
      </c>
      <c r="H66" s="20">
        <f t="shared" si="2"/>
        <v>-167.32250000000022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0.94079999999999997</v>
      </c>
      <c r="D69" s="16">
        <v>2634</v>
      </c>
      <c r="E69" s="17">
        <f t="shared" si="4"/>
        <v>155.93280000000004</v>
      </c>
      <c r="F69" s="18">
        <f t="shared" si="1"/>
        <v>8576.3040000000019</v>
      </c>
      <c r="G69" s="19">
        <f t="shared" si="3"/>
        <v>131.70000000000027</v>
      </c>
      <c r="H69" s="20">
        <f t="shared" si="2"/>
        <v>-24.23279999999977</v>
      </c>
    </row>
    <row r="70" spans="1:8" ht="13" x14ac:dyDescent="0.15">
      <c r="A70" s="12">
        <v>45603</v>
      </c>
      <c r="B70" s="13" t="s">
        <v>5</v>
      </c>
      <c r="C70" s="14">
        <v>0.91459999999999997</v>
      </c>
      <c r="D70" s="16">
        <v>2635</v>
      </c>
      <c r="E70" s="17">
        <f t="shared" si="4"/>
        <v>225.029</v>
      </c>
      <c r="F70" s="18">
        <f t="shared" si="1"/>
        <v>12376.594999999999</v>
      </c>
      <c r="G70" s="19">
        <f t="shared" si="3"/>
        <v>131.75</v>
      </c>
      <c r="H70" s="20">
        <f t="shared" si="2"/>
        <v>-93.278999999999996</v>
      </c>
    </row>
    <row r="71" spans="1:8" ht="13" x14ac:dyDescent="0.15">
      <c r="A71" s="12">
        <v>45604</v>
      </c>
      <c r="B71" s="13" t="s">
        <v>6</v>
      </c>
      <c r="C71" s="14">
        <v>0.91610000000000003</v>
      </c>
      <c r="D71" s="16">
        <v>2635</v>
      </c>
      <c r="E71" s="17">
        <f t="shared" ref="E71:E102" si="5">D71-(C71*D71)</f>
        <v>221.07650000000012</v>
      </c>
      <c r="F71" s="18">
        <f t="shared" si="1"/>
        <v>12159.207500000008</v>
      </c>
      <c r="G71" s="19">
        <f t="shared" si="3"/>
        <v>131.75</v>
      </c>
      <c r="H71" s="20">
        <f t="shared" si="2"/>
        <v>-89.326500000000124</v>
      </c>
    </row>
    <row r="72" spans="1:8" ht="13" x14ac:dyDescent="0.15">
      <c r="A72" s="12">
        <v>45607</v>
      </c>
      <c r="B72" s="13" t="s">
        <v>2</v>
      </c>
      <c r="C72" s="14">
        <v>0.93020000000000003</v>
      </c>
      <c r="D72" s="16">
        <v>2635</v>
      </c>
      <c r="E72" s="17">
        <f t="shared" si="5"/>
        <v>183.92299999999977</v>
      </c>
      <c r="F72" s="18">
        <f t="shared" si="1"/>
        <v>10115.764999999989</v>
      </c>
      <c r="G72" s="19">
        <f t="shared" si="3"/>
        <v>131.75</v>
      </c>
      <c r="H72" s="20">
        <f t="shared" si="2"/>
        <v>-52.172999999999774</v>
      </c>
    </row>
    <row r="73" spans="1:8" ht="13" x14ac:dyDescent="0.15">
      <c r="A73" s="12">
        <v>45608</v>
      </c>
      <c r="B73" s="13" t="s">
        <v>3</v>
      </c>
      <c r="C73" s="14">
        <v>0.93210000000000004</v>
      </c>
      <c r="D73" s="16">
        <v>2635</v>
      </c>
      <c r="E73" s="17">
        <f t="shared" si="5"/>
        <v>178.91649999999981</v>
      </c>
      <c r="F73" s="18">
        <f t="shared" si="1"/>
        <v>9840.4074999999903</v>
      </c>
      <c r="G73" s="19">
        <f t="shared" si="3"/>
        <v>131.75</v>
      </c>
      <c r="H73" s="20">
        <f t="shared" si="2"/>
        <v>-47.166499999999814</v>
      </c>
    </row>
    <row r="74" spans="1:8" ht="13" x14ac:dyDescent="0.15">
      <c r="A74" s="12">
        <v>45609</v>
      </c>
      <c r="B74" s="13" t="s">
        <v>4</v>
      </c>
      <c r="C74" s="14">
        <v>0.94420000000000004</v>
      </c>
      <c r="D74" s="16">
        <v>2634</v>
      </c>
      <c r="E74" s="17">
        <f t="shared" si="5"/>
        <v>146.97719999999981</v>
      </c>
      <c r="F74" s="18">
        <f t="shared" si="1"/>
        <v>8083.7459999999901</v>
      </c>
      <c r="G74" s="19">
        <f t="shared" si="3"/>
        <v>131.70000000000027</v>
      </c>
      <c r="H74" s="20">
        <f t="shared" si="2"/>
        <v>-15.277199999999539</v>
      </c>
    </row>
    <row r="75" spans="1:8" ht="13" x14ac:dyDescent="0.15">
      <c r="A75" s="12">
        <v>45610</v>
      </c>
      <c r="B75" s="13" t="s">
        <v>5</v>
      </c>
      <c r="C75" s="14">
        <v>0.93700000000000006</v>
      </c>
      <c r="D75" s="16">
        <v>2634</v>
      </c>
      <c r="E75" s="17">
        <f t="shared" si="5"/>
        <v>165.94200000000001</v>
      </c>
      <c r="F75" s="18">
        <f t="shared" si="1"/>
        <v>9126.8100000000013</v>
      </c>
      <c r="G75" s="19">
        <f t="shared" si="3"/>
        <v>131.70000000000027</v>
      </c>
      <c r="H75" s="20">
        <f t="shared" si="2"/>
        <v>-34.241999999999734</v>
      </c>
    </row>
    <row r="76" spans="1:8" ht="13" x14ac:dyDescent="0.15">
      <c r="A76" s="12">
        <v>45611</v>
      </c>
      <c r="B76" s="13" t="s">
        <v>6</v>
      </c>
      <c r="C76" s="14">
        <v>0.92069999999999996</v>
      </c>
      <c r="D76" s="16">
        <v>2634</v>
      </c>
      <c r="E76" s="17">
        <f t="shared" si="5"/>
        <v>208.87620000000015</v>
      </c>
      <c r="F76" s="18">
        <f t="shared" si="1"/>
        <v>11488.191000000008</v>
      </c>
      <c r="G76" s="19">
        <f t="shared" si="3"/>
        <v>131.70000000000027</v>
      </c>
      <c r="H76" s="20">
        <f t="shared" si="2"/>
        <v>-77.176199999999881</v>
      </c>
    </row>
    <row r="77" spans="1:8" ht="13" x14ac:dyDescent="0.15">
      <c r="A77" s="12">
        <v>45614</v>
      </c>
      <c r="B77" s="13" t="s">
        <v>2</v>
      </c>
      <c r="C77" s="14">
        <v>0.91649999999999998</v>
      </c>
      <c r="D77" s="16">
        <v>2635</v>
      </c>
      <c r="E77" s="17">
        <f t="shared" si="5"/>
        <v>220.02250000000004</v>
      </c>
      <c r="F77" s="18">
        <f t="shared" si="1"/>
        <v>12101.237500000003</v>
      </c>
      <c r="G77" s="19">
        <f t="shared" si="3"/>
        <v>131.75</v>
      </c>
      <c r="H77" s="20">
        <f t="shared" si="2"/>
        <v>-88.272500000000036</v>
      </c>
    </row>
    <row r="78" spans="1:8" ht="13" x14ac:dyDescent="0.15">
      <c r="A78" s="12">
        <v>45615</v>
      </c>
      <c r="B78" s="13" t="s">
        <v>3</v>
      </c>
      <c r="C78" s="14">
        <v>0.92410000000000003</v>
      </c>
      <c r="D78" s="16">
        <v>2636</v>
      </c>
      <c r="E78" s="17">
        <f t="shared" si="5"/>
        <v>200.07240000000002</v>
      </c>
      <c r="F78" s="18">
        <f t="shared" si="1"/>
        <v>11003.982</v>
      </c>
      <c r="G78" s="19">
        <f t="shared" si="3"/>
        <v>131.80000000000018</v>
      </c>
      <c r="H78" s="20">
        <f t="shared" si="2"/>
        <v>-68.272399999999834</v>
      </c>
    </row>
    <row r="79" spans="1:8" ht="13" x14ac:dyDescent="0.15">
      <c r="A79" s="12">
        <v>45616</v>
      </c>
      <c r="B79" s="13" t="s">
        <v>4</v>
      </c>
      <c r="C79" s="14">
        <v>0.93169999999999997</v>
      </c>
      <c r="D79" s="16">
        <v>2636</v>
      </c>
      <c r="E79" s="17">
        <f t="shared" si="5"/>
        <v>180.03880000000026</v>
      </c>
      <c r="F79" s="18">
        <f t="shared" si="1"/>
        <v>9902.1340000000146</v>
      </c>
      <c r="G79" s="19">
        <f t="shared" si="3"/>
        <v>131.80000000000018</v>
      </c>
      <c r="H79" s="20">
        <f t="shared" si="2"/>
        <v>-48.238800000000083</v>
      </c>
    </row>
    <row r="80" spans="1:8" ht="13" x14ac:dyDescent="0.15">
      <c r="A80" s="12">
        <v>45617</v>
      </c>
      <c r="B80" s="13" t="s">
        <v>5</v>
      </c>
      <c r="C80" s="14">
        <v>0.92110000000000003</v>
      </c>
      <c r="D80" s="16">
        <v>2636</v>
      </c>
      <c r="E80" s="17">
        <f t="shared" si="5"/>
        <v>207.98039999999992</v>
      </c>
      <c r="F80" s="18">
        <f t="shared" si="1"/>
        <v>11438.921999999995</v>
      </c>
      <c r="G80" s="19">
        <f t="shared" si="3"/>
        <v>131.80000000000018</v>
      </c>
      <c r="H80" s="20">
        <f t="shared" si="2"/>
        <v>-76.180399999999736</v>
      </c>
    </row>
    <row r="81" spans="1:8" ht="13" x14ac:dyDescent="0.15">
      <c r="A81" s="12">
        <v>45618</v>
      </c>
      <c r="B81" s="13" t="s">
        <v>6</v>
      </c>
      <c r="C81" s="14">
        <v>0.88690000000000002</v>
      </c>
      <c r="D81" s="16">
        <v>2636</v>
      </c>
      <c r="E81" s="17">
        <f t="shared" si="5"/>
        <v>298.13160000000016</v>
      </c>
      <c r="F81" s="18">
        <f t="shared" si="1"/>
        <v>16397.238000000008</v>
      </c>
      <c r="G81" s="19">
        <f t="shared" si="3"/>
        <v>131.80000000000018</v>
      </c>
      <c r="H81" s="20">
        <f t="shared" si="2"/>
        <v>-166.33159999999998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0.91220000000000001</v>
      </c>
      <c r="D87" s="16">
        <v>2631</v>
      </c>
      <c r="E87" s="17">
        <f t="shared" si="5"/>
        <v>231.0018</v>
      </c>
      <c r="F87" s="18">
        <f t="shared" si="1"/>
        <v>12705.099</v>
      </c>
      <c r="G87" s="19">
        <f t="shared" si="3"/>
        <v>131.55000000000018</v>
      </c>
      <c r="H87" s="20">
        <f t="shared" si="2"/>
        <v>-99.451799999999821</v>
      </c>
    </row>
    <row r="88" spans="1:8" ht="13" x14ac:dyDescent="0.15">
      <c r="A88" s="12">
        <v>45629</v>
      </c>
      <c r="B88" s="13" t="s">
        <v>3</v>
      </c>
      <c r="C88" s="14">
        <v>0.93879999999999997</v>
      </c>
      <c r="D88" s="16">
        <v>2631</v>
      </c>
      <c r="E88" s="17">
        <f t="shared" si="5"/>
        <v>161.01720000000023</v>
      </c>
      <c r="F88" s="18">
        <f t="shared" si="1"/>
        <v>8855.9460000000126</v>
      </c>
      <c r="G88" s="19">
        <f t="shared" si="3"/>
        <v>131.55000000000018</v>
      </c>
      <c r="H88" s="20">
        <f t="shared" si="2"/>
        <v>-29.467200000000048</v>
      </c>
    </row>
    <row r="89" spans="1:8" ht="13" x14ac:dyDescent="0.15">
      <c r="A89" s="12">
        <v>45630</v>
      </c>
      <c r="B89" s="13" t="s">
        <v>4</v>
      </c>
      <c r="C89" s="14">
        <v>0.9365</v>
      </c>
      <c r="D89" s="16">
        <v>2629</v>
      </c>
      <c r="E89" s="17">
        <f t="shared" si="5"/>
        <v>166.94149999999991</v>
      </c>
      <c r="F89" s="18">
        <f t="shared" si="1"/>
        <v>9181.7824999999939</v>
      </c>
      <c r="G89" s="19">
        <f t="shared" si="3"/>
        <v>131.45000000000027</v>
      </c>
      <c r="H89" s="20">
        <f t="shared" si="2"/>
        <v>-35.491499999999633</v>
      </c>
    </row>
    <row r="90" spans="1:8" ht="13" x14ac:dyDescent="0.15">
      <c r="A90" s="12">
        <v>45631</v>
      </c>
      <c r="B90" s="13" t="s">
        <v>5</v>
      </c>
      <c r="C90" s="14">
        <v>0.94030000000000002</v>
      </c>
      <c r="D90" s="16">
        <v>2628</v>
      </c>
      <c r="E90" s="17">
        <f t="shared" si="5"/>
        <v>156.89159999999993</v>
      </c>
      <c r="F90" s="18">
        <f t="shared" si="1"/>
        <v>8629.0379999999968</v>
      </c>
      <c r="G90" s="19">
        <f t="shared" si="3"/>
        <v>131.40000000000009</v>
      </c>
      <c r="H90" s="20">
        <f t="shared" si="2"/>
        <v>-25.491599999999835</v>
      </c>
    </row>
    <row r="91" spans="1:8" ht="13" x14ac:dyDescent="0.15">
      <c r="A91" s="12">
        <v>45632</v>
      </c>
      <c r="B91" s="13" t="s">
        <v>6</v>
      </c>
      <c r="C91" s="14">
        <v>0.92759999999999998</v>
      </c>
      <c r="D91" s="16">
        <v>2626</v>
      </c>
      <c r="E91" s="17">
        <f t="shared" si="5"/>
        <v>190.1224000000002</v>
      </c>
      <c r="F91" s="18">
        <f t="shared" si="1"/>
        <v>10456.732000000011</v>
      </c>
      <c r="G91" s="19">
        <f t="shared" si="3"/>
        <v>131.30000000000018</v>
      </c>
      <c r="H91" s="20">
        <f t="shared" si="2"/>
        <v>-58.822400000000016</v>
      </c>
    </row>
    <row r="92" spans="1:8" ht="13" x14ac:dyDescent="0.15">
      <c r="A92" s="12">
        <v>45635</v>
      </c>
      <c r="B92" s="13" t="s">
        <v>2</v>
      </c>
      <c r="C92" s="14">
        <v>0.92610000000000003</v>
      </c>
      <c r="D92" s="16">
        <v>2626</v>
      </c>
      <c r="E92" s="17">
        <f t="shared" si="5"/>
        <v>194.06140000000005</v>
      </c>
      <c r="F92" s="18">
        <f t="shared" si="1"/>
        <v>10673.377000000002</v>
      </c>
      <c r="G92" s="19">
        <f t="shared" si="3"/>
        <v>131.30000000000018</v>
      </c>
      <c r="H92" s="20">
        <f t="shared" si="2"/>
        <v>-62.761399999999867</v>
      </c>
    </row>
    <row r="93" spans="1:8" ht="13" x14ac:dyDescent="0.15">
      <c r="A93" s="12">
        <v>45636</v>
      </c>
      <c r="B93" s="13" t="s">
        <v>3</v>
      </c>
      <c r="C93" s="14">
        <v>0.93679999999999997</v>
      </c>
      <c r="D93" s="16">
        <v>2628</v>
      </c>
      <c r="E93" s="17">
        <f t="shared" si="5"/>
        <v>166.08960000000025</v>
      </c>
      <c r="F93" s="18">
        <f t="shared" si="1"/>
        <v>9134.9280000000144</v>
      </c>
      <c r="G93" s="19">
        <f t="shared" si="3"/>
        <v>131.40000000000009</v>
      </c>
      <c r="H93" s="20">
        <f t="shared" si="2"/>
        <v>-34.689600000000155</v>
      </c>
    </row>
    <row r="94" spans="1:8" ht="13" x14ac:dyDescent="0.15">
      <c r="A94" s="12">
        <v>45637</v>
      </c>
      <c r="B94" s="13" t="s">
        <v>4</v>
      </c>
      <c r="C94" s="14">
        <v>0.93159999999999998</v>
      </c>
      <c r="D94" s="16">
        <v>2631</v>
      </c>
      <c r="E94" s="17">
        <f t="shared" si="5"/>
        <v>179.96039999999994</v>
      </c>
      <c r="F94" s="18">
        <f t="shared" si="1"/>
        <v>9897.8219999999965</v>
      </c>
      <c r="G94" s="19">
        <f t="shared" si="3"/>
        <v>131.55000000000018</v>
      </c>
      <c r="H94" s="20">
        <f t="shared" si="2"/>
        <v>-48.410399999999754</v>
      </c>
    </row>
    <row r="95" spans="1:8" ht="13" x14ac:dyDescent="0.15">
      <c r="A95" s="12">
        <v>45638</v>
      </c>
      <c r="B95" s="13" t="s">
        <v>5</v>
      </c>
      <c r="C95" s="14">
        <v>0.93389999999999995</v>
      </c>
      <c r="D95" s="16">
        <v>2631</v>
      </c>
      <c r="E95" s="17">
        <f t="shared" si="5"/>
        <v>173.90910000000031</v>
      </c>
      <c r="F95" s="18">
        <f t="shared" si="1"/>
        <v>9565.0005000000165</v>
      </c>
      <c r="G95" s="19">
        <f t="shared" si="3"/>
        <v>131.55000000000018</v>
      </c>
      <c r="H95" s="20">
        <f t="shared" si="2"/>
        <v>-42.359100000000126</v>
      </c>
    </row>
    <row r="96" spans="1:8" ht="13" x14ac:dyDescent="0.15">
      <c r="A96" s="12">
        <v>45639</v>
      </c>
      <c r="B96" s="13" t="s">
        <v>6</v>
      </c>
      <c r="C96" s="14">
        <v>0.91900000000000004</v>
      </c>
      <c r="D96" s="16">
        <v>2631</v>
      </c>
      <c r="E96" s="17">
        <f t="shared" si="5"/>
        <v>213.11099999999988</v>
      </c>
      <c r="F96" s="18">
        <f t="shared" si="1"/>
        <v>11721.104999999992</v>
      </c>
      <c r="G96" s="19">
        <f t="shared" si="3"/>
        <v>131.55000000000018</v>
      </c>
      <c r="H96" s="20">
        <f t="shared" si="2"/>
        <v>-81.560999999999694</v>
      </c>
    </row>
    <row r="97" spans="1:8" ht="13" x14ac:dyDescent="0.15">
      <c r="A97" s="12">
        <v>45642</v>
      </c>
      <c r="B97" s="13" t="s">
        <v>2</v>
      </c>
      <c r="C97" s="14">
        <v>0.92169999999999996</v>
      </c>
      <c r="D97" s="16">
        <v>2632</v>
      </c>
      <c r="E97" s="17">
        <f t="shared" si="5"/>
        <v>206.08559999999989</v>
      </c>
      <c r="F97" s="18">
        <f t="shared" si="1"/>
        <v>11334.707999999993</v>
      </c>
      <c r="G97" s="19">
        <f t="shared" si="3"/>
        <v>131.59999999999991</v>
      </c>
      <c r="H97" s="20">
        <f t="shared" si="2"/>
        <v>-74.485599999999977</v>
      </c>
    </row>
    <row r="98" spans="1:8" ht="13" x14ac:dyDescent="0.15">
      <c r="A98" s="12">
        <v>45643</v>
      </c>
      <c r="B98" s="13" t="s">
        <v>3</v>
      </c>
      <c r="C98" s="14">
        <v>0.96730000000000005</v>
      </c>
      <c r="D98" s="16">
        <v>2630</v>
      </c>
      <c r="E98" s="17">
        <f t="shared" si="5"/>
        <v>86.000999999999749</v>
      </c>
      <c r="F98" s="18">
        <f t="shared" si="1"/>
        <v>4730.0549999999857</v>
      </c>
      <c r="G98" s="19">
        <f t="shared" si="3"/>
        <v>131.5</v>
      </c>
      <c r="H98" s="20">
        <f t="shared" si="2"/>
        <v>45.499000000000251</v>
      </c>
    </row>
    <row r="99" spans="1:8" ht="13" x14ac:dyDescent="0.15">
      <c r="A99" s="12">
        <v>45644</v>
      </c>
      <c r="B99" s="13" t="s">
        <v>4</v>
      </c>
      <c r="C99" s="14">
        <v>0.95860000000000001</v>
      </c>
      <c r="D99" s="16">
        <v>2630</v>
      </c>
      <c r="E99" s="17">
        <f t="shared" si="5"/>
        <v>108.88200000000006</v>
      </c>
      <c r="F99" s="18">
        <f t="shared" si="1"/>
        <v>5988.5100000000039</v>
      </c>
      <c r="G99" s="19">
        <f t="shared" si="3"/>
        <v>131.5</v>
      </c>
      <c r="H99" s="20">
        <f t="shared" si="2"/>
        <v>22.617999999999938</v>
      </c>
    </row>
    <row r="100" spans="1:8" ht="13" x14ac:dyDescent="0.15">
      <c r="A100" s="12">
        <v>45645</v>
      </c>
      <c r="B100" s="13" t="s">
        <v>5</v>
      </c>
      <c r="C100" s="14">
        <v>0.95709999999999995</v>
      </c>
      <c r="D100" s="16">
        <v>2631</v>
      </c>
      <c r="E100" s="17">
        <f t="shared" si="5"/>
        <v>112.86990000000014</v>
      </c>
      <c r="F100" s="18">
        <f t="shared" si="1"/>
        <v>6207.8445000000083</v>
      </c>
      <c r="G100" s="19">
        <f t="shared" si="3"/>
        <v>131.55000000000018</v>
      </c>
      <c r="H100" s="20">
        <f t="shared" si="2"/>
        <v>18.680100000000039</v>
      </c>
    </row>
    <row r="101" spans="1:8" ht="13" x14ac:dyDescent="0.15">
      <c r="A101" s="12">
        <v>45646</v>
      </c>
      <c r="B101" s="13" t="s">
        <v>6</v>
      </c>
      <c r="C101" s="14">
        <v>0.92969999999999997</v>
      </c>
      <c r="D101" s="16">
        <v>2631</v>
      </c>
      <c r="E101" s="17">
        <f t="shared" si="5"/>
        <v>184.95929999999998</v>
      </c>
      <c r="F101" s="18">
        <f t="shared" si="1"/>
        <v>10172.761499999999</v>
      </c>
      <c r="G101" s="19">
        <f t="shared" si="3"/>
        <v>131.55000000000018</v>
      </c>
      <c r="H101" s="20">
        <f t="shared" si="2"/>
        <v>-53.409299999999803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0.91700000000000004</v>
      </c>
      <c r="D114" s="16">
        <v>2610</v>
      </c>
      <c r="E114" s="17">
        <f t="shared" si="6"/>
        <v>216.63000000000011</v>
      </c>
      <c r="F114" s="18">
        <f t="shared" si="1"/>
        <v>11914.650000000005</v>
      </c>
      <c r="G114" s="19">
        <f t="shared" si="3"/>
        <v>130.5</v>
      </c>
      <c r="H114" s="20">
        <f t="shared" si="2"/>
        <v>-86.130000000000109</v>
      </c>
    </row>
    <row r="115" spans="1:8" ht="13" x14ac:dyDescent="0.15">
      <c r="A115" s="12">
        <v>45666</v>
      </c>
      <c r="B115" s="13" t="s">
        <v>5</v>
      </c>
      <c r="C115" s="14">
        <v>0.90080000000000005</v>
      </c>
      <c r="D115" s="16">
        <v>2610</v>
      </c>
      <c r="E115" s="17">
        <f t="shared" si="6"/>
        <v>258.91199999999981</v>
      </c>
      <c r="F115" s="18">
        <f t="shared" si="1"/>
        <v>14240.159999999989</v>
      </c>
      <c r="G115" s="19">
        <f t="shared" si="3"/>
        <v>130.5</v>
      </c>
      <c r="H115" s="20">
        <f t="shared" si="2"/>
        <v>-128.41199999999981</v>
      </c>
    </row>
    <row r="116" spans="1:8" ht="13" x14ac:dyDescent="0.15">
      <c r="A116" s="12">
        <v>45667</v>
      </c>
      <c r="B116" s="13" t="s">
        <v>6</v>
      </c>
      <c r="C116" s="14">
        <v>0.88500000000000001</v>
      </c>
      <c r="D116" s="16">
        <v>26.09</v>
      </c>
      <c r="E116" s="17">
        <f t="shared" si="6"/>
        <v>3.000350000000001</v>
      </c>
      <c r="F116" s="18">
        <f t="shared" si="1"/>
        <v>165.01925000000006</v>
      </c>
      <c r="G116" s="19">
        <f t="shared" si="3"/>
        <v>1.3045000000000009</v>
      </c>
      <c r="H116" s="20">
        <f t="shared" si="2"/>
        <v>-1.6958500000000001</v>
      </c>
    </row>
    <row r="117" spans="1:8" ht="13" x14ac:dyDescent="0.15">
      <c r="A117" s="12">
        <v>45670</v>
      </c>
      <c r="B117" s="13" t="s">
        <v>2</v>
      </c>
      <c r="C117" s="14">
        <v>0.93049999999999999</v>
      </c>
      <c r="D117" s="16">
        <v>2603</v>
      </c>
      <c r="E117" s="17">
        <f t="shared" si="6"/>
        <v>180.9085</v>
      </c>
      <c r="F117" s="18">
        <f t="shared" si="1"/>
        <v>9949.9675000000007</v>
      </c>
      <c r="G117" s="19">
        <f t="shared" si="3"/>
        <v>130.15000000000009</v>
      </c>
      <c r="H117" s="20">
        <f t="shared" si="2"/>
        <v>-50.758499999999913</v>
      </c>
    </row>
    <row r="118" spans="1:8" ht="13" x14ac:dyDescent="0.15">
      <c r="A118" s="12">
        <v>45671</v>
      </c>
      <c r="B118" s="13" t="s">
        <v>3</v>
      </c>
      <c r="C118" s="14">
        <v>0.94010000000000005</v>
      </c>
      <c r="D118" s="16">
        <v>2603</v>
      </c>
      <c r="E118" s="17">
        <f t="shared" si="6"/>
        <v>155.91969999999992</v>
      </c>
      <c r="F118" s="18">
        <f t="shared" si="1"/>
        <v>8575.5834999999952</v>
      </c>
      <c r="G118" s="19">
        <f t="shared" si="3"/>
        <v>130.15000000000009</v>
      </c>
      <c r="H118" s="20">
        <f t="shared" si="2"/>
        <v>-25.76969999999983</v>
      </c>
    </row>
    <row r="119" spans="1:8" ht="13" x14ac:dyDescent="0.15">
      <c r="A119" s="12">
        <v>45672</v>
      </c>
      <c r="B119" s="13" t="s">
        <v>4</v>
      </c>
      <c r="C119" s="14">
        <v>0.93859999999999999</v>
      </c>
      <c r="D119" s="16">
        <v>2607</v>
      </c>
      <c r="E119" s="17">
        <f t="shared" si="6"/>
        <v>160.06980000000021</v>
      </c>
      <c r="F119" s="18">
        <f t="shared" si="1"/>
        <v>8803.8390000000109</v>
      </c>
      <c r="G119" s="19">
        <f t="shared" si="3"/>
        <v>130.34999999999991</v>
      </c>
      <c r="H119" s="20">
        <f t="shared" si="2"/>
        <v>-29.719800000000305</v>
      </c>
    </row>
    <row r="120" spans="1:8" ht="13" x14ac:dyDescent="0.15">
      <c r="A120" s="12">
        <v>45673</v>
      </c>
      <c r="B120" s="13" t="s">
        <v>5</v>
      </c>
      <c r="C120" s="14">
        <v>0.93510000000000004</v>
      </c>
      <c r="D120" s="16">
        <v>2605</v>
      </c>
      <c r="E120" s="17">
        <f t="shared" si="6"/>
        <v>169.06449999999995</v>
      </c>
      <c r="F120" s="18">
        <f t="shared" si="1"/>
        <v>9298.5474999999969</v>
      </c>
      <c r="G120" s="19">
        <f t="shared" si="3"/>
        <v>130.25</v>
      </c>
      <c r="H120" s="20">
        <f t="shared" si="2"/>
        <v>-38.814499999999953</v>
      </c>
    </row>
    <row r="121" spans="1:8" ht="13" x14ac:dyDescent="0.15">
      <c r="A121" s="12">
        <v>45674</v>
      </c>
      <c r="B121" s="13" t="s">
        <v>6</v>
      </c>
      <c r="C121" s="14">
        <v>0.9163</v>
      </c>
      <c r="D121" s="16">
        <v>2603</v>
      </c>
      <c r="E121" s="17">
        <f t="shared" si="6"/>
        <v>217.87109999999984</v>
      </c>
      <c r="F121" s="18">
        <f t="shared" si="1"/>
        <v>11982.910499999991</v>
      </c>
      <c r="G121" s="19">
        <f t="shared" si="3"/>
        <v>130.15000000000009</v>
      </c>
      <c r="H121" s="20">
        <f t="shared" si="2"/>
        <v>-87.721099999999751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3" x14ac:dyDescent="0.15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3" x14ac:dyDescent="0.15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0.86509999999999998</v>
      </c>
      <c r="D125" s="16">
        <v>2601</v>
      </c>
      <c r="E125" s="17">
        <f t="shared" si="6"/>
        <v>350.87490000000025</v>
      </c>
      <c r="F125" s="18">
        <f t="shared" si="1"/>
        <v>19298.119500000015</v>
      </c>
      <c r="G125" s="19">
        <f t="shared" si="3"/>
        <v>130.05000000000018</v>
      </c>
      <c r="H125" s="20">
        <f t="shared" si="2"/>
        <v>-220.82490000000007</v>
      </c>
    </row>
    <row r="126" spans="1:8" ht="13" x14ac:dyDescent="0.15">
      <c r="A126" s="12">
        <v>45681</v>
      </c>
      <c r="B126" s="13" t="s">
        <v>6</v>
      </c>
      <c r="C126" s="14">
        <v>0.90739999999999998</v>
      </c>
      <c r="D126" s="16">
        <v>2602</v>
      </c>
      <c r="E126" s="17">
        <f t="shared" si="6"/>
        <v>240.94520000000011</v>
      </c>
      <c r="F126" s="18">
        <f t="shared" si="1"/>
        <v>13251.986000000006</v>
      </c>
      <c r="G126" s="19">
        <f t="shared" si="3"/>
        <v>130.09999999999991</v>
      </c>
      <c r="H126" s="20">
        <f t="shared" si="2"/>
        <v>-110.8452000000002</v>
      </c>
    </row>
    <row r="127" spans="1:8" ht="13" x14ac:dyDescent="0.15">
      <c r="A127" s="12">
        <v>45684</v>
      </c>
      <c r="B127" s="13" t="s">
        <v>2</v>
      </c>
      <c r="C127" s="14">
        <v>0.92269999999999996</v>
      </c>
      <c r="D127" s="16">
        <v>2601</v>
      </c>
      <c r="E127" s="17">
        <f t="shared" si="6"/>
        <v>201.05729999999994</v>
      </c>
      <c r="F127" s="18">
        <f t="shared" si="1"/>
        <v>11058.151499999996</v>
      </c>
      <c r="G127" s="19">
        <f t="shared" si="3"/>
        <v>130.05000000000018</v>
      </c>
      <c r="H127" s="20">
        <f t="shared" si="2"/>
        <v>-71.007299999999759</v>
      </c>
    </row>
    <row r="128" spans="1:8" ht="13" x14ac:dyDescent="0.15">
      <c r="A128" s="12">
        <v>45685</v>
      </c>
      <c r="B128" s="13" t="s">
        <v>3</v>
      </c>
      <c r="C128" s="14">
        <v>0.93230000000000002</v>
      </c>
      <c r="D128" s="16">
        <v>2601</v>
      </c>
      <c r="E128" s="17">
        <f t="shared" si="6"/>
        <v>176.08770000000004</v>
      </c>
      <c r="F128" s="18">
        <f t="shared" si="1"/>
        <v>9684.8235000000022</v>
      </c>
      <c r="G128" s="19">
        <f t="shared" si="3"/>
        <v>130.05000000000018</v>
      </c>
      <c r="H128" s="20">
        <f t="shared" si="2"/>
        <v>-46.037699999999859</v>
      </c>
    </row>
    <row r="129" spans="1:8" ht="13" x14ac:dyDescent="0.15">
      <c r="A129" s="12">
        <v>45686</v>
      </c>
      <c r="B129" s="13" t="s">
        <v>4</v>
      </c>
      <c r="C129" s="14">
        <v>0.9254</v>
      </c>
      <c r="D129" s="16">
        <v>2600</v>
      </c>
      <c r="E129" s="17">
        <f t="shared" si="6"/>
        <v>193.96000000000004</v>
      </c>
      <c r="F129" s="18">
        <f t="shared" si="1"/>
        <v>10667.800000000003</v>
      </c>
      <c r="G129" s="19">
        <f t="shared" si="3"/>
        <v>130</v>
      </c>
      <c r="H129" s="20">
        <f t="shared" si="2"/>
        <v>-63.960000000000036</v>
      </c>
    </row>
    <row r="130" spans="1:8" ht="13" x14ac:dyDescent="0.15">
      <c r="A130" s="12">
        <v>45687</v>
      </c>
      <c r="B130" s="13" t="s">
        <v>5</v>
      </c>
      <c r="C130" s="14">
        <v>0.92810000000000004</v>
      </c>
      <c r="D130" s="16">
        <v>8602</v>
      </c>
      <c r="E130" s="17">
        <f t="shared" si="6"/>
        <v>618.48379999999997</v>
      </c>
      <c r="F130" s="18">
        <f t="shared" si="1"/>
        <v>34016.608999999997</v>
      </c>
      <c r="G130" s="19">
        <f t="shared" si="3"/>
        <v>430.10000000000036</v>
      </c>
      <c r="H130" s="20">
        <f t="shared" si="2"/>
        <v>-188.38379999999961</v>
      </c>
    </row>
    <row r="131" spans="1:8" ht="13" x14ac:dyDescent="0.15">
      <c r="A131" s="12">
        <v>45688</v>
      </c>
      <c r="B131" s="13" t="s">
        <v>6</v>
      </c>
      <c r="C131" s="14">
        <v>0.91810000000000003</v>
      </c>
      <c r="D131" s="16">
        <v>2602</v>
      </c>
      <c r="E131" s="17">
        <f t="shared" si="6"/>
        <v>213.10379999999986</v>
      </c>
      <c r="F131" s="18">
        <f t="shared" si="1"/>
        <v>11720.708999999992</v>
      </c>
      <c r="G131" s="19">
        <f t="shared" si="3"/>
        <v>130.09999999999991</v>
      </c>
      <c r="H131" s="20">
        <f t="shared" si="2"/>
        <v>-83.003799999999956</v>
      </c>
    </row>
    <row r="132" spans="1:8" ht="13" x14ac:dyDescent="0.15">
      <c r="A132" s="12">
        <v>45691</v>
      </c>
      <c r="B132" s="13" t="s">
        <v>2</v>
      </c>
      <c r="C132" s="14">
        <v>0.7984</v>
      </c>
      <c r="D132" s="16">
        <v>2601</v>
      </c>
      <c r="E132" s="17">
        <f t="shared" si="6"/>
        <v>524.36160000000018</v>
      </c>
      <c r="F132" s="18">
        <f t="shared" si="1"/>
        <v>28839.88800000001</v>
      </c>
      <c r="G132" s="19">
        <f t="shared" si="3"/>
        <v>130.05000000000018</v>
      </c>
      <c r="H132" s="20">
        <f t="shared" si="2"/>
        <v>-394.3116</v>
      </c>
    </row>
    <row r="133" spans="1:8" ht="13" x14ac:dyDescent="0.15">
      <c r="A133" s="12">
        <v>45692</v>
      </c>
      <c r="B133" s="13" t="s">
        <v>3</v>
      </c>
      <c r="C133" s="14">
        <v>0.94189999999999996</v>
      </c>
      <c r="D133" s="16">
        <v>2597</v>
      </c>
      <c r="E133" s="17">
        <f t="shared" si="6"/>
        <v>150.88570000000027</v>
      </c>
      <c r="F133" s="18">
        <f t="shared" si="1"/>
        <v>8298.7135000000144</v>
      </c>
      <c r="G133" s="19">
        <f t="shared" si="3"/>
        <v>129.84999999999991</v>
      </c>
      <c r="H133" s="20">
        <f t="shared" si="2"/>
        <v>-21.035700000000361</v>
      </c>
    </row>
    <row r="134" spans="1:8" ht="13" x14ac:dyDescent="0.15">
      <c r="A134" s="12">
        <v>45693</v>
      </c>
      <c r="B134" s="13" t="s">
        <v>4</v>
      </c>
      <c r="C134" s="14">
        <v>0.94720000000000004</v>
      </c>
      <c r="D134" s="16">
        <v>2594</v>
      </c>
      <c r="E134" s="17">
        <f t="shared" si="6"/>
        <v>136.96319999999969</v>
      </c>
      <c r="F134" s="18">
        <f t="shared" si="1"/>
        <v>7532.9759999999824</v>
      </c>
      <c r="G134" s="19">
        <f t="shared" si="3"/>
        <v>129.70000000000027</v>
      </c>
      <c r="H134" s="20">
        <f t="shared" si="2"/>
        <v>-7.263199999999415</v>
      </c>
    </row>
    <row r="135" spans="1:8" ht="13" x14ac:dyDescent="0.15">
      <c r="A135" s="12">
        <v>45694</v>
      </c>
      <c r="B135" s="13" t="s">
        <v>5</v>
      </c>
      <c r="C135" s="14">
        <v>0.94330000000000003</v>
      </c>
      <c r="D135" s="16">
        <v>2594</v>
      </c>
      <c r="E135" s="17">
        <f t="shared" ref="E135:E180" si="7">D135-(C135*D135)</f>
        <v>147.07979999999998</v>
      </c>
      <c r="F135" s="18">
        <f t="shared" si="1"/>
        <v>8089.3889999999992</v>
      </c>
      <c r="G135" s="19">
        <f t="shared" si="3"/>
        <v>129.70000000000027</v>
      </c>
      <c r="H135" s="20">
        <f t="shared" si="2"/>
        <v>-17.379799999999705</v>
      </c>
    </row>
    <row r="136" spans="1:8" ht="13" x14ac:dyDescent="0.15">
      <c r="A136" s="12">
        <v>45695</v>
      </c>
      <c r="B136" s="13" t="s">
        <v>6</v>
      </c>
      <c r="C136" s="14">
        <v>0.9355</v>
      </c>
      <c r="D136" s="16">
        <v>2591</v>
      </c>
      <c r="E136" s="17">
        <f t="shared" si="7"/>
        <v>167.11949999999979</v>
      </c>
      <c r="F136" s="18">
        <f t="shared" si="1"/>
        <v>9191.5724999999875</v>
      </c>
      <c r="G136" s="19">
        <f t="shared" si="3"/>
        <v>129.55000000000018</v>
      </c>
      <c r="H136" s="20">
        <f t="shared" si="2"/>
        <v>-37.569499999999607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3" x14ac:dyDescent="0.15">
      <c r="A139" s="12">
        <v>45700</v>
      </c>
      <c r="B139" s="13" t="s">
        <v>4</v>
      </c>
      <c r="C139" s="14">
        <v>0.9325</v>
      </c>
      <c r="D139" s="16">
        <v>2592</v>
      </c>
      <c r="E139" s="17">
        <f t="shared" si="7"/>
        <v>174.96000000000004</v>
      </c>
      <c r="F139" s="18">
        <f t="shared" si="1"/>
        <v>9622.8000000000029</v>
      </c>
      <c r="G139" s="19">
        <f t="shared" si="3"/>
        <v>129.59999999999991</v>
      </c>
      <c r="H139" s="20">
        <f t="shared" si="2"/>
        <v>-45.360000000000127</v>
      </c>
    </row>
    <row r="140" spans="1:8" ht="13" x14ac:dyDescent="0.15">
      <c r="A140" s="12">
        <v>45701</v>
      </c>
      <c r="B140" s="13" t="s">
        <v>5</v>
      </c>
      <c r="C140" s="14">
        <v>0.94140000000000001</v>
      </c>
      <c r="D140" s="16">
        <v>2592</v>
      </c>
      <c r="E140" s="17">
        <f t="shared" si="7"/>
        <v>151.89120000000003</v>
      </c>
      <c r="F140" s="18">
        <f t="shared" si="1"/>
        <v>8354.0160000000014</v>
      </c>
      <c r="G140" s="19">
        <f t="shared" si="3"/>
        <v>129.59999999999991</v>
      </c>
      <c r="H140" s="20">
        <f t="shared" si="2"/>
        <v>-22.291200000000117</v>
      </c>
    </row>
    <row r="141" spans="1:8" ht="13" x14ac:dyDescent="0.15">
      <c r="A141" s="12">
        <v>45702</v>
      </c>
      <c r="B141" s="13" t="s">
        <v>6</v>
      </c>
      <c r="C141" s="14">
        <v>0.92749999999999999</v>
      </c>
      <c r="D141" s="16">
        <v>2592</v>
      </c>
      <c r="E141" s="17">
        <f t="shared" si="7"/>
        <v>187.92000000000007</v>
      </c>
      <c r="F141" s="18">
        <f t="shared" si="1"/>
        <v>10335.600000000004</v>
      </c>
      <c r="G141" s="19">
        <f t="shared" si="3"/>
        <v>129.59999999999991</v>
      </c>
      <c r="H141" s="20">
        <f t="shared" si="2"/>
        <v>-58.320000000000164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0.94679999999999997</v>
      </c>
      <c r="D143" s="16">
        <v>2594</v>
      </c>
      <c r="E143" s="17">
        <f t="shared" si="7"/>
        <v>138.00080000000025</v>
      </c>
      <c r="F143" s="18">
        <f t="shared" si="1"/>
        <v>7590.0440000000144</v>
      </c>
      <c r="G143" s="19">
        <f t="shared" si="3"/>
        <v>129.70000000000027</v>
      </c>
      <c r="H143" s="20">
        <f t="shared" si="2"/>
        <v>-8.3007999999999811</v>
      </c>
    </row>
    <row r="144" spans="1:8" ht="13" x14ac:dyDescent="0.15">
      <c r="A144" s="12">
        <v>45707</v>
      </c>
      <c r="B144" s="13" t="s">
        <v>4</v>
      </c>
      <c r="C144" s="14">
        <v>0.94830000000000003</v>
      </c>
      <c r="D144" s="16">
        <v>2590</v>
      </c>
      <c r="E144" s="17">
        <f t="shared" si="7"/>
        <v>133.90299999999979</v>
      </c>
      <c r="F144" s="18">
        <f t="shared" si="1"/>
        <v>7364.6649999999881</v>
      </c>
      <c r="G144" s="19">
        <f t="shared" si="3"/>
        <v>129.5</v>
      </c>
      <c r="H144" s="20">
        <f t="shared" si="2"/>
        <v>-4.4029999999997926</v>
      </c>
    </row>
    <row r="145" spans="1:8" ht="13" x14ac:dyDescent="0.15">
      <c r="A145" s="12">
        <v>45708</v>
      </c>
      <c r="B145" s="13" t="s">
        <v>5</v>
      </c>
      <c r="C145" s="14">
        <v>0.91900000000000004</v>
      </c>
      <c r="D145" s="16">
        <v>2594</v>
      </c>
      <c r="E145" s="17">
        <f t="shared" si="7"/>
        <v>210.11400000000003</v>
      </c>
      <c r="F145" s="18">
        <f t="shared" si="1"/>
        <v>11556.270000000002</v>
      </c>
      <c r="G145" s="19">
        <f t="shared" si="3"/>
        <v>129.70000000000027</v>
      </c>
      <c r="H145" s="20">
        <f t="shared" si="2"/>
        <v>-80.41399999999976</v>
      </c>
    </row>
    <row r="146" spans="1:8" ht="13" x14ac:dyDescent="0.15">
      <c r="A146" s="12">
        <v>45709</v>
      </c>
      <c r="B146" s="13" t="s">
        <v>6</v>
      </c>
      <c r="C146" s="14">
        <v>0.94679999999999997</v>
      </c>
      <c r="D146" s="16">
        <v>2593</v>
      </c>
      <c r="E146" s="17">
        <f t="shared" si="7"/>
        <v>137.94759999999997</v>
      </c>
      <c r="F146" s="18">
        <f t="shared" si="1"/>
        <v>7587.1179999999986</v>
      </c>
      <c r="G146" s="19">
        <f t="shared" si="3"/>
        <v>129.65000000000009</v>
      </c>
      <c r="H146" s="20">
        <f t="shared" si="2"/>
        <v>-8.2975999999998749</v>
      </c>
    </row>
    <row r="147" spans="1:8" ht="13" x14ac:dyDescent="0.15">
      <c r="A147" s="12">
        <v>45712</v>
      </c>
      <c r="B147" s="13" t="s">
        <v>2</v>
      </c>
      <c r="C147" s="14">
        <v>0.93269999999999997</v>
      </c>
      <c r="D147" s="16">
        <v>2599</v>
      </c>
      <c r="E147" s="17">
        <f t="shared" si="7"/>
        <v>174.91269999999986</v>
      </c>
      <c r="F147" s="18">
        <f t="shared" si="1"/>
        <v>9620.1984999999913</v>
      </c>
      <c r="G147" s="19">
        <f t="shared" si="3"/>
        <v>129.95000000000027</v>
      </c>
      <c r="H147" s="20">
        <f t="shared" si="2"/>
        <v>-44.962699999999586</v>
      </c>
    </row>
    <row r="148" spans="1:8" ht="13" x14ac:dyDescent="0.15">
      <c r="A148" s="12">
        <v>45713</v>
      </c>
      <c r="B148" s="13" t="s">
        <v>3</v>
      </c>
      <c r="C148" s="14">
        <v>0.95879999999999999</v>
      </c>
      <c r="D148" s="16">
        <v>2600</v>
      </c>
      <c r="E148" s="17">
        <f t="shared" si="7"/>
        <v>107.11999999999989</v>
      </c>
      <c r="F148" s="18">
        <f t="shared" si="1"/>
        <v>5891.599999999994</v>
      </c>
      <c r="G148" s="19">
        <f t="shared" si="3"/>
        <v>130</v>
      </c>
      <c r="H148" s="20">
        <f t="shared" si="2"/>
        <v>22.880000000000109</v>
      </c>
    </row>
    <row r="149" spans="1:8" ht="13" x14ac:dyDescent="0.15">
      <c r="A149" s="12">
        <v>45714</v>
      </c>
      <c r="B149" s="13" t="s">
        <v>4</v>
      </c>
      <c r="C149" s="14">
        <v>0.9546</v>
      </c>
      <c r="D149" s="16">
        <v>2597</v>
      </c>
      <c r="E149" s="17">
        <f t="shared" si="7"/>
        <v>117.90380000000005</v>
      </c>
      <c r="F149" s="18">
        <f t="shared" si="1"/>
        <v>6484.7090000000026</v>
      </c>
      <c r="G149" s="19">
        <f t="shared" si="3"/>
        <v>129.84999999999991</v>
      </c>
      <c r="H149" s="20">
        <f t="shared" si="2"/>
        <v>11.946199999999862</v>
      </c>
    </row>
    <row r="150" spans="1:8" ht="13" x14ac:dyDescent="0.15">
      <c r="A150" s="12">
        <v>45715</v>
      </c>
      <c r="B150" s="13" t="s">
        <v>5</v>
      </c>
      <c r="C150" s="14">
        <v>0.94650000000000001</v>
      </c>
      <c r="D150" s="16">
        <v>2597</v>
      </c>
      <c r="E150" s="17">
        <f t="shared" si="7"/>
        <v>138.93949999999995</v>
      </c>
      <c r="F150" s="18">
        <f t="shared" si="1"/>
        <v>7641.6724999999969</v>
      </c>
      <c r="G150" s="19">
        <f t="shared" si="3"/>
        <v>129.84999999999991</v>
      </c>
      <c r="H150" s="20">
        <f t="shared" si="2"/>
        <v>-9.0895000000000437</v>
      </c>
    </row>
    <row r="151" spans="1:8" ht="13" x14ac:dyDescent="0.15">
      <c r="A151" s="12">
        <v>45716</v>
      </c>
      <c r="B151" s="13" t="s">
        <v>6</v>
      </c>
      <c r="C151" s="14">
        <v>0.93530000000000002</v>
      </c>
      <c r="D151" s="16">
        <v>2597</v>
      </c>
      <c r="E151" s="17">
        <f t="shared" si="7"/>
        <v>168.02590000000009</v>
      </c>
      <c r="F151" s="18">
        <f t="shared" si="1"/>
        <v>9241.4245000000046</v>
      </c>
      <c r="G151" s="19">
        <f t="shared" si="3"/>
        <v>129.84999999999991</v>
      </c>
      <c r="H151" s="20">
        <f t="shared" si="2"/>
        <v>-38.175900000000183</v>
      </c>
    </row>
    <row r="152" spans="1:8" ht="13" x14ac:dyDescent="0.15">
      <c r="A152" s="12">
        <v>45719</v>
      </c>
      <c r="B152" s="13" t="s">
        <v>2</v>
      </c>
      <c r="C152" s="14">
        <v>0.9214</v>
      </c>
      <c r="D152" s="16">
        <v>2596</v>
      </c>
      <c r="E152" s="17">
        <f t="shared" si="7"/>
        <v>204.04559999999992</v>
      </c>
      <c r="F152" s="18">
        <f t="shared" si="1"/>
        <v>11222.507999999996</v>
      </c>
      <c r="G152" s="19">
        <f t="shared" si="3"/>
        <v>129.80000000000018</v>
      </c>
      <c r="H152" s="20">
        <f t="shared" si="2"/>
        <v>-74.24559999999974</v>
      </c>
    </row>
    <row r="153" spans="1:8" ht="13" x14ac:dyDescent="0.15">
      <c r="A153" s="12">
        <v>45720</v>
      </c>
      <c r="B153" s="13" t="s">
        <v>3</v>
      </c>
      <c r="C153" s="14">
        <v>0.93479999999999996</v>
      </c>
      <c r="D153" s="16">
        <v>2594</v>
      </c>
      <c r="E153" s="17">
        <f t="shared" si="7"/>
        <v>169.12879999999996</v>
      </c>
      <c r="F153" s="18">
        <f t="shared" si="1"/>
        <v>9302.0839999999971</v>
      </c>
      <c r="G153" s="19">
        <f t="shared" si="3"/>
        <v>129.70000000000027</v>
      </c>
      <c r="H153" s="20">
        <f t="shared" si="2"/>
        <v>-39.428799999999683</v>
      </c>
    </row>
    <row r="154" spans="1:8" ht="13" x14ac:dyDescent="0.15">
      <c r="A154" s="12">
        <v>45721</v>
      </c>
      <c r="B154" s="13" t="s">
        <v>4</v>
      </c>
      <c r="C154" s="14">
        <v>0.94640000000000002</v>
      </c>
      <c r="D154" s="16">
        <v>2592</v>
      </c>
      <c r="E154" s="17">
        <f t="shared" si="7"/>
        <v>138.93119999999999</v>
      </c>
      <c r="F154" s="18">
        <f t="shared" si="1"/>
        <v>7641.2159999999994</v>
      </c>
      <c r="G154" s="19">
        <f t="shared" si="3"/>
        <v>129.59999999999991</v>
      </c>
      <c r="H154" s="20">
        <f t="shared" si="2"/>
        <v>-9.3312000000000808</v>
      </c>
    </row>
    <row r="155" spans="1:8" ht="13" x14ac:dyDescent="0.15">
      <c r="A155" s="12">
        <v>45722</v>
      </c>
      <c r="B155" s="13" t="s">
        <v>5</v>
      </c>
      <c r="C155" s="14">
        <v>0.96760000000000002</v>
      </c>
      <c r="D155" s="16">
        <v>2589</v>
      </c>
      <c r="E155" s="17">
        <f t="shared" si="7"/>
        <v>83.883600000000115</v>
      </c>
      <c r="F155" s="18">
        <f t="shared" si="1"/>
        <v>4613.5980000000063</v>
      </c>
      <c r="G155" s="19">
        <f t="shared" si="3"/>
        <v>129.45000000000027</v>
      </c>
      <c r="H155" s="20">
        <f t="shared" si="2"/>
        <v>45.566400000000158</v>
      </c>
    </row>
    <row r="156" spans="1:8" ht="15.75" customHeight="1" x14ac:dyDescent="0.15">
      <c r="A156" s="12">
        <v>45723</v>
      </c>
      <c r="B156" s="13" t="s">
        <v>6</v>
      </c>
      <c r="C156" s="79">
        <v>0.82720000000000005</v>
      </c>
      <c r="D156" s="81">
        <v>2587</v>
      </c>
      <c r="E156" s="17">
        <f t="shared" si="7"/>
        <v>447.03359999999975</v>
      </c>
      <c r="F156" s="18">
        <f t="shared" si="1"/>
        <v>24586.847999999987</v>
      </c>
      <c r="G156" s="19">
        <f t="shared" si="3"/>
        <v>129.34999999999991</v>
      </c>
      <c r="H156" s="20">
        <f t="shared" ref="H156:H180" si="8">G156-E156</f>
        <v>-317.68359999999984</v>
      </c>
    </row>
    <row r="157" spans="1:8" ht="15.75" customHeight="1" x14ac:dyDescent="0.15">
      <c r="A157" s="34">
        <v>45726</v>
      </c>
      <c r="B157" s="35" t="s">
        <v>2</v>
      </c>
      <c r="C157" s="79">
        <v>0.90959999999999996</v>
      </c>
      <c r="D157" s="81">
        <v>2588</v>
      </c>
      <c r="E157" s="17">
        <f t="shared" si="7"/>
        <v>233.95519999999988</v>
      </c>
      <c r="F157" s="18">
        <f t="shared" ref="F157:F180" si="9">E157*$E$5</f>
        <v>12867.535999999993</v>
      </c>
      <c r="G157" s="19">
        <f t="shared" ref="G157:G180" si="10">D157-(D157*G$3)</f>
        <v>129.40000000000009</v>
      </c>
      <c r="H157" s="20">
        <f t="shared" si="8"/>
        <v>-104.55519999999979</v>
      </c>
    </row>
    <row r="158" spans="1:8" ht="15.75" customHeight="1" x14ac:dyDescent="0.15">
      <c r="A158" s="34">
        <v>45727</v>
      </c>
      <c r="B158" s="35" t="s">
        <v>3</v>
      </c>
      <c r="C158" s="79">
        <v>0.93240000000000001</v>
      </c>
      <c r="D158" s="81">
        <v>2588</v>
      </c>
      <c r="E158" s="17">
        <f t="shared" si="7"/>
        <v>174.94880000000012</v>
      </c>
      <c r="F158" s="18">
        <f t="shared" si="9"/>
        <v>9622.1840000000066</v>
      </c>
      <c r="G158" s="19">
        <f t="shared" si="10"/>
        <v>129.40000000000009</v>
      </c>
      <c r="H158" s="20">
        <f t="shared" si="8"/>
        <v>-45.548800000000028</v>
      </c>
    </row>
    <row r="159" spans="1:8" ht="15.75" customHeight="1" x14ac:dyDescent="0.15">
      <c r="A159" s="34">
        <v>45728</v>
      </c>
      <c r="B159" s="35" t="s">
        <v>4</v>
      </c>
      <c r="C159" s="79">
        <v>0.93779999999999997</v>
      </c>
      <c r="D159" s="81">
        <v>2588</v>
      </c>
      <c r="E159" s="17">
        <f t="shared" si="7"/>
        <v>160.97360000000026</v>
      </c>
      <c r="F159" s="18">
        <f t="shared" si="9"/>
        <v>8853.5480000000134</v>
      </c>
      <c r="G159" s="19">
        <f t="shared" si="10"/>
        <v>129.40000000000009</v>
      </c>
      <c r="H159" s="20">
        <f t="shared" si="8"/>
        <v>-31.57360000000017</v>
      </c>
    </row>
    <row r="160" spans="1:8" ht="15.75" customHeight="1" x14ac:dyDescent="0.15">
      <c r="A160" s="34">
        <v>45729</v>
      </c>
      <c r="B160" s="35" t="s">
        <v>5</v>
      </c>
      <c r="C160" s="79">
        <v>0.93899999999999995</v>
      </c>
      <c r="D160" s="81">
        <v>2589</v>
      </c>
      <c r="E160" s="17">
        <f t="shared" si="7"/>
        <v>157.92900000000009</v>
      </c>
      <c r="F160" s="18">
        <f t="shared" si="9"/>
        <v>8686.0950000000048</v>
      </c>
      <c r="G160" s="19">
        <f t="shared" si="10"/>
        <v>129.45000000000027</v>
      </c>
      <c r="H160" s="20">
        <f t="shared" si="8"/>
        <v>-28.478999999999814</v>
      </c>
    </row>
    <row r="161" spans="1:8" ht="15.75" customHeight="1" x14ac:dyDescent="0.15">
      <c r="A161" s="34">
        <v>45730</v>
      </c>
      <c r="B161" s="35" t="s">
        <v>6</v>
      </c>
      <c r="C161" s="79">
        <v>0.8992</v>
      </c>
      <c r="D161" s="81">
        <v>2589</v>
      </c>
      <c r="E161" s="17">
        <f t="shared" si="7"/>
        <v>260.97119999999995</v>
      </c>
      <c r="F161" s="18">
        <f t="shared" si="9"/>
        <v>14353.415999999997</v>
      </c>
      <c r="G161" s="19">
        <f t="shared" si="10"/>
        <v>129.45000000000027</v>
      </c>
      <c r="H161" s="20">
        <f t="shared" si="8"/>
        <v>-131.52119999999968</v>
      </c>
    </row>
    <row r="162" spans="1:8" ht="15.75" customHeight="1" x14ac:dyDescent="0.15">
      <c r="A162" s="21">
        <v>45733</v>
      </c>
      <c r="B162" s="22" t="s">
        <v>2</v>
      </c>
      <c r="C162" s="80"/>
      <c r="D162" s="82"/>
      <c r="E162" s="17">
        <f t="shared" si="7"/>
        <v>0</v>
      </c>
      <c r="F162" s="18">
        <f t="shared" si="9"/>
        <v>0</v>
      </c>
      <c r="G162" s="19">
        <f t="shared" si="10"/>
        <v>0</v>
      </c>
      <c r="H162" s="20">
        <f t="shared" si="8"/>
        <v>0</v>
      </c>
    </row>
    <row r="163" spans="1:8" ht="15.75" customHeight="1" x14ac:dyDescent="0.15">
      <c r="A163" s="21">
        <v>45734</v>
      </c>
      <c r="B163" s="22" t="s">
        <v>3</v>
      </c>
      <c r="C163" s="80"/>
      <c r="D163" s="82"/>
      <c r="E163" s="17">
        <f t="shared" si="7"/>
        <v>0</v>
      </c>
      <c r="F163" s="18">
        <f t="shared" si="9"/>
        <v>0</v>
      </c>
      <c r="G163" s="19">
        <f t="shared" si="10"/>
        <v>0</v>
      </c>
      <c r="H163" s="20">
        <f t="shared" si="8"/>
        <v>0</v>
      </c>
    </row>
    <row r="164" spans="1:8" ht="15.75" customHeight="1" x14ac:dyDescent="0.15">
      <c r="A164" s="21">
        <v>45735</v>
      </c>
      <c r="B164" s="22" t="s">
        <v>4</v>
      </c>
      <c r="C164" s="80"/>
      <c r="D164" s="82"/>
      <c r="E164" s="17">
        <f t="shared" si="7"/>
        <v>0</v>
      </c>
      <c r="F164" s="18">
        <f t="shared" si="9"/>
        <v>0</v>
      </c>
      <c r="G164" s="19">
        <f t="shared" si="10"/>
        <v>0</v>
      </c>
      <c r="H164" s="20">
        <f t="shared" si="8"/>
        <v>0</v>
      </c>
    </row>
    <row r="165" spans="1:8" ht="15.75" customHeight="1" x14ac:dyDescent="0.15">
      <c r="A165" s="21">
        <v>45736</v>
      </c>
      <c r="B165" s="22" t="s">
        <v>5</v>
      </c>
      <c r="C165" s="80"/>
      <c r="D165" s="82"/>
      <c r="E165" s="17">
        <f t="shared" si="7"/>
        <v>0</v>
      </c>
      <c r="F165" s="18">
        <f t="shared" si="9"/>
        <v>0</v>
      </c>
      <c r="G165" s="19">
        <f t="shared" si="10"/>
        <v>0</v>
      </c>
      <c r="H165" s="20">
        <f t="shared" si="8"/>
        <v>0</v>
      </c>
    </row>
    <row r="166" spans="1:8" ht="15.75" customHeight="1" x14ac:dyDescent="0.15">
      <c r="A166" s="21">
        <v>45737</v>
      </c>
      <c r="B166" s="22" t="s">
        <v>6</v>
      </c>
      <c r="C166" s="80"/>
      <c r="D166" s="82"/>
      <c r="E166" s="17">
        <f t="shared" si="7"/>
        <v>0</v>
      </c>
      <c r="F166" s="18">
        <f t="shared" si="9"/>
        <v>0</v>
      </c>
      <c r="G166" s="19">
        <f t="shared" si="10"/>
        <v>0</v>
      </c>
      <c r="H166" s="20">
        <f t="shared" si="8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0.92930000000000001</v>
      </c>
      <c r="D167" s="81">
        <v>2588</v>
      </c>
      <c r="E167" s="17">
        <f t="shared" si="7"/>
        <v>182.97159999999985</v>
      </c>
      <c r="F167" s="18">
        <f t="shared" si="9"/>
        <v>10063.437999999991</v>
      </c>
      <c r="G167" s="19">
        <f t="shared" si="10"/>
        <v>129.40000000000009</v>
      </c>
      <c r="H167" s="20">
        <f t="shared" si="8"/>
        <v>-53.571599999999762</v>
      </c>
    </row>
    <row r="168" spans="1:8" ht="15.75" customHeight="1" x14ac:dyDescent="0.15">
      <c r="A168" s="12">
        <v>45741</v>
      </c>
      <c r="B168" s="13" t="s">
        <v>3</v>
      </c>
      <c r="C168" s="79">
        <v>0.95009999999999994</v>
      </c>
      <c r="D168" s="81">
        <v>2587</v>
      </c>
      <c r="E168" s="17">
        <f t="shared" si="7"/>
        <v>129.09130000000005</v>
      </c>
      <c r="F168" s="18">
        <f t="shared" si="9"/>
        <v>7100.0215000000026</v>
      </c>
      <c r="G168" s="19">
        <f t="shared" si="10"/>
        <v>129.34999999999991</v>
      </c>
      <c r="H168" s="20">
        <f t="shared" si="8"/>
        <v>0.25869999999986248</v>
      </c>
    </row>
    <row r="169" spans="1:8" ht="15.75" customHeight="1" x14ac:dyDescent="0.15">
      <c r="A169" s="12">
        <v>45742</v>
      </c>
      <c r="B169" s="13" t="s">
        <v>4</v>
      </c>
      <c r="C169" s="79">
        <v>0.94279999999999997</v>
      </c>
      <c r="D169" s="81">
        <v>2586</v>
      </c>
      <c r="E169" s="17">
        <f t="shared" si="7"/>
        <v>147.91920000000027</v>
      </c>
      <c r="F169" s="18">
        <f t="shared" si="9"/>
        <v>8135.556000000015</v>
      </c>
      <c r="G169" s="19">
        <f t="shared" si="10"/>
        <v>129.30000000000018</v>
      </c>
      <c r="H169" s="20">
        <f t="shared" si="8"/>
        <v>-18.619200000000092</v>
      </c>
    </row>
    <row r="170" spans="1:8" ht="15.75" customHeight="1" x14ac:dyDescent="0.15">
      <c r="A170" s="12">
        <v>45743</v>
      </c>
      <c r="B170" s="13" t="s">
        <v>5</v>
      </c>
      <c r="C170" s="79">
        <v>0.96679999999999999</v>
      </c>
      <c r="D170" s="81">
        <v>2588</v>
      </c>
      <c r="E170" s="17">
        <f t="shared" si="7"/>
        <v>85.921600000000126</v>
      </c>
      <c r="F170" s="18">
        <f t="shared" si="9"/>
        <v>4725.6880000000074</v>
      </c>
      <c r="G170" s="19">
        <f t="shared" si="10"/>
        <v>129.40000000000009</v>
      </c>
      <c r="H170" s="20">
        <f t="shared" si="8"/>
        <v>43.478399999999965</v>
      </c>
    </row>
    <row r="171" spans="1:8" ht="15.75" customHeight="1" x14ac:dyDescent="0.15">
      <c r="A171" s="12">
        <v>45744</v>
      </c>
      <c r="B171" s="13" t="s">
        <v>6</v>
      </c>
      <c r="C171" s="79">
        <v>0.92849999999999999</v>
      </c>
      <c r="D171" s="81">
        <v>2586</v>
      </c>
      <c r="E171" s="17">
        <f t="shared" si="7"/>
        <v>184.89899999999989</v>
      </c>
      <c r="F171" s="18">
        <f t="shared" si="9"/>
        <v>10169.444999999994</v>
      </c>
      <c r="G171" s="19">
        <f t="shared" si="10"/>
        <v>129.30000000000018</v>
      </c>
      <c r="H171" s="20">
        <f t="shared" si="8"/>
        <v>-55.598999999999705</v>
      </c>
    </row>
    <row r="172" spans="1:8" ht="15.75" customHeight="1" x14ac:dyDescent="0.15">
      <c r="A172" s="12">
        <v>45747</v>
      </c>
      <c r="B172" s="13" t="s">
        <v>2</v>
      </c>
      <c r="C172" s="79">
        <v>0.92349999999999999</v>
      </c>
      <c r="D172" s="81">
        <v>2588</v>
      </c>
      <c r="E172" s="17">
        <f t="shared" si="7"/>
        <v>197.98199999999997</v>
      </c>
      <c r="F172" s="18">
        <f t="shared" si="9"/>
        <v>10889.009999999998</v>
      </c>
      <c r="G172" s="19">
        <f t="shared" si="10"/>
        <v>129.40000000000009</v>
      </c>
      <c r="H172" s="20">
        <f t="shared" si="8"/>
        <v>-68.58199999999988</v>
      </c>
    </row>
    <row r="173" spans="1:8" ht="15.75" customHeight="1" x14ac:dyDescent="0.15">
      <c r="A173" s="12">
        <v>45748</v>
      </c>
      <c r="B173" s="13" t="s">
        <v>3</v>
      </c>
      <c r="C173" s="79">
        <v>0.90669999999999995</v>
      </c>
      <c r="D173" s="81">
        <v>2583</v>
      </c>
      <c r="E173" s="17">
        <f t="shared" si="7"/>
        <v>240.99389999999994</v>
      </c>
      <c r="F173" s="18">
        <f t="shared" si="9"/>
        <v>13254.664499999997</v>
      </c>
      <c r="G173" s="19">
        <f t="shared" si="10"/>
        <v>129.15000000000009</v>
      </c>
      <c r="H173" s="20">
        <f t="shared" si="8"/>
        <v>-111.84389999999985</v>
      </c>
    </row>
    <row r="174" spans="1:8" ht="15.75" customHeight="1" x14ac:dyDescent="0.15">
      <c r="A174" s="12">
        <v>45749</v>
      </c>
      <c r="B174" s="13" t="s">
        <v>4</v>
      </c>
      <c r="C174" s="79">
        <v>0.95279999999999998</v>
      </c>
      <c r="D174" s="81">
        <v>2583</v>
      </c>
      <c r="E174" s="17">
        <f t="shared" si="7"/>
        <v>121.91760000000022</v>
      </c>
      <c r="F174" s="18">
        <f t="shared" si="9"/>
        <v>6705.4680000000117</v>
      </c>
      <c r="G174" s="19">
        <f t="shared" si="10"/>
        <v>129.15000000000009</v>
      </c>
      <c r="H174" s="20">
        <f t="shared" si="8"/>
        <v>7.2323999999998705</v>
      </c>
    </row>
    <row r="175" spans="1:8" ht="15.75" customHeight="1" x14ac:dyDescent="0.15">
      <c r="A175" s="12">
        <v>45750</v>
      </c>
      <c r="B175" s="13" t="s">
        <v>5</v>
      </c>
      <c r="C175" s="79">
        <v>0.92379999999999995</v>
      </c>
      <c r="D175" s="81">
        <v>2584</v>
      </c>
      <c r="E175" s="17">
        <f t="shared" si="7"/>
        <v>196.90080000000034</v>
      </c>
      <c r="F175" s="18">
        <f t="shared" si="9"/>
        <v>10829.54400000002</v>
      </c>
      <c r="G175" s="19">
        <f t="shared" si="10"/>
        <v>129.20000000000027</v>
      </c>
      <c r="H175" s="20">
        <f t="shared" si="8"/>
        <v>-67.700800000000072</v>
      </c>
    </row>
    <row r="176" spans="1:8" ht="15.75" customHeight="1" x14ac:dyDescent="0.15">
      <c r="A176" s="12">
        <v>45751</v>
      </c>
      <c r="B176" s="13" t="s">
        <v>6</v>
      </c>
      <c r="C176" s="79">
        <v>0.93259999999999998</v>
      </c>
      <c r="D176" s="81">
        <v>2583</v>
      </c>
      <c r="E176" s="17">
        <f t="shared" si="7"/>
        <v>174.0942</v>
      </c>
      <c r="F176" s="18">
        <f t="shared" si="9"/>
        <v>9575.1810000000005</v>
      </c>
      <c r="G176" s="19">
        <f t="shared" si="10"/>
        <v>129.15000000000009</v>
      </c>
      <c r="H176" s="20">
        <f t="shared" si="8"/>
        <v>-44.94419999999991</v>
      </c>
    </row>
    <row r="177" spans="1:8" ht="15.75" customHeight="1" x14ac:dyDescent="0.15">
      <c r="A177" s="12">
        <v>45754</v>
      </c>
      <c r="B177" s="13" t="s">
        <v>2</v>
      </c>
      <c r="C177" s="79">
        <v>0.93179999999999996</v>
      </c>
      <c r="D177" s="81">
        <v>2582</v>
      </c>
      <c r="E177" s="17">
        <f t="shared" si="7"/>
        <v>176.0924</v>
      </c>
      <c r="F177" s="18">
        <f t="shared" si="9"/>
        <v>9685.0820000000003</v>
      </c>
      <c r="G177" s="19">
        <f t="shared" si="10"/>
        <v>129.09999999999991</v>
      </c>
      <c r="H177" s="20">
        <f t="shared" si="8"/>
        <v>-46.992400000000089</v>
      </c>
    </row>
    <row r="178" spans="1:8" ht="15.75" customHeight="1" x14ac:dyDescent="0.15">
      <c r="A178" s="12">
        <v>45755</v>
      </c>
      <c r="B178" s="13" t="s">
        <v>3</v>
      </c>
      <c r="C178" s="79">
        <v>0.96089999999999998</v>
      </c>
      <c r="D178" s="81">
        <v>2582</v>
      </c>
      <c r="E178" s="17">
        <f t="shared" si="7"/>
        <v>100.95620000000008</v>
      </c>
      <c r="F178" s="18">
        <f t="shared" si="9"/>
        <v>5552.591000000004</v>
      </c>
      <c r="G178" s="19">
        <f t="shared" si="10"/>
        <v>129.09999999999991</v>
      </c>
      <c r="H178" s="20">
        <f t="shared" si="8"/>
        <v>28.143799999999828</v>
      </c>
    </row>
    <row r="179" spans="1:8" ht="15.75" customHeight="1" x14ac:dyDescent="0.15">
      <c r="A179" s="12">
        <v>45756</v>
      </c>
      <c r="B179" s="13" t="s">
        <v>4</v>
      </c>
      <c r="C179" s="79">
        <v>0.93259999999999998</v>
      </c>
      <c r="D179" s="81">
        <v>2583</v>
      </c>
      <c r="E179" s="17">
        <f t="shared" si="7"/>
        <v>174.0942</v>
      </c>
      <c r="F179" s="18">
        <f t="shared" si="9"/>
        <v>9575.1810000000005</v>
      </c>
      <c r="G179" s="19">
        <f t="shared" si="10"/>
        <v>129.15000000000009</v>
      </c>
      <c r="H179" s="20">
        <f t="shared" si="8"/>
        <v>-44.94419999999991</v>
      </c>
    </row>
    <row r="180" spans="1:8" ht="15.75" customHeight="1" x14ac:dyDescent="0.15">
      <c r="A180" s="12">
        <v>45757</v>
      </c>
      <c r="B180" s="13" t="s">
        <v>5</v>
      </c>
      <c r="C180" s="79">
        <v>0.9748</v>
      </c>
      <c r="D180" s="81">
        <v>8582</v>
      </c>
      <c r="E180" s="17">
        <f t="shared" si="7"/>
        <v>216.26640000000043</v>
      </c>
      <c r="F180" s="18">
        <f t="shared" si="9"/>
        <v>11894.652000000024</v>
      </c>
      <c r="G180" s="19">
        <f t="shared" si="10"/>
        <v>429.10000000000036</v>
      </c>
      <c r="H180" s="20">
        <f t="shared" si="8"/>
        <v>212.83359999999993</v>
      </c>
    </row>
  </sheetData>
  <autoFilter ref="A6:F155" xr:uid="{00000000-0009-0000-0000-00000C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5">
    <cfRule type="cellIs" dxfId="47" priority="7" operator="lessThan">
      <formula>"92%"</formula>
    </cfRule>
  </conditionalFormatting>
  <conditionalFormatting sqref="C7:C155">
    <cfRule type="cellIs" dxfId="46" priority="4" operator="lessThan">
      <formula>"90%"</formula>
    </cfRule>
    <cfRule type="cellIs" dxfId="45" priority="5" operator="lessThan">
      <formula>"94%"</formula>
    </cfRule>
  </conditionalFormatting>
  <conditionalFormatting sqref="H1:H180">
    <cfRule type="cellIs" dxfId="44" priority="6" operator="lessThan">
      <formula>0</formula>
    </cfRule>
  </conditionalFormatting>
  <conditionalFormatting sqref="C156:C180">
    <cfRule type="cellIs" dxfId="5" priority="3" operator="lessThan">
      <formula>"92%"</formula>
    </cfRule>
  </conditionalFormatting>
  <conditionalFormatting sqref="C156:C180">
    <cfRule type="cellIs" dxfId="4" priority="1" operator="lessThan">
      <formula>"90%"</formula>
    </cfRule>
    <cfRule type="cellIs" dxfId="3" priority="2" operator="lessThan">
      <formula>"94%"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73763"/>
    <outlinePr summaryBelow="0" summaryRight="0"/>
  </sheetPr>
  <dimension ref="A1:H180"/>
  <sheetViews>
    <sheetView tabSelected="1" zoomScale="113" workbookViewId="0">
      <pane ySplit="6" topLeftCell="A101" activePane="bottomLeft" state="frozen"/>
      <selection pane="bottomLeft" activeCell="H151" sqref="H151"/>
    </sheetView>
  </sheetViews>
  <sheetFormatPr baseColWidth="10" defaultColWidth="12.5" defaultRowHeight="15.75" customHeight="1" x14ac:dyDescent="0.15"/>
  <cols>
    <col min="1" max="1" width="13" customWidth="1"/>
    <col min="2" max="2" width="17.5" customWidth="1"/>
    <col min="3" max="3" width="21.83203125" customWidth="1"/>
    <col min="4" max="4" width="12.5" customWidth="1"/>
    <col min="5" max="7" width="16.33203125" customWidth="1"/>
    <col min="8" max="8" width="17.5" customWidth="1"/>
  </cols>
  <sheetData>
    <row r="1" spans="1:8" ht="27" thickBot="1" x14ac:dyDescent="0.3">
      <c r="A1" s="1"/>
      <c r="B1" s="1"/>
      <c r="C1" s="1"/>
      <c r="D1" s="1"/>
      <c r="E1" s="2"/>
      <c r="F1" s="2"/>
      <c r="G1" s="3"/>
      <c r="H1" s="4">
        <f>SUM(H7:H157)</f>
        <v>634.32100000000219</v>
      </c>
    </row>
    <row r="2" spans="1:8" ht="17" thickTop="1" x14ac:dyDescent="0.2">
      <c r="A2" s="63" t="s">
        <v>1</v>
      </c>
      <c r="B2" s="64"/>
      <c r="C2" s="64"/>
      <c r="D2" s="64"/>
      <c r="E2" s="65" t="s">
        <v>0</v>
      </c>
      <c r="F2" s="66"/>
      <c r="G2" s="5" t="s">
        <v>8</v>
      </c>
      <c r="H2" s="67" t="s">
        <v>37</v>
      </c>
    </row>
    <row r="3" spans="1:8" ht="24" x14ac:dyDescent="0.25">
      <c r="A3" s="64"/>
      <c r="B3" s="64"/>
      <c r="C3" s="64"/>
      <c r="D3" s="64"/>
      <c r="E3" s="68">
        <f>SUM(F7:F128)</f>
        <v>85247.4755</v>
      </c>
      <c r="F3" s="66"/>
      <c r="G3" s="69">
        <v>0.95</v>
      </c>
      <c r="H3" s="66"/>
    </row>
    <row r="4" spans="1:8" ht="14" x14ac:dyDescent="0.2">
      <c r="A4" s="64"/>
      <c r="B4" s="64"/>
      <c r="C4" s="64"/>
      <c r="D4" s="64"/>
      <c r="E4" s="71" t="s">
        <v>10</v>
      </c>
      <c r="F4" s="64"/>
      <c r="G4" s="70"/>
      <c r="H4" s="66"/>
    </row>
    <row r="5" spans="1:8" ht="16" thickBot="1" x14ac:dyDescent="0.3">
      <c r="A5" s="64"/>
      <c r="B5" s="64"/>
      <c r="C5" s="64"/>
      <c r="D5" s="64"/>
      <c r="E5" s="72">
        <v>55</v>
      </c>
      <c r="F5" s="64"/>
      <c r="G5" s="70"/>
      <c r="H5" s="66"/>
    </row>
    <row r="6" spans="1:8" ht="28" thickTop="1" thickBot="1" x14ac:dyDescent="0.2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6"/>
    </row>
    <row r="7" spans="1:8" ht="14" thickTop="1" x14ac:dyDescent="0.15">
      <c r="A7" s="12">
        <v>45516</v>
      </c>
      <c r="B7" s="13" t="s">
        <v>2</v>
      </c>
      <c r="C7" s="14">
        <v>1</v>
      </c>
      <c r="D7" s="16">
        <v>438</v>
      </c>
      <c r="E7" s="17">
        <f t="shared" ref="E7:E38" si="0">D7-(C7*D7)</f>
        <v>0</v>
      </c>
      <c r="F7" s="18">
        <f t="shared" ref="F7:F158" si="1">E7*$E$5</f>
        <v>0</v>
      </c>
      <c r="G7" s="19">
        <v>0</v>
      </c>
      <c r="H7" s="20">
        <f t="shared" ref="H7:H158" si="2">G7-E7</f>
        <v>0</v>
      </c>
    </row>
    <row r="8" spans="1:8" ht="13" x14ac:dyDescent="0.15">
      <c r="A8" s="12">
        <v>45517</v>
      </c>
      <c r="B8" s="13" t="s">
        <v>3</v>
      </c>
      <c r="C8" s="14">
        <v>0.99109999999999998</v>
      </c>
      <c r="D8" s="16">
        <v>449</v>
      </c>
      <c r="E8" s="17">
        <f t="shared" si="0"/>
        <v>3.9961000000000126</v>
      </c>
      <c r="F8" s="18">
        <f t="shared" si="1"/>
        <v>219.7855000000007</v>
      </c>
      <c r="G8" s="19">
        <f t="shared" ref="G8:G158" si="3">D8-(D8*G$3)</f>
        <v>22.450000000000045</v>
      </c>
      <c r="H8" s="20">
        <f t="shared" si="2"/>
        <v>18.453900000000033</v>
      </c>
    </row>
    <row r="9" spans="1:8" ht="13" x14ac:dyDescent="0.15">
      <c r="A9" s="12">
        <v>45518</v>
      </c>
      <c r="B9" s="13" t="s">
        <v>4</v>
      </c>
      <c r="C9" s="14">
        <v>0.97340000000000004</v>
      </c>
      <c r="D9" s="16">
        <v>451</v>
      </c>
      <c r="E9" s="17">
        <f t="shared" si="0"/>
        <v>11.996600000000001</v>
      </c>
      <c r="F9" s="18">
        <f t="shared" si="1"/>
        <v>659.8130000000001</v>
      </c>
      <c r="G9" s="19">
        <f t="shared" si="3"/>
        <v>22.550000000000011</v>
      </c>
      <c r="H9" s="20">
        <f t="shared" si="2"/>
        <v>10.553400000000011</v>
      </c>
    </row>
    <row r="10" spans="1:8" ht="13" x14ac:dyDescent="0.15">
      <c r="A10" s="12">
        <v>45519</v>
      </c>
      <c r="B10" s="13" t="s">
        <v>5</v>
      </c>
      <c r="C10" s="14">
        <v>0.98670000000000002</v>
      </c>
      <c r="D10" s="16">
        <v>452</v>
      </c>
      <c r="E10" s="17">
        <f t="shared" si="0"/>
        <v>6.0115999999999872</v>
      </c>
      <c r="F10" s="18">
        <f t="shared" si="1"/>
        <v>330.63799999999929</v>
      </c>
      <c r="G10" s="19">
        <f t="shared" si="3"/>
        <v>22.600000000000023</v>
      </c>
      <c r="H10" s="20">
        <f t="shared" si="2"/>
        <v>16.588400000000036</v>
      </c>
    </row>
    <row r="11" spans="1:8" ht="13" x14ac:dyDescent="0.15">
      <c r="A11" s="12">
        <v>45520</v>
      </c>
      <c r="B11" s="13" t="s">
        <v>6</v>
      </c>
      <c r="C11" s="14">
        <v>0.95799999999999996</v>
      </c>
      <c r="D11" s="16">
        <v>452</v>
      </c>
      <c r="E11" s="17">
        <f t="shared" si="0"/>
        <v>18.984000000000037</v>
      </c>
      <c r="F11" s="18">
        <f t="shared" si="1"/>
        <v>1044.1200000000022</v>
      </c>
      <c r="G11" s="19">
        <f t="shared" si="3"/>
        <v>22.600000000000023</v>
      </c>
      <c r="H11" s="20">
        <f t="shared" si="2"/>
        <v>3.6159999999999854</v>
      </c>
    </row>
    <row r="12" spans="1:8" ht="13" x14ac:dyDescent="0.15">
      <c r="A12" s="12">
        <v>45521</v>
      </c>
      <c r="B12" s="13" t="s">
        <v>2</v>
      </c>
      <c r="C12" s="14">
        <v>0.96479999999999999</v>
      </c>
      <c r="D12" s="16">
        <v>454</v>
      </c>
      <c r="E12" s="17">
        <f t="shared" si="0"/>
        <v>15.980799999999988</v>
      </c>
      <c r="F12" s="18">
        <f t="shared" si="1"/>
        <v>878.94399999999928</v>
      </c>
      <c r="G12" s="19">
        <f t="shared" si="3"/>
        <v>22.700000000000045</v>
      </c>
      <c r="H12" s="20">
        <f t="shared" si="2"/>
        <v>6.7192000000000576</v>
      </c>
    </row>
    <row r="13" spans="1:8" ht="13" x14ac:dyDescent="0.15">
      <c r="A13" s="12">
        <v>45524</v>
      </c>
      <c r="B13" s="13" t="s">
        <v>3</v>
      </c>
      <c r="C13" s="14">
        <v>0.96479999999999999</v>
      </c>
      <c r="D13" s="16">
        <v>454</v>
      </c>
      <c r="E13" s="17">
        <f t="shared" si="0"/>
        <v>15.980799999999988</v>
      </c>
      <c r="F13" s="18">
        <f t="shared" si="1"/>
        <v>878.94399999999928</v>
      </c>
      <c r="G13" s="19">
        <f t="shared" si="3"/>
        <v>22.700000000000045</v>
      </c>
      <c r="H13" s="20">
        <f t="shared" si="2"/>
        <v>6.7192000000000576</v>
      </c>
    </row>
    <row r="14" spans="1:8" ht="13" x14ac:dyDescent="0.15">
      <c r="A14" s="12">
        <v>45525</v>
      </c>
      <c r="B14" s="13" t="s">
        <v>4</v>
      </c>
      <c r="C14" s="14">
        <v>0.9758</v>
      </c>
      <c r="D14" s="16">
        <v>455</v>
      </c>
      <c r="E14" s="17">
        <f t="shared" si="0"/>
        <v>11.011000000000024</v>
      </c>
      <c r="F14" s="18">
        <f t="shared" si="1"/>
        <v>605.60500000000138</v>
      </c>
      <c r="G14" s="19">
        <f t="shared" si="3"/>
        <v>22.75</v>
      </c>
      <c r="H14" s="20">
        <f t="shared" si="2"/>
        <v>11.738999999999976</v>
      </c>
    </row>
    <row r="15" spans="1:8" ht="13" x14ac:dyDescent="0.15">
      <c r="A15" s="12">
        <v>45526</v>
      </c>
      <c r="B15" s="13" t="s">
        <v>5</v>
      </c>
      <c r="C15" s="14">
        <v>0.97809999999999997</v>
      </c>
      <c r="D15" s="16">
        <v>456</v>
      </c>
      <c r="E15" s="17">
        <f t="shared" si="0"/>
        <v>9.9864000000000033</v>
      </c>
      <c r="F15" s="18">
        <f t="shared" si="1"/>
        <v>549.25200000000018</v>
      </c>
      <c r="G15" s="19">
        <f t="shared" si="3"/>
        <v>22.800000000000011</v>
      </c>
      <c r="H15" s="20">
        <f t="shared" si="2"/>
        <v>12.813600000000008</v>
      </c>
    </row>
    <row r="16" spans="1:8" ht="13" x14ac:dyDescent="0.15">
      <c r="A16" s="12">
        <v>45527</v>
      </c>
      <c r="B16" s="13" t="s">
        <v>6</v>
      </c>
      <c r="C16" s="14">
        <v>0.96060000000000001</v>
      </c>
      <c r="D16" s="16">
        <v>457</v>
      </c>
      <c r="E16" s="17">
        <f t="shared" si="0"/>
        <v>18.005800000000022</v>
      </c>
      <c r="F16" s="18">
        <f t="shared" si="1"/>
        <v>990.31900000000121</v>
      </c>
      <c r="G16" s="19">
        <f t="shared" si="3"/>
        <v>22.850000000000023</v>
      </c>
      <c r="H16" s="20">
        <f t="shared" si="2"/>
        <v>4.8442000000000007</v>
      </c>
    </row>
    <row r="17" spans="1:8" ht="13" x14ac:dyDescent="0.15">
      <c r="A17" s="12">
        <v>45530</v>
      </c>
      <c r="B17" s="13" t="s">
        <v>2</v>
      </c>
      <c r="C17" s="14">
        <v>0.96940000000000004</v>
      </c>
      <c r="D17" s="16">
        <v>457</v>
      </c>
      <c r="E17" s="17">
        <f t="shared" si="0"/>
        <v>13.984199999999987</v>
      </c>
      <c r="F17" s="18">
        <f t="shared" si="1"/>
        <v>769.13099999999929</v>
      </c>
      <c r="G17" s="19">
        <f t="shared" si="3"/>
        <v>22.850000000000023</v>
      </c>
      <c r="H17" s="20">
        <f t="shared" si="2"/>
        <v>8.8658000000000357</v>
      </c>
    </row>
    <row r="18" spans="1:8" ht="13" x14ac:dyDescent="0.15">
      <c r="A18" s="12">
        <v>45531</v>
      </c>
      <c r="B18" s="13" t="s">
        <v>3</v>
      </c>
      <c r="C18" s="14">
        <v>0.95609999999999995</v>
      </c>
      <c r="D18" s="16">
        <v>457</v>
      </c>
      <c r="E18" s="17">
        <f t="shared" si="0"/>
        <v>20.06230000000005</v>
      </c>
      <c r="F18" s="18">
        <f t="shared" si="1"/>
        <v>1103.4265000000028</v>
      </c>
      <c r="G18" s="19">
        <f t="shared" si="3"/>
        <v>22.850000000000023</v>
      </c>
      <c r="H18" s="20">
        <f t="shared" si="2"/>
        <v>2.7876999999999725</v>
      </c>
    </row>
    <row r="19" spans="1:8" ht="13" x14ac:dyDescent="0.15">
      <c r="A19" s="12">
        <v>45532</v>
      </c>
      <c r="B19" s="13" t="s">
        <v>4</v>
      </c>
      <c r="C19" s="14">
        <v>0.97150000000000003</v>
      </c>
      <c r="D19" s="16">
        <v>456</v>
      </c>
      <c r="E19" s="17">
        <f t="shared" si="0"/>
        <v>12.995999999999981</v>
      </c>
      <c r="F19" s="18">
        <f t="shared" si="1"/>
        <v>714.77999999999895</v>
      </c>
      <c r="G19" s="19">
        <f t="shared" si="3"/>
        <v>22.800000000000011</v>
      </c>
      <c r="H19" s="20">
        <f t="shared" si="2"/>
        <v>9.8040000000000305</v>
      </c>
    </row>
    <row r="20" spans="1:8" ht="13" x14ac:dyDescent="0.15">
      <c r="A20" s="12">
        <v>45533</v>
      </c>
      <c r="B20" s="13" t="s">
        <v>5</v>
      </c>
      <c r="C20" s="14">
        <v>0.98460000000000003</v>
      </c>
      <c r="D20" s="16">
        <v>456</v>
      </c>
      <c r="E20" s="17">
        <f t="shared" si="0"/>
        <v>7.0224000000000046</v>
      </c>
      <c r="F20" s="18">
        <f t="shared" si="1"/>
        <v>386.23200000000026</v>
      </c>
      <c r="G20" s="19">
        <f t="shared" si="3"/>
        <v>22.800000000000011</v>
      </c>
      <c r="H20" s="20">
        <f t="shared" si="2"/>
        <v>15.777600000000007</v>
      </c>
    </row>
    <row r="21" spans="1:8" ht="13" x14ac:dyDescent="0.15">
      <c r="A21" s="12">
        <v>45534</v>
      </c>
      <c r="B21" s="13" t="s">
        <v>6</v>
      </c>
      <c r="C21" s="14">
        <v>0.96489999999999998</v>
      </c>
      <c r="D21" s="16">
        <v>456</v>
      </c>
      <c r="E21" s="17">
        <f t="shared" si="0"/>
        <v>16.005600000000015</v>
      </c>
      <c r="F21" s="18">
        <f t="shared" si="1"/>
        <v>880.3080000000009</v>
      </c>
      <c r="G21" s="19">
        <f t="shared" si="3"/>
        <v>22.800000000000011</v>
      </c>
      <c r="H21" s="20">
        <f t="shared" si="2"/>
        <v>6.794399999999996</v>
      </c>
    </row>
    <row r="22" spans="1:8" ht="13" x14ac:dyDescent="0.15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3" x14ac:dyDescent="0.15">
      <c r="A23" s="12">
        <v>45538</v>
      </c>
      <c r="B23" s="13" t="s">
        <v>3</v>
      </c>
      <c r="C23" s="14">
        <v>0.96489999999999998</v>
      </c>
      <c r="D23" s="16">
        <v>456</v>
      </c>
      <c r="E23" s="17">
        <f t="shared" si="0"/>
        <v>16.005600000000015</v>
      </c>
      <c r="F23" s="18">
        <f t="shared" si="1"/>
        <v>880.3080000000009</v>
      </c>
      <c r="G23" s="19">
        <f t="shared" si="3"/>
        <v>22.800000000000011</v>
      </c>
      <c r="H23" s="20">
        <f t="shared" si="2"/>
        <v>6.794399999999996</v>
      </c>
    </row>
    <row r="24" spans="1:8" ht="13" x14ac:dyDescent="0.15">
      <c r="A24" s="12">
        <v>45539</v>
      </c>
      <c r="B24" s="13" t="s">
        <v>4</v>
      </c>
      <c r="C24" s="14">
        <v>0.96489999999999998</v>
      </c>
      <c r="D24" s="16">
        <v>456</v>
      </c>
      <c r="E24" s="17">
        <f t="shared" si="0"/>
        <v>16.005600000000015</v>
      </c>
      <c r="F24" s="18">
        <f t="shared" si="1"/>
        <v>880.3080000000009</v>
      </c>
      <c r="G24" s="19">
        <f t="shared" si="3"/>
        <v>22.800000000000011</v>
      </c>
      <c r="H24" s="20">
        <f t="shared" si="2"/>
        <v>6.794399999999996</v>
      </c>
    </row>
    <row r="25" spans="1:8" ht="13" x14ac:dyDescent="0.15">
      <c r="A25" s="12">
        <v>45540</v>
      </c>
      <c r="B25" s="13" t="s">
        <v>5</v>
      </c>
      <c r="C25" s="14">
        <v>0.98460000000000003</v>
      </c>
      <c r="D25" s="16">
        <v>455</v>
      </c>
      <c r="E25" s="17">
        <f t="shared" si="0"/>
        <v>7.007000000000005</v>
      </c>
      <c r="F25" s="18">
        <f t="shared" si="1"/>
        <v>385.38500000000028</v>
      </c>
      <c r="G25" s="19">
        <f t="shared" si="3"/>
        <v>22.75</v>
      </c>
      <c r="H25" s="20">
        <f t="shared" si="2"/>
        <v>15.742999999999995</v>
      </c>
    </row>
    <row r="26" spans="1:8" ht="13" x14ac:dyDescent="0.15">
      <c r="A26" s="12">
        <v>45541</v>
      </c>
      <c r="B26" s="13" t="s">
        <v>6</v>
      </c>
      <c r="C26" s="14">
        <v>0.96040000000000003</v>
      </c>
      <c r="D26" s="16">
        <v>455</v>
      </c>
      <c r="E26" s="17">
        <f t="shared" si="0"/>
        <v>18.017999999999972</v>
      </c>
      <c r="F26" s="18">
        <f t="shared" si="1"/>
        <v>990.98999999999842</v>
      </c>
      <c r="G26" s="19">
        <f t="shared" si="3"/>
        <v>22.75</v>
      </c>
      <c r="H26" s="20">
        <f t="shared" si="2"/>
        <v>4.7320000000000277</v>
      </c>
    </row>
    <row r="27" spans="1:8" ht="13" x14ac:dyDescent="0.15">
      <c r="A27" s="12">
        <v>45544</v>
      </c>
      <c r="B27" s="13" t="s">
        <v>2</v>
      </c>
      <c r="C27" s="14">
        <v>0.97140000000000004</v>
      </c>
      <c r="D27" s="16">
        <v>455</v>
      </c>
      <c r="E27" s="17">
        <f t="shared" si="0"/>
        <v>13.012999999999977</v>
      </c>
      <c r="F27" s="18">
        <f t="shared" si="1"/>
        <v>715.71499999999878</v>
      </c>
      <c r="G27" s="19">
        <f t="shared" si="3"/>
        <v>22.75</v>
      </c>
      <c r="H27" s="20">
        <f t="shared" si="2"/>
        <v>9.7370000000000232</v>
      </c>
    </row>
    <row r="28" spans="1:8" ht="13" x14ac:dyDescent="0.15">
      <c r="A28" s="12">
        <v>45545</v>
      </c>
      <c r="B28" s="13" t="s">
        <v>3</v>
      </c>
      <c r="C28" s="14">
        <v>0.9758</v>
      </c>
      <c r="D28" s="16">
        <v>455</v>
      </c>
      <c r="E28" s="17">
        <f t="shared" si="0"/>
        <v>11.011000000000024</v>
      </c>
      <c r="F28" s="18">
        <f t="shared" si="1"/>
        <v>605.60500000000138</v>
      </c>
      <c r="G28" s="19">
        <f t="shared" si="3"/>
        <v>22.75</v>
      </c>
      <c r="H28" s="20">
        <f t="shared" si="2"/>
        <v>11.738999999999976</v>
      </c>
    </row>
    <row r="29" spans="1:8" ht="13" x14ac:dyDescent="0.15">
      <c r="A29" s="12">
        <v>45546</v>
      </c>
      <c r="B29" s="13" t="s">
        <v>4</v>
      </c>
      <c r="C29" s="14">
        <v>0.97799999999999998</v>
      </c>
      <c r="D29" s="16">
        <v>455</v>
      </c>
      <c r="E29" s="17">
        <f t="shared" si="0"/>
        <v>10.009999999999991</v>
      </c>
      <c r="F29" s="18">
        <f t="shared" si="1"/>
        <v>550.5499999999995</v>
      </c>
      <c r="G29" s="19">
        <f t="shared" si="3"/>
        <v>22.75</v>
      </c>
      <c r="H29" s="20">
        <f t="shared" si="2"/>
        <v>12.740000000000009</v>
      </c>
    </row>
    <row r="30" spans="1:8" ht="13" x14ac:dyDescent="0.15">
      <c r="A30" s="12">
        <v>45547</v>
      </c>
      <c r="B30" s="13" t="s">
        <v>5</v>
      </c>
      <c r="C30" s="14">
        <v>0.97360000000000002</v>
      </c>
      <c r="D30" s="16">
        <v>455</v>
      </c>
      <c r="E30" s="17">
        <f t="shared" si="0"/>
        <v>12.012</v>
      </c>
      <c r="F30" s="18">
        <f t="shared" si="1"/>
        <v>660.66000000000008</v>
      </c>
      <c r="G30" s="19">
        <f t="shared" si="3"/>
        <v>22.75</v>
      </c>
      <c r="H30" s="20">
        <f t="shared" si="2"/>
        <v>10.738</v>
      </c>
    </row>
    <row r="31" spans="1:8" ht="13" x14ac:dyDescent="0.15">
      <c r="A31" s="12">
        <v>45548</v>
      </c>
      <c r="B31" s="13" t="s">
        <v>6</v>
      </c>
      <c r="C31" s="14">
        <v>0.96260000000000001</v>
      </c>
      <c r="D31" s="16">
        <v>455</v>
      </c>
      <c r="E31" s="17">
        <f t="shared" si="0"/>
        <v>17.016999999999996</v>
      </c>
      <c r="F31" s="18">
        <f t="shared" si="1"/>
        <v>935.93499999999972</v>
      </c>
      <c r="G31" s="19">
        <f t="shared" si="3"/>
        <v>22.75</v>
      </c>
      <c r="H31" s="20">
        <f t="shared" si="2"/>
        <v>5.7330000000000041</v>
      </c>
    </row>
    <row r="32" spans="1:8" ht="13" x14ac:dyDescent="0.15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3" x14ac:dyDescent="0.15">
      <c r="A33" s="12">
        <v>45552</v>
      </c>
      <c r="B33" s="13" t="s">
        <v>3</v>
      </c>
      <c r="C33" s="14">
        <v>0.98019999999999996</v>
      </c>
      <c r="D33" s="16">
        <v>455</v>
      </c>
      <c r="E33" s="17">
        <f t="shared" si="0"/>
        <v>9.0090000000000146</v>
      </c>
      <c r="F33" s="18">
        <f t="shared" si="1"/>
        <v>495.4950000000008</v>
      </c>
      <c r="G33" s="19">
        <f t="shared" si="3"/>
        <v>22.75</v>
      </c>
      <c r="H33" s="20">
        <f t="shared" si="2"/>
        <v>13.740999999999985</v>
      </c>
    </row>
    <row r="34" spans="1:8" ht="13" x14ac:dyDescent="0.15">
      <c r="A34" s="12">
        <v>45553</v>
      </c>
      <c r="B34" s="13" t="s">
        <v>4</v>
      </c>
      <c r="C34" s="14">
        <v>0.97140000000000004</v>
      </c>
      <c r="D34" s="16">
        <v>455</v>
      </c>
      <c r="E34" s="17">
        <f t="shared" si="0"/>
        <v>13.012999999999977</v>
      </c>
      <c r="F34" s="18">
        <f t="shared" si="1"/>
        <v>715.71499999999878</v>
      </c>
      <c r="G34" s="19">
        <f t="shared" si="3"/>
        <v>22.75</v>
      </c>
      <c r="H34" s="20">
        <f t="shared" si="2"/>
        <v>9.7370000000000232</v>
      </c>
    </row>
    <row r="35" spans="1:8" ht="13" x14ac:dyDescent="0.15">
      <c r="A35" s="12">
        <v>45554</v>
      </c>
      <c r="B35" s="13" t="s">
        <v>5</v>
      </c>
      <c r="C35" s="14">
        <v>0.96919999999999995</v>
      </c>
      <c r="D35" s="16">
        <v>455</v>
      </c>
      <c r="E35" s="17">
        <f t="shared" si="0"/>
        <v>14.01400000000001</v>
      </c>
      <c r="F35" s="18">
        <f t="shared" si="1"/>
        <v>770.77000000000055</v>
      </c>
      <c r="G35" s="19">
        <f t="shared" si="3"/>
        <v>22.75</v>
      </c>
      <c r="H35" s="20">
        <f t="shared" si="2"/>
        <v>8.73599999999999</v>
      </c>
    </row>
    <row r="36" spans="1:8" ht="13" x14ac:dyDescent="0.15">
      <c r="A36" s="12">
        <v>45555</v>
      </c>
      <c r="B36" s="13" t="s">
        <v>6</v>
      </c>
      <c r="C36" s="14">
        <v>0.9607</v>
      </c>
      <c r="D36" s="16">
        <v>455</v>
      </c>
      <c r="E36" s="17">
        <f t="shared" si="0"/>
        <v>17.881500000000017</v>
      </c>
      <c r="F36" s="18">
        <f t="shared" si="1"/>
        <v>983.48250000000098</v>
      </c>
      <c r="G36" s="19">
        <f t="shared" si="3"/>
        <v>22.75</v>
      </c>
      <c r="H36" s="20">
        <f t="shared" si="2"/>
        <v>4.8684999999999832</v>
      </c>
    </row>
    <row r="37" spans="1:8" ht="13" x14ac:dyDescent="0.15">
      <c r="A37" s="12">
        <v>45558</v>
      </c>
      <c r="B37" s="13" t="s">
        <v>2</v>
      </c>
      <c r="C37" s="14">
        <v>0.96499999999999997</v>
      </c>
      <c r="D37" s="16">
        <v>455</v>
      </c>
      <c r="E37" s="17">
        <f t="shared" si="0"/>
        <v>15.925000000000011</v>
      </c>
      <c r="F37" s="18">
        <f t="shared" si="1"/>
        <v>875.87500000000068</v>
      </c>
      <c r="G37" s="19">
        <f t="shared" si="3"/>
        <v>22.75</v>
      </c>
      <c r="H37" s="20">
        <f t="shared" si="2"/>
        <v>6.8249999999999886</v>
      </c>
    </row>
    <row r="38" spans="1:8" ht="13" x14ac:dyDescent="0.15">
      <c r="A38" s="12">
        <v>45559</v>
      </c>
      <c r="B38" s="13" t="s">
        <v>3</v>
      </c>
      <c r="C38" s="14">
        <v>0.9516</v>
      </c>
      <c r="D38" s="16">
        <v>455</v>
      </c>
      <c r="E38" s="17">
        <f t="shared" si="0"/>
        <v>22.021999999999991</v>
      </c>
      <c r="F38" s="18">
        <f t="shared" si="1"/>
        <v>1211.2099999999996</v>
      </c>
      <c r="G38" s="19">
        <f t="shared" si="3"/>
        <v>22.75</v>
      </c>
      <c r="H38" s="20">
        <f t="shared" si="2"/>
        <v>0.72800000000000864</v>
      </c>
    </row>
    <row r="39" spans="1:8" ht="13" x14ac:dyDescent="0.15">
      <c r="A39" s="12">
        <v>45560</v>
      </c>
      <c r="B39" s="13" t="s">
        <v>4</v>
      </c>
      <c r="C39" s="14">
        <v>0.9758</v>
      </c>
      <c r="D39" s="16">
        <v>455</v>
      </c>
      <c r="E39" s="17">
        <f t="shared" ref="E39:E70" si="4">D39-(C39*D39)</f>
        <v>11.011000000000024</v>
      </c>
      <c r="F39" s="18">
        <f t="shared" si="1"/>
        <v>605.60500000000138</v>
      </c>
      <c r="G39" s="19">
        <f t="shared" si="3"/>
        <v>22.75</v>
      </c>
      <c r="H39" s="20">
        <f t="shared" si="2"/>
        <v>11.738999999999976</v>
      </c>
    </row>
    <row r="40" spans="1:8" ht="13" x14ac:dyDescent="0.15">
      <c r="A40" s="12">
        <v>45561</v>
      </c>
      <c r="B40" s="13" t="s">
        <v>5</v>
      </c>
      <c r="C40" s="14">
        <v>0.97360000000000002</v>
      </c>
      <c r="D40" s="16">
        <v>455</v>
      </c>
      <c r="E40" s="17">
        <f t="shared" si="4"/>
        <v>12.012</v>
      </c>
      <c r="F40" s="18">
        <f t="shared" si="1"/>
        <v>660.66000000000008</v>
      </c>
      <c r="G40" s="19">
        <f t="shared" si="3"/>
        <v>22.75</v>
      </c>
      <c r="H40" s="20">
        <f t="shared" si="2"/>
        <v>10.738</v>
      </c>
    </row>
    <row r="41" spans="1:8" ht="13" x14ac:dyDescent="0.15">
      <c r="A41" s="12">
        <v>45562</v>
      </c>
      <c r="B41" s="13" t="s">
        <v>6</v>
      </c>
      <c r="C41" s="14">
        <v>0.96699999999999997</v>
      </c>
      <c r="D41" s="16">
        <v>455</v>
      </c>
      <c r="E41" s="17">
        <f t="shared" si="4"/>
        <v>15.014999999999986</v>
      </c>
      <c r="F41" s="18">
        <f t="shared" si="1"/>
        <v>825.82499999999925</v>
      </c>
      <c r="G41" s="19">
        <f t="shared" si="3"/>
        <v>22.75</v>
      </c>
      <c r="H41" s="20">
        <f t="shared" si="2"/>
        <v>7.7350000000000136</v>
      </c>
    </row>
    <row r="42" spans="1:8" ht="13" x14ac:dyDescent="0.15">
      <c r="A42" s="12">
        <v>45565</v>
      </c>
      <c r="B42" s="13" t="s">
        <v>2</v>
      </c>
      <c r="C42" s="14">
        <v>0.95860000000000001</v>
      </c>
      <c r="D42" s="16">
        <v>455</v>
      </c>
      <c r="E42" s="17">
        <f t="shared" si="4"/>
        <v>18.836999999999989</v>
      </c>
      <c r="F42" s="18">
        <f t="shared" si="1"/>
        <v>1036.0349999999994</v>
      </c>
      <c r="G42" s="19">
        <f t="shared" si="3"/>
        <v>22.75</v>
      </c>
      <c r="H42" s="20">
        <f t="shared" si="2"/>
        <v>3.9130000000000109</v>
      </c>
    </row>
    <row r="43" spans="1:8" ht="13" x14ac:dyDescent="0.15">
      <c r="A43" s="12">
        <v>45566</v>
      </c>
      <c r="B43" s="13" t="s">
        <v>3</v>
      </c>
      <c r="C43" s="14">
        <v>0.9758</v>
      </c>
      <c r="D43" s="16">
        <v>455</v>
      </c>
      <c r="E43" s="17">
        <f t="shared" si="4"/>
        <v>11.011000000000024</v>
      </c>
      <c r="F43" s="18">
        <f t="shared" si="1"/>
        <v>605.60500000000138</v>
      </c>
      <c r="G43" s="19">
        <f t="shared" si="3"/>
        <v>22.75</v>
      </c>
      <c r="H43" s="20">
        <f t="shared" si="2"/>
        <v>11.738999999999976</v>
      </c>
    </row>
    <row r="44" spans="1:8" ht="13" x14ac:dyDescent="0.15">
      <c r="A44" s="12">
        <v>45567</v>
      </c>
      <c r="B44" s="13" t="s">
        <v>4</v>
      </c>
      <c r="C44" s="14">
        <v>0.96699999999999997</v>
      </c>
      <c r="D44" s="16">
        <v>455</v>
      </c>
      <c r="E44" s="17">
        <f t="shared" si="4"/>
        <v>15.014999999999986</v>
      </c>
      <c r="F44" s="18">
        <f t="shared" si="1"/>
        <v>825.82499999999925</v>
      </c>
      <c r="G44" s="19">
        <f t="shared" si="3"/>
        <v>22.75</v>
      </c>
      <c r="H44" s="20">
        <f t="shared" si="2"/>
        <v>7.7350000000000136</v>
      </c>
    </row>
    <row r="45" spans="1:8" ht="13" x14ac:dyDescent="0.15">
      <c r="A45" s="12">
        <v>45568</v>
      </c>
      <c r="B45" s="13" t="s">
        <v>5</v>
      </c>
      <c r="C45" s="14">
        <v>0.98460000000000003</v>
      </c>
      <c r="D45" s="16">
        <v>455</v>
      </c>
      <c r="E45" s="17">
        <f t="shared" si="4"/>
        <v>7.007000000000005</v>
      </c>
      <c r="F45" s="18">
        <f t="shared" si="1"/>
        <v>385.38500000000028</v>
      </c>
      <c r="G45" s="19">
        <f t="shared" si="3"/>
        <v>22.75</v>
      </c>
      <c r="H45" s="20">
        <f t="shared" si="2"/>
        <v>15.742999999999995</v>
      </c>
    </row>
    <row r="46" spans="1:8" ht="13" x14ac:dyDescent="0.15">
      <c r="A46" s="12">
        <v>45569</v>
      </c>
      <c r="B46" s="13" t="s">
        <v>6</v>
      </c>
      <c r="C46" s="14">
        <v>0.95599999999999996</v>
      </c>
      <c r="D46" s="16">
        <v>455</v>
      </c>
      <c r="E46" s="17">
        <f t="shared" si="4"/>
        <v>20.020000000000039</v>
      </c>
      <c r="F46" s="18">
        <f t="shared" si="1"/>
        <v>1101.1000000000022</v>
      </c>
      <c r="G46" s="19">
        <f t="shared" si="3"/>
        <v>22.75</v>
      </c>
      <c r="H46" s="20">
        <f t="shared" si="2"/>
        <v>2.7299999999999613</v>
      </c>
    </row>
    <row r="47" spans="1:8" ht="13" x14ac:dyDescent="0.15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3" x14ac:dyDescent="0.15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3" x14ac:dyDescent="0.15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3" x14ac:dyDescent="0.15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3" x14ac:dyDescent="0.15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3" x14ac:dyDescent="0.15">
      <c r="A52" s="12">
        <v>45579</v>
      </c>
      <c r="B52" s="13" t="s">
        <v>2</v>
      </c>
      <c r="C52" s="14">
        <v>0.9516</v>
      </c>
      <c r="D52" s="16">
        <v>455</v>
      </c>
      <c r="E52" s="17">
        <f t="shared" si="4"/>
        <v>22.021999999999991</v>
      </c>
      <c r="F52" s="18">
        <f t="shared" si="1"/>
        <v>1211.2099999999996</v>
      </c>
      <c r="G52" s="19">
        <f t="shared" si="3"/>
        <v>22.75</v>
      </c>
      <c r="H52" s="20">
        <f t="shared" si="2"/>
        <v>0.72800000000000864</v>
      </c>
    </row>
    <row r="53" spans="1:8" ht="13" x14ac:dyDescent="0.15">
      <c r="A53" s="12">
        <v>45580</v>
      </c>
      <c r="B53" s="13" t="s">
        <v>3</v>
      </c>
      <c r="C53" s="14">
        <v>0.96260000000000001</v>
      </c>
      <c r="D53" s="16">
        <v>455</v>
      </c>
      <c r="E53" s="17">
        <f t="shared" si="4"/>
        <v>17.016999999999996</v>
      </c>
      <c r="F53" s="18">
        <f t="shared" si="1"/>
        <v>935.93499999999972</v>
      </c>
      <c r="G53" s="19">
        <f t="shared" si="3"/>
        <v>22.75</v>
      </c>
      <c r="H53" s="20">
        <f t="shared" si="2"/>
        <v>5.7330000000000041</v>
      </c>
    </row>
    <row r="54" spans="1:8" ht="13" x14ac:dyDescent="0.15">
      <c r="A54" s="12">
        <v>45581</v>
      </c>
      <c r="B54" s="13" t="s">
        <v>4</v>
      </c>
      <c r="C54" s="29">
        <v>0.98680000000000001</v>
      </c>
      <c r="D54" s="16">
        <v>455</v>
      </c>
      <c r="E54" s="17">
        <f t="shared" si="4"/>
        <v>6.0059999999999718</v>
      </c>
      <c r="F54" s="18">
        <f t="shared" si="1"/>
        <v>330.32999999999845</v>
      </c>
      <c r="G54" s="19">
        <f t="shared" si="3"/>
        <v>22.75</v>
      </c>
      <c r="H54" s="20">
        <f t="shared" si="2"/>
        <v>16.744000000000028</v>
      </c>
    </row>
    <row r="55" spans="1:8" ht="13" x14ac:dyDescent="0.15">
      <c r="A55" s="12">
        <v>45582</v>
      </c>
      <c r="B55" s="13" t="s">
        <v>5</v>
      </c>
      <c r="C55" s="14">
        <v>0.97360000000000002</v>
      </c>
      <c r="D55" s="16">
        <v>455</v>
      </c>
      <c r="E55" s="17">
        <f t="shared" si="4"/>
        <v>12.012</v>
      </c>
      <c r="F55" s="18">
        <f t="shared" si="1"/>
        <v>660.66000000000008</v>
      </c>
      <c r="G55" s="19">
        <f t="shared" si="3"/>
        <v>22.75</v>
      </c>
      <c r="H55" s="20">
        <f t="shared" si="2"/>
        <v>10.738</v>
      </c>
    </row>
    <row r="56" spans="1:8" ht="13" x14ac:dyDescent="0.15">
      <c r="A56" s="12">
        <v>45583</v>
      </c>
      <c r="B56" s="13" t="s">
        <v>6</v>
      </c>
      <c r="C56" s="14">
        <v>0.96699999999999997</v>
      </c>
      <c r="D56" s="16">
        <v>455</v>
      </c>
      <c r="E56" s="17">
        <f t="shared" si="4"/>
        <v>15.014999999999986</v>
      </c>
      <c r="F56" s="18">
        <f t="shared" si="1"/>
        <v>825.82499999999925</v>
      </c>
      <c r="G56" s="19">
        <f t="shared" si="3"/>
        <v>22.75</v>
      </c>
      <c r="H56" s="20">
        <f t="shared" si="2"/>
        <v>7.7350000000000136</v>
      </c>
    </row>
    <row r="57" spans="1:8" ht="13" x14ac:dyDescent="0.15">
      <c r="A57" s="12">
        <v>45586</v>
      </c>
      <c r="B57" s="13" t="s">
        <v>2</v>
      </c>
      <c r="C57" s="14">
        <v>0.95820000000000005</v>
      </c>
      <c r="D57" s="16">
        <v>455</v>
      </c>
      <c r="E57" s="17">
        <f t="shared" si="4"/>
        <v>19.018999999999949</v>
      </c>
      <c r="F57" s="18">
        <f t="shared" si="1"/>
        <v>1046.0449999999971</v>
      </c>
      <c r="G57" s="19">
        <f t="shared" si="3"/>
        <v>22.75</v>
      </c>
      <c r="H57" s="20">
        <f t="shared" si="2"/>
        <v>3.7310000000000514</v>
      </c>
    </row>
    <row r="58" spans="1:8" ht="13" x14ac:dyDescent="0.15">
      <c r="A58" s="12">
        <v>45587</v>
      </c>
      <c r="B58" s="13" t="s">
        <v>3</v>
      </c>
      <c r="C58" s="14">
        <v>0.96260000000000001</v>
      </c>
      <c r="D58" s="16">
        <v>455</v>
      </c>
      <c r="E58" s="17">
        <f t="shared" si="4"/>
        <v>17.016999999999996</v>
      </c>
      <c r="F58" s="18">
        <f t="shared" si="1"/>
        <v>935.93499999999972</v>
      </c>
      <c r="G58" s="19">
        <f t="shared" si="3"/>
        <v>22.75</v>
      </c>
      <c r="H58" s="20">
        <f t="shared" si="2"/>
        <v>5.7330000000000041</v>
      </c>
    </row>
    <row r="59" spans="1:8" ht="13" x14ac:dyDescent="0.15">
      <c r="A59" s="12">
        <v>45588</v>
      </c>
      <c r="B59" s="13" t="s">
        <v>4</v>
      </c>
      <c r="C59" s="14">
        <v>0.94950000000000001</v>
      </c>
      <c r="D59" s="16">
        <v>455</v>
      </c>
      <c r="E59" s="17">
        <f t="shared" si="4"/>
        <v>22.97750000000002</v>
      </c>
      <c r="F59" s="18">
        <f t="shared" si="1"/>
        <v>1263.7625000000012</v>
      </c>
      <c r="G59" s="19">
        <f t="shared" si="3"/>
        <v>22.75</v>
      </c>
      <c r="H59" s="20">
        <f t="shared" si="2"/>
        <v>-0.22750000000002046</v>
      </c>
    </row>
    <row r="60" spans="1:8" ht="13" x14ac:dyDescent="0.15">
      <c r="A60" s="12">
        <v>45589</v>
      </c>
      <c r="B60" s="13" t="s">
        <v>5</v>
      </c>
      <c r="C60" s="14">
        <v>0.94510000000000005</v>
      </c>
      <c r="D60" s="16">
        <v>455</v>
      </c>
      <c r="E60" s="17">
        <f t="shared" si="4"/>
        <v>24.979499999999973</v>
      </c>
      <c r="F60" s="18">
        <f t="shared" si="1"/>
        <v>1373.8724999999986</v>
      </c>
      <c r="G60" s="19">
        <f t="shared" si="3"/>
        <v>22.75</v>
      </c>
      <c r="H60" s="20">
        <f t="shared" si="2"/>
        <v>-2.2294999999999732</v>
      </c>
    </row>
    <row r="61" spans="1:8" ht="13" x14ac:dyDescent="0.15">
      <c r="A61" s="12">
        <v>45590</v>
      </c>
      <c r="B61" s="13" t="s">
        <v>6</v>
      </c>
      <c r="C61" s="14">
        <v>0.96040000000000003</v>
      </c>
      <c r="D61" s="16">
        <v>455</v>
      </c>
      <c r="E61" s="17">
        <f t="shared" si="4"/>
        <v>18.017999999999972</v>
      </c>
      <c r="F61" s="18">
        <f t="shared" si="1"/>
        <v>990.98999999999842</v>
      </c>
      <c r="G61" s="19">
        <f t="shared" si="3"/>
        <v>22.75</v>
      </c>
      <c r="H61" s="20">
        <f t="shared" si="2"/>
        <v>4.7320000000000277</v>
      </c>
    </row>
    <row r="62" spans="1:8" ht="13" x14ac:dyDescent="0.15">
      <c r="A62" s="12">
        <v>45593</v>
      </c>
      <c r="B62" s="13" t="s">
        <v>2</v>
      </c>
      <c r="C62" s="14">
        <v>0.94289999999999996</v>
      </c>
      <c r="D62" s="16">
        <v>455</v>
      </c>
      <c r="E62" s="17">
        <f t="shared" si="4"/>
        <v>25.980500000000006</v>
      </c>
      <c r="F62" s="18">
        <f t="shared" si="1"/>
        <v>1428.9275000000002</v>
      </c>
      <c r="G62" s="19">
        <f t="shared" si="3"/>
        <v>22.75</v>
      </c>
      <c r="H62" s="20">
        <f t="shared" si="2"/>
        <v>-3.2305000000000064</v>
      </c>
    </row>
    <row r="63" spans="1:8" ht="13" x14ac:dyDescent="0.15">
      <c r="A63" s="12">
        <v>45594</v>
      </c>
      <c r="B63" s="13" t="s">
        <v>3</v>
      </c>
      <c r="C63" s="14">
        <v>0.98019999999999996</v>
      </c>
      <c r="D63" s="16">
        <v>455</v>
      </c>
      <c r="E63" s="17">
        <f t="shared" si="4"/>
        <v>9.0090000000000146</v>
      </c>
      <c r="F63" s="18">
        <f t="shared" si="1"/>
        <v>495.4950000000008</v>
      </c>
      <c r="G63" s="19">
        <f t="shared" si="3"/>
        <v>22.75</v>
      </c>
      <c r="H63" s="20">
        <f t="shared" si="2"/>
        <v>13.740999999999985</v>
      </c>
    </row>
    <row r="64" spans="1:8" ht="13" x14ac:dyDescent="0.15">
      <c r="A64" s="12">
        <v>45595</v>
      </c>
      <c r="B64" s="13" t="s">
        <v>4</v>
      </c>
      <c r="C64" s="14">
        <v>0.97140000000000004</v>
      </c>
      <c r="D64" s="16">
        <v>455</v>
      </c>
      <c r="E64" s="17">
        <f t="shared" si="4"/>
        <v>13.012999999999977</v>
      </c>
      <c r="F64" s="18">
        <f t="shared" si="1"/>
        <v>715.71499999999878</v>
      </c>
      <c r="G64" s="19">
        <f t="shared" si="3"/>
        <v>22.75</v>
      </c>
      <c r="H64" s="20">
        <f t="shared" si="2"/>
        <v>9.7370000000000232</v>
      </c>
    </row>
    <row r="65" spans="1:8" ht="13" x14ac:dyDescent="0.15">
      <c r="A65" s="12">
        <v>45596</v>
      </c>
      <c r="B65" s="13" t="s">
        <v>5</v>
      </c>
      <c r="C65" s="14">
        <v>0.97360000000000002</v>
      </c>
      <c r="D65" s="16">
        <v>455</v>
      </c>
      <c r="E65" s="17">
        <f t="shared" si="4"/>
        <v>12.012</v>
      </c>
      <c r="F65" s="18">
        <f t="shared" si="1"/>
        <v>660.66000000000008</v>
      </c>
      <c r="G65" s="19">
        <f t="shared" si="3"/>
        <v>22.75</v>
      </c>
      <c r="H65" s="20">
        <f t="shared" si="2"/>
        <v>10.738</v>
      </c>
    </row>
    <row r="66" spans="1:8" ht="13" x14ac:dyDescent="0.15">
      <c r="A66" s="12">
        <v>45597</v>
      </c>
      <c r="B66" s="13" t="s">
        <v>6</v>
      </c>
      <c r="C66" s="14">
        <v>0.96040000000000003</v>
      </c>
      <c r="D66" s="16">
        <v>455</v>
      </c>
      <c r="E66" s="17">
        <f t="shared" si="4"/>
        <v>18.017999999999972</v>
      </c>
      <c r="F66" s="18">
        <f t="shared" si="1"/>
        <v>990.98999999999842</v>
      </c>
      <c r="G66" s="19">
        <f t="shared" si="3"/>
        <v>22.75</v>
      </c>
      <c r="H66" s="20">
        <f t="shared" si="2"/>
        <v>4.7320000000000277</v>
      </c>
    </row>
    <row r="67" spans="1:8" ht="13" x14ac:dyDescent="0.15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3" x14ac:dyDescent="0.15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3" x14ac:dyDescent="0.15">
      <c r="A69" s="12">
        <v>45602</v>
      </c>
      <c r="B69" s="13" t="s">
        <v>4</v>
      </c>
      <c r="C69" s="14">
        <v>0.98460000000000003</v>
      </c>
      <c r="D69" s="16">
        <v>455</v>
      </c>
      <c r="E69" s="17">
        <f t="shared" si="4"/>
        <v>7.007000000000005</v>
      </c>
      <c r="F69" s="18">
        <f t="shared" si="1"/>
        <v>385.38500000000028</v>
      </c>
      <c r="G69" s="19">
        <f t="shared" si="3"/>
        <v>22.75</v>
      </c>
      <c r="H69" s="20">
        <f t="shared" si="2"/>
        <v>15.742999999999995</v>
      </c>
    </row>
    <row r="70" spans="1:8" ht="13" x14ac:dyDescent="0.15">
      <c r="A70" s="12">
        <v>45603</v>
      </c>
      <c r="B70" s="13" t="s">
        <v>5</v>
      </c>
      <c r="C70" s="14">
        <v>0.98019999999999996</v>
      </c>
      <c r="D70" s="16">
        <v>455</v>
      </c>
      <c r="E70" s="17">
        <f t="shared" si="4"/>
        <v>9.0090000000000146</v>
      </c>
      <c r="F70" s="18">
        <f t="shared" si="1"/>
        <v>495.4950000000008</v>
      </c>
      <c r="G70" s="19">
        <f t="shared" si="3"/>
        <v>22.75</v>
      </c>
      <c r="H70" s="20">
        <f t="shared" si="2"/>
        <v>13.740999999999985</v>
      </c>
    </row>
    <row r="71" spans="1:8" ht="13" x14ac:dyDescent="0.15">
      <c r="A71" s="12">
        <v>45604</v>
      </c>
      <c r="B71" s="13" t="s">
        <v>6</v>
      </c>
      <c r="C71" s="14">
        <v>0.95820000000000005</v>
      </c>
      <c r="D71" s="16">
        <v>455</v>
      </c>
      <c r="E71" s="17">
        <f t="shared" ref="E71:E102" si="5">D71-(C71*D71)</f>
        <v>19.018999999999949</v>
      </c>
      <c r="F71" s="18">
        <f t="shared" si="1"/>
        <v>1046.0449999999971</v>
      </c>
      <c r="G71" s="19">
        <f t="shared" si="3"/>
        <v>22.75</v>
      </c>
      <c r="H71" s="20">
        <f t="shared" si="2"/>
        <v>3.7310000000000514</v>
      </c>
    </row>
    <row r="72" spans="1:8" ht="13" x14ac:dyDescent="0.15">
      <c r="A72" s="12">
        <v>45607</v>
      </c>
      <c r="B72" s="13" t="s">
        <v>2</v>
      </c>
      <c r="C72" s="14">
        <v>0.94069999999999998</v>
      </c>
      <c r="D72" s="16">
        <v>455</v>
      </c>
      <c r="E72" s="17">
        <f t="shared" si="5"/>
        <v>26.981499999999983</v>
      </c>
      <c r="F72" s="18">
        <f t="shared" si="1"/>
        <v>1483.9824999999992</v>
      </c>
      <c r="G72" s="19">
        <f t="shared" si="3"/>
        <v>22.75</v>
      </c>
      <c r="H72" s="20">
        <f t="shared" si="2"/>
        <v>-4.2314999999999827</v>
      </c>
    </row>
    <row r="73" spans="1:8" ht="13" x14ac:dyDescent="0.15">
      <c r="A73" s="12">
        <v>45608</v>
      </c>
      <c r="B73" s="13" t="s">
        <v>3</v>
      </c>
      <c r="C73" s="14">
        <v>0.93610000000000004</v>
      </c>
      <c r="D73" s="16">
        <v>454</v>
      </c>
      <c r="E73" s="17">
        <f t="shared" si="5"/>
        <v>29.010599999999954</v>
      </c>
      <c r="F73" s="18">
        <f t="shared" si="1"/>
        <v>1595.5829999999974</v>
      </c>
      <c r="G73" s="19">
        <f t="shared" si="3"/>
        <v>22.700000000000045</v>
      </c>
      <c r="H73" s="20">
        <f t="shared" si="2"/>
        <v>-6.3105999999999085</v>
      </c>
    </row>
    <row r="74" spans="1:8" ht="13" x14ac:dyDescent="0.15">
      <c r="A74" s="12">
        <v>45609</v>
      </c>
      <c r="B74" s="13" t="s">
        <v>4</v>
      </c>
      <c r="C74" s="14">
        <v>0.95369999999999999</v>
      </c>
      <c r="D74" s="16">
        <v>454</v>
      </c>
      <c r="E74" s="17">
        <f t="shared" si="5"/>
        <v>21.020199999999988</v>
      </c>
      <c r="F74" s="18">
        <f t="shared" si="1"/>
        <v>1156.1109999999994</v>
      </c>
      <c r="G74" s="19">
        <f t="shared" si="3"/>
        <v>22.700000000000045</v>
      </c>
      <c r="H74" s="20">
        <f t="shared" si="2"/>
        <v>1.679800000000057</v>
      </c>
    </row>
    <row r="75" spans="1:8" ht="13" x14ac:dyDescent="0.15">
      <c r="A75" s="12">
        <v>45610</v>
      </c>
      <c r="B75" s="13" t="s">
        <v>5</v>
      </c>
      <c r="C75" s="14">
        <v>0.96479999999999999</v>
      </c>
      <c r="D75" s="16">
        <v>454</v>
      </c>
      <c r="E75" s="17">
        <f t="shared" si="5"/>
        <v>15.980799999999988</v>
      </c>
      <c r="F75" s="18">
        <f t="shared" si="1"/>
        <v>878.94399999999928</v>
      </c>
      <c r="G75" s="19">
        <f t="shared" si="3"/>
        <v>22.700000000000045</v>
      </c>
      <c r="H75" s="20">
        <f t="shared" si="2"/>
        <v>6.7192000000000576</v>
      </c>
    </row>
    <row r="76" spans="1:8" ht="13" x14ac:dyDescent="0.15">
      <c r="A76" s="12">
        <v>45611</v>
      </c>
      <c r="B76" s="13" t="s">
        <v>6</v>
      </c>
      <c r="C76" s="14">
        <v>0.96919999999999995</v>
      </c>
      <c r="D76" s="16">
        <v>454</v>
      </c>
      <c r="E76" s="17">
        <f t="shared" si="5"/>
        <v>13.983200000000011</v>
      </c>
      <c r="F76" s="18">
        <f t="shared" si="1"/>
        <v>769.07600000000059</v>
      </c>
      <c r="G76" s="19">
        <f t="shared" si="3"/>
        <v>22.700000000000045</v>
      </c>
      <c r="H76" s="20">
        <f t="shared" si="2"/>
        <v>8.7168000000000347</v>
      </c>
    </row>
    <row r="77" spans="1:8" ht="13" x14ac:dyDescent="0.15">
      <c r="A77" s="12">
        <v>45614</v>
      </c>
      <c r="B77" s="13" t="s">
        <v>2</v>
      </c>
      <c r="C77" s="14">
        <v>0.96040000000000003</v>
      </c>
      <c r="D77" s="16">
        <v>454</v>
      </c>
      <c r="E77" s="17">
        <f t="shared" si="5"/>
        <v>17.978399999999965</v>
      </c>
      <c r="F77" s="18">
        <f t="shared" si="1"/>
        <v>988.81199999999808</v>
      </c>
      <c r="G77" s="19">
        <f t="shared" si="3"/>
        <v>22.700000000000045</v>
      </c>
      <c r="H77" s="20">
        <f t="shared" si="2"/>
        <v>4.7216000000000804</v>
      </c>
    </row>
    <row r="78" spans="1:8" ht="13" x14ac:dyDescent="0.15">
      <c r="A78" s="12">
        <v>45615</v>
      </c>
      <c r="B78" s="13" t="s">
        <v>3</v>
      </c>
      <c r="C78" s="14">
        <v>0.97799999999999998</v>
      </c>
      <c r="D78" s="16">
        <v>454</v>
      </c>
      <c r="E78" s="17">
        <f t="shared" si="5"/>
        <v>9.9879999999999995</v>
      </c>
      <c r="F78" s="18">
        <f t="shared" si="1"/>
        <v>549.33999999999992</v>
      </c>
      <c r="G78" s="19">
        <f t="shared" si="3"/>
        <v>22.700000000000045</v>
      </c>
      <c r="H78" s="20">
        <f t="shared" si="2"/>
        <v>12.712000000000046</v>
      </c>
    </row>
    <row r="79" spans="1:8" ht="13" x14ac:dyDescent="0.15">
      <c r="A79" s="12">
        <v>45616</v>
      </c>
      <c r="B79" s="13" t="s">
        <v>4</v>
      </c>
      <c r="C79" s="14">
        <v>0.95809999999999995</v>
      </c>
      <c r="D79" s="16">
        <v>454</v>
      </c>
      <c r="E79" s="17">
        <f t="shared" si="5"/>
        <v>19.022600000000011</v>
      </c>
      <c r="F79" s="18">
        <f t="shared" si="1"/>
        <v>1046.2430000000006</v>
      </c>
      <c r="G79" s="19">
        <f t="shared" si="3"/>
        <v>22.700000000000045</v>
      </c>
      <c r="H79" s="20">
        <f t="shared" si="2"/>
        <v>3.6774000000000342</v>
      </c>
    </row>
    <row r="80" spans="1:8" ht="13" x14ac:dyDescent="0.15">
      <c r="A80" s="12">
        <v>45617</v>
      </c>
      <c r="B80" s="13" t="s">
        <v>5</v>
      </c>
      <c r="C80" s="14">
        <v>0.9758</v>
      </c>
      <c r="D80" s="16">
        <v>454</v>
      </c>
      <c r="E80" s="17">
        <f t="shared" si="5"/>
        <v>10.986800000000017</v>
      </c>
      <c r="F80" s="18">
        <f t="shared" si="1"/>
        <v>604.27400000000091</v>
      </c>
      <c r="G80" s="19">
        <f t="shared" si="3"/>
        <v>22.700000000000045</v>
      </c>
      <c r="H80" s="20">
        <f t="shared" si="2"/>
        <v>11.713200000000029</v>
      </c>
    </row>
    <row r="81" spans="1:8" ht="13" x14ac:dyDescent="0.15">
      <c r="A81" s="12">
        <v>45618</v>
      </c>
      <c r="B81" s="13" t="s">
        <v>6</v>
      </c>
      <c r="C81" s="14">
        <v>0.90310000000000001</v>
      </c>
      <c r="D81" s="16">
        <v>454</v>
      </c>
      <c r="E81" s="17">
        <f t="shared" si="5"/>
        <v>43.992599999999982</v>
      </c>
      <c r="F81" s="18">
        <f t="shared" si="1"/>
        <v>2419.5929999999989</v>
      </c>
      <c r="G81" s="19">
        <f t="shared" si="3"/>
        <v>22.700000000000045</v>
      </c>
      <c r="H81" s="20">
        <f t="shared" si="2"/>
        <v>-21.292599999999936</v>
      </c>
    </row>
    <row r="82" spans="1:8" ht="13" x14ac:dyDescent="0.15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3" x14ac:dyDescent="0.15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3" x14ac:dyDescent="0.15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3" x14ac:dyDescent="0.15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3" x14ac:dyDescent="0.15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3" x14ac:dyDescent="0.15">
      <c r="A87" s="12">
        <v>45628</v>
      </c>
      <c r="B87" s="13" t="s">
        <v>2</v>
      </c>
      <c r="C87" s="14">
        <v>0.94710000000000005</v>
      </c>
      <c r="D87" s="16">
        <v>454</v>
      </c>
      <c r="E87" s="17">
        <f t="shared" si="5"/>
        <v>24.016599999999983</v>
      </c>
      <c r="F87" s="18">
        <f t="shared" si="1"/>
        <v>1320.9129999999991</v>
      </c>
      <c r="G87" s="19">
        <f t="shared" si="3"/>
        <v>22.700000000000045</v>
      </c>
      <c r="H87" s="20">
        <f t="shared" si="2"/>
        <v>-1.3165999999999372</v>
      </c>
    </row>
    <row r="88" spans="1:8" ht="13" x14ac:dyDescent="0.15">
      <c r="A88" s="12">
        <v>45629</v>
      </c>
      <c r="B88" s="13" t="s">
        <v>3</v>
      </c>
      <c r="C88" s="14">
        <v>0.9758</v>
      </c>
      <c r="D88" s="16">
        <v>454</v>
      </c>
      <c r="E88" s="17">
        <f t="shared" si="5"/>
        <v>10.986800000000017</v>
      </c>
      <c r="F88" s="18">
        <f t="shared" si="1"/>
        <v>604.27400000000091</v>
      </c>
      <c r="G88" s="19">
        <f t="shared" si="3"/>
        <v>22.700000000000045</v>
      </c>
      <c r="H88" s="20">
        <f t="shared" si="2"/>
        <v>11.713200000000029</v>
      </c>
    </row>
    <row r="89" spans="1:8" ht="13" x14ac:dyDescent="0.15">
      <c r="A89" s="12">
        <v>45630</v>
      </c>
      <c r="B89" s="13" t="s">
        <v>4</v>
      </c>
      <c r="C89" s="14">
        <v>0.96040000000000003</v>
      </c>
      <c r="D89" s="16">
        <v>454</v>
      </c>
      <c r="E89" s="17">
        <f t="shared" si="5"/>
        <v>17.978399999999965</v>
      </c>
      <c r="F89" s="18">
        <f t="shared" si="1"/>
        <v>988.81199999999808</v>
      </c>
      <c r="G89" s="19">
        <f t="shared" si="3"/>
        <v>22.700000000000045</v>
      </c>
      <c r="H89" s="20">
        <f t="shared" si="2"/>
        <v>4.7216000000000804</v>
      </c>
    </row>
    <row r="90" spans="1:8" ht="13" x14ac:dyDescent="0.15">
      <c r="A90" s="12">
        <v>45631</v>
      </c>
      <c r="B90" s="13" t="s">
        <v>5</v>
      </c>
      <c r="C90" s="14">
        <v>0.97140000000000004</v>
      </c>
      <c r="D90" s="16">
        <v>454</v>
      </c>
      <c r="E90" s="17">
        <f t="shared" si="5"/>
        <v>12.984399999999994</v>
      </c>
      <c r="F90" s="18">
        <f t="shared" si="1"/>
        <v>714.1419999999996</v>
      </c>
      <c r="G90" s="19">
        <f t="shared" si="3"/>
        <v>22.700000000000045</v>
      </c>
      <c r="H90" s="20">
        <f t="shared" si="2"/>
        <v>9.7156000000000518</v>
      </c>
    </row>
    <row r="91" spans="1:8" ht="13" x14ac:dyDescent="0.15">
      <c r="A91" s="12">
        <v>45632</v>
      </c>
      <c r="B91" s="13" t="s">
        <v>6</v>
      </c>
      <c r="C91" s="14">
        <v>0.93389999999999995</v>
      </c>
      <c r="D91" s="16">
        <v>454</v>
      </c>
      <c r="E91" s="17">
        <f t="shared" si="5"/>
        <v>30.009400000000028</v>
      </c>
      <c r="F91" s="18">
        <f t="shared" si="1"/>
        <v>1650.5170000000016</v>
      </c>
      <c r="G91" s="19">
        <f t="shared" si="3"/>
        <v>22.700000000000045</v>
      </c>
      <c r="H91" s="20">
        <f t="shared" si="2"/>
        <v>-7.3093999999999824</v>
      </c>
    </row>
    <row r="92" spans="1:8" ht="13" x14ac:dyDescent="0.15">
      <c r="A92" s="12">
        <v>45635</v>
      </c>
      <c r="B92" s="13" t="s">
        <v>2</v>
      </c>
      <c r="C92" s="14">
        <v>0.95150000000000001</v>
      </c>
      <c r="D92" s="16">
        <v>454</v>
      </c>
      <c r="E92" s="17">
        <f t="shared" si="5"/>
        <v>22.019000000000005</v>
      </c>
      <c r="F92" s="18">
        <f t="shared" si="1"/>
        <v>1211.0450000000003</v>
      </c>
      <c r="G92" s="19">
        <f t="shared" si="3"/>
        <v>22.700000000000045</v>
      </c>
      <c r="H92" s="20">
        <f t="shared" si="2"/>
        <v>0.68100000000004002</v>
      </c>
    </row>
    <row r="93" spans="1:8" ht="13" x14ac:dyDescent="0.15">
      <c r="A93" s="12">
        <v>45636</v>
      </c>
      <c r="B93" s="13" t="s">
        <v>3</v>
      </c>
      <c r="C93" s="14">
        <v>0.96479999999999999</v>
      </c>
      <c r="D93" s="16">
        <v>454</v>
      </c>
      <c r="E93" s="17">
        <f t="shared" si="5"/>
        <v>15.980799999999988</v>
      </c>
      <c r="F93" s="18">
        <f t="shared" si="1"/>
        <v>878.94399999999928</v>
      </c>
      <c r="G93" s="19">
        <f t="shared" si="3"/>
        <v>22.700000000000045</v>
      </c>
      <c r="H93" s="20">
        <f t="shared" si="2"/>
        <v>6.7192000000000576</v>
      </c>
    </row>
    <row r="94" spans="1:8" ht="13" x14ac:dyDescent="0.15">
      <c r="A94" s="12">
        <v>45637</v>
      </c>
      <c r="B94" s="13" t="s">
        <v>4</v>
      </c>
      <c r="C94" s="14">
        <v>0.96919999999999995</v>
      </c>
      <c r="D94" s="16">
        <v>454</v>
      </c>
      <c r="E94" s="17">
        <f t="shared" si="5"/>
        <v>13.983200000000011</v>
      </c>
      <c r="F94" s="18">
        <f t="shared" si="1"/>
        <v>769.07600000000059</v>
      </c>
      <c r="G94" s="19">
        <f t="shared" si="3"/>
        <v>22.700000000000045</v>
      </c>
      <c r="H94" s="20">
        <f t="shared" si="2"/>
        <v>8.7168000000000347</v>
      </c>
    </row>
    <row r="95" spans="1:8" ht="13" x14ac:dyDescent="0.15">
      <c r="A95" s="12">
        <v>45638</v>
      </c>
      <c r="B95" s="13" t="s">
        <v>5</v>
      </c>
      <c r="C95" s="14">
        <v>0.96699999999999997</v>
      </c>
      <c r="D95" s="16">
        <v>454</v>
      </c>
      <c r="E95" s="17">
        <f t="shared" si="5"/>
        <v>14.982000000000028</v>
      </c>
      <c r="F95" s="18">
        <f t="shared" si="1"/>
        <v>824.01000000000158</v>
      </c>
      <c r="G95" s="19">
        <f t="shared" si="3"/>
        <v>22.700000000000045</v>
      </c>
      <c r="H95" s="20">
        <f t="shared" si="2"/>
        <v>7.7180000000000177</v>
      </c>
    </row>
    <row r="96" spans="1:8" ht="13" x14ac:dyDescent="0.15">
      <c r="A96" s="12">
        <v>45639</v>
      </c>
      <c r="B96" s="13" t="s">
        <v>6</v>
      </c>
      <c r="C96" s="14">
        <v>0.94710000000000005</v>
      </c>
      <c r="D96" s="16">
        <v>454</v>
      </c>
      <c r="E96" s="17">
        <f t="shared" si="5"/>
        <v>24.016599999999983</v>
      </c>
      <c r="F96" s="18">
        <f t="shared" si="1"/>
        <v>1320.9129999999991</v>
      </c>
      <c r="G96" s="19">
        <f t="shared" si="3"/>
        <v>22.700000000000045</v>
      </c>
      <c r="H96" s="20">
        <f t="shared" si="2"/>
        <v>-1.3165999999999372</v>
      </c>
    </row>
    <row r="97" spans="1:8" ht="13" x14ac:dyDescent="0.15">
      <c r="A97" s="12">
        <v>45642</v>
      </c>
      <c r="B97" s="13" t="s">
        <v>2</v>
      </c>
      <c r="C97" s="14">
        <v>0.93830000000000002</v>
      </c>
      <c r="D97" s="16">
        <v>454</v>
      </c>
      <c r="E97" s="17">
        <f t="shared" si="5"/>
        <v>28.011799999999994</v>
      </c>
      <c r="F97" s="18">
        <f t="shared" si="1"/>
        <v>1540.6489999999997</v>
      </c>
      <c r="G97" s="19">
        <f t="shared" si="3"/>
        <v>22.700000000000045</v>
      </c>
      <c r="H97" s="20">
        <f t="shared" si="2"/>
        <v>-5.3117999999999483</v>
      </c>
    </row>
    <row r="98" spans="1:8" ht="13" x14ac:dyDescent="0.15">
      <c r="A98" s="12">
        <v>45643</v>
      </c>
      <c r="B98" s="13" t="s">
        <v>3</v>
      </c>
      <c r="C98" s="14">
        <v>0.96040000000000003</v>
      </c>
      <c r="D98" s="16">
        <v>454</v>
      </c>
      <c r="E98" s="17">
        <f t="shared" si="5"/>
        <v>17.978399999999965</v>
      </c>
      <c r="F98" s="18">
        <f t="shared" si="1"/>
        <v>988.81199999999808</v>
      </c>
      <c r="G98" s="19">
        <f t="shared" si="3"/>
        <v>22.700000000000045</v>
      </c>
      <c r="H98" s="20">
        <f t="shared" si="2"/>
        <v>4.7216000000000804</v>
      </c>
    </row>
    <row r="99" spans="1:8" ht="13" x14ac:dyDescent="0.15">
      <c r="A99" s="12">
        <v>45644</v>
      </c>
      <c r="B99" s="13" t="s">
        <v>4</v>
      </c>
      <c r="C99" s="14">
        <v>0.96260000000000001</v>
      </c>
      <c r="D99" s="16">
        <v>454</v>
      </c>
      <c r="E99" s="17">
        <f t="shared" si="5"/>
        <v>16.979600000000005</v>
      </c>
      <c r="F99" s="18">
        <f t="shared" si="1"/>
        <v>933.87800000000027</v>
      </c>
      <c r="G99" s="19">
        <f t="shared" si="3"/>
        <v>22.700000000000045</v>
      </c>
      <c r="H99" s="20">
        <f t="shared" si="2"/>
        <v>5.7204000000000406</v>
      </c>
    </row>
    <row r="100" spans="1:8" ht="13" x14ac:dyDescent="0.15">
      <c r="A100" s="12">
        <v>45645</v>
      </c>
      <c r="B100" s="13" t="s">
        <v>5</v>
      </c>
      <c r="C100" s="14">
        <v>0.97360000000000002</v>
      </c>
      <c r="D100" s="16">
        <v>454</v>
      </c>
      <c r="E100" s="17">
        <f t="shared" si="5"/>
        <v>11.985599999999977</v>
      </c>
      <c r="F100" s="18">
        <f t="shared" si="1"/>
        <v>659.20799999999872</v>
      </c>
      <c r="G100" s="19">
        <f t="shared" si="3"/>
        <v>22.700000000000045</v>
      </c>
      <c r="H100" s="20">
        <f t="shared" si="2"/>
        <v>10.714400000000069</v>
      </c>
    </row>
    <row r="101" spans="1:8" ht="13" x14ac:dyDescent="0.15">
      <c r="A101" s="12">
        <v>45646</v>
      </c>
      <c r="B101" s="13" t="s">
        <v>6</v>
      </c>
      <c r="C101" s="14">
        <v>0.95369999999999999</v>
      </c>
      <c r="D101" s="16">
        <v>454</v>
      </c>
      <c r="E101" s="17">
        <f t="shared" si="5"/>
        <v>21.020199999999988</v>
      </c>
      <c r="F101" s="18">
        <f t="shared" si="1"/>
        <v>1156.1109999999994</v>
      </c>
      <c r="G101" s="19">
        <f t="shared" si="3"/>
        <v>22.700000000000045</v>
      </c>
      <c r="H101" s="20">
        <f t="shared" si="2"/>
        <v>1.679800000000057</v>
      </c>
    </row>
    <row r="102" spans="1:8" ht="13" x14ac:dyDescent="0.15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3" x14ac:dyDescent="0.15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3" x14ac:dyDescent="0.15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3" x14ac:dyDescent="0.15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3" x14ac:dyDescent="0.15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3" x14ac:dyDescent="0.15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3" x14ac:dyDescent="0.15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3" x14ac:dyDescent="0.15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3" x14ac:dyDescent="0.15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3" x14ac:dyDescent="0.15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3" x14ac:dyDescent="0.15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3" x14ac:dyDescent="0.15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3" x14ac:dyDescent="0.15">
      <c r="A114" s="12">
        <v>45665</v>
      </c>
      <c r="B114" s="13" t="s">
        <v>4</v>
      </c>
      <c r="C114" s="14">
        <v>0.94269999999999998</v>
      </c>
      <c r="D114" s="16">
        <v>454</v>
      </c>
      <c r="E114" s="17">
        <f t="shared" si="6"/>
        <v>26.014200000000017</v>
      </c>
      <c r="F114" s="18">
        <f t="shared" si="1"/>
        <v>1430.7810000000009</v>
      </c>
      <c r="G114" s="19">
        <f t="shared" si="3"/>
        <v>22.700000000000045</v>
      </c>
      <c r="H114" s="20">
        <f t="shared" si="2"/>
        <v>-3.3141999999999712</v>
      </c>
    </row>
    <row r="115" spans="1:8" ht="13" x14ac:dyDescent="0.15">
      <c r="A115" s="12">
        <v>45666</v>
      </c>
      <c r="B115" s="13" t="s">
        <v>5</v>
      </c>
      <c r="C115" s="14">
        <v>0.97130000000000005</v>
      </c>
      <c r="D115" s="16">
        <v>453</v>
      </c>
      <c r="E115" s="17">
        <f t="shared" si="6"/>
        <v>13.001099999999951</v>
      </c>
      <c r="F115" s="18">
        <f t="shared" si="1"/>
        <v>715.06049999999732</v>
      </c>
      <c r="G115" s="19">
        <f t="shared" si="3"/>
        <v>22.650000000000034</v>
      </c>
      <c r="H115" s="20">
        <f t="shared" si="2"/>
        <v>9.6489000000000829</v>
      </c>
    </row>
    <row r="116" spans="1:8" ht="13" x14ac:dyDescent="0.15">
      <c r="A116" s="12">
        <v>45667</v>
      </c>
      <c r="B116" s="13" t="s">
        <v>6</v>
      </c>
      <c r="C116" s="14">
        <v>0.94899999999999995</v>
      </c>
      <c r="D116" s="16">
        <v>451</v>
      </c>
      <c r="E116" s="17">
        <f t="shared" si="6"/>
        <v>23.001000000000033</v>
      </c>
      <c r="F116" s="18">
        <f t="shared" si="1"/>
        <v>1265.0550000000019</v>
      </c>
      <c r="G116" s="19">
        <f t="shared" si="3"/>
        <v>22.550000000000011</v>
      </c>
      <c r="H116" s="20">
        <f t="shared" si="2"/>
        <v>-0.45100000000002183</v>
      </c>
    </row>
    <row r="117" spans="1:8" ht="13" x14ac:dyDescent="0.15">
      <c r="A117" s="12">
        <v>45670</v>
      </c>
      <c r="B117" s="13" t="s">
        <v>2</v>
      </c>
      <c r="C117" s="14">
        <v>0.95789999999999997</v>
      </c>
      <c r="D117" s="16">
        <v>451</v>
      </c>
      <c r="E117" s="17">
        <f t="shared" si="6"/>
        <v>18.987099999999998</v>
      </c>
      <c r="F117" s="18">
        <f t="shared" si="1"/>
        <v>1044.2904999999998</v>
      </c>
      <c r="G117" s="19">
        <f t="shared" si="3"/>
        <v>22.550000000000011</v>
      </c>
      <c r="H117" s="20">
        <f t="shared" si="2"/>
        <v>3.5629000000000133</v>
      </c>
    </row>
    <row r="118" spans="1:8" ht="13" x14ac:dyDescent="0.15">
      <c r="A118" s="12">
        <v>45671</v>
      </c>
      <c r="B118" s="13" t="s">
        <v>3</v>
      </c>
      <c r="C118" s="14">
        <v>0.96009999999999995</v>
      </c>
      <c r="D118" s="16">
        <v>451</v>
      </c>
      <c r="E118" s="17">
        <f t="shared" si="6"/>
        <v>17.99490000000003</v>
      </c>
      <c r="F118" s="18">
        <f t="shared" si="1"/>
        <v>989.71950000000163</v>
      </c>
      <c r="G118" s="19">
        <f t="shared" si="3"/>
        <v>22.550000000000011</v>
      </c>
      <c r="H118" s="20">
        <f t="shared" si="2"/>
        <v>4.5550999999999817</v>
      </c>
    </row>
    <row r="119" spans="1:8" ht="13" x14ac:dyDescent="0.15">
      <c r="A119" s="12">
        <v>45672</v>
      </c>
      <c r="B119" s="13" t="s">
        <v>4</v>
      </c>
      <c r="C119" s="14">
        <v>0.95789999999999997</v>
      </c>
      <c r="D119" s="16">
        <v>451</v>
      </c>
      <c r="E119" s="17">
        <f t="shared" si="6"/>
        <v>18.987099999999998</v>
      </c>
      <c r="F119" s="18">
        <f t="shared" si="1"/>
        <v>1044.2904999999998</v>
      </c>
      <c r="G119" s="19">
        <f t="shared" si="3"/>
        <v>22.550000000000011</v>
      </c>
      <c r="H119" s="20">
        <f t="shared" si="2"/>
        <v>3.5629000000000133</v>
      </c>
    </row>
    <row r="120" spans="1:8" ht="13" x14ac:dyDescent="0.15">
      <c r="A120" s="12">
        <v>45673</v>
      </c>
      <c r="B120" s="13" t="s">
        <v>5</v>
      </c>
      <c r="C120" s="14">
        <v>0.92459999999999998</v>
      </c>
      <c r="D120" s="16">
        <v>451</v>
      </c>
      <c r="E120" s="17">
        <f t="shared" si="6"/>
        <v>34.005400000000009</v>
      </c>
      <c r="F120" s="18">
        <f t="shared" si="1"/>
        <v>1870.2970000000005</v>
      </c>
      <c r="G120" s="19">
        <f t="shared" si="3"/>
        <v>22.550000000000011</v>
      </c>
      <c r="H120" s="20">
        <f t="shared" si="2"/>
        <v>-11.455399999999997</v>
      </c>
    </row>
    <row r="121" spans="1:8" ht="13" x14ac:dyDescent="0.15">
      <c r="A121" s="12">
        <v>45674</v>
      </c>
      <c r="B121" s="13" t="s">
        <v>6</v>
      </c>
      <c r="C121" s="14">
        <v>0.95109999999999995</v>
      </c>
      <c r="D121" s="16">
        <v>450</v>
      </c>
      <c r="E121" s="17">
        <f t="shared" si="6"/>
        <v>22.005000000000052</v>
      </c>
      <c r="F121" s="18">
        <f t="shared" si="1"/>
        <v>1210.2750000000028</v>
      </c>
      <c r="G121" s="19">
        <f t="shared" si="3"/>
        <v>22.5</v>
      </c>
      <c r="H121" s="20">
        <f t="shared" si="2"/>
        <v>0.4949999999999477</v>
      </c>
    </row>
    <row r="122" spans="1:8" ht="13" x14ac:dyDescent="0.15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3" x14ac:dyDescent="0.15">
      <c r="A123" s="12">
        <v>45678</v>
      </c>
      <c r="B123" s="13" t="s">
        <v>3</v>
      </c>
      <c r="C123" s="15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3" x14ac:dyDescent="0.15">
      <c r="A124" s="12">
        <v>45679</v>
      </c>
      <c r="B124" s="13" t="s">
        <v>4</v>
      </c>
      <c r="C124" s="15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3" x14ac:dyDescent="0.15">
      <c r="A125" s="12">
        <v>45680</v>
      </c>
      <c r="B125" s="13" t="s">
        <v>5</v>
      </c>
      <c r="C125" s="14">
        <v>0.91110000000000002</v>
      </c>
      <c r="D125" s="16">
        <v>450</v>
      </c>
      <c r="E125" s="17">
        <f t="shared" si="6"/>
        <v>40.004999999999995</v>
      </c>
      <c r="F125" s="18">
        <f t="shared" si="1"/>
        <v>2200.2749999999996</v>
      </c>
      <c r="G125" s="19">
        <f t="shared" si="3"/>
        <v>22.5</v>
      </c>
      <c r="H125" s="20">
        <f t="shared" si="2"/>
        <v>-17.504999999999995</v>
      </c>
    </row>
    <row r="126" spans="1:8" ht="13" x14ac:dyDescent="0.15">
      <c r="A126" s="12">
        <v>45681</v>
      </c>
      <c r="B126" s="13" t="s">
        <v>6</v>
      </c>
      <c r="C126" s="14">
        <v>0.94220000000000004</v>
      </c>
      <c r="D126" s="16">
        <v>450</v>
      </c>
      <c r="E126" s="17">
        <f t="shared" si="6"/>
        <v>26.009999999999991</v>
      </c>
      <c r="F126" s="18">
        <f t="shared" si="1"/>
        <v>1430.5499999999995</v>
      </c>
      <c r="G126" s="19">
        <f t="shared" si="3"/>
        <v>22.5</v>
      </c>
      <c r="H126" s="20">
        <f t="shared" si="2"/>
        <v>-3.5099999999999909</v>
      </c>
    </row>
    <row r="127" spans="1:8" ht="13" x14ac:dyDescent="0.15">
      <c r="A127" s="12">
        <v>45684</v>
      </c>
      <c r="B127" s="13" t="s">
        <v>2</v>
      </c>
      <c r="C127" s="14">
        <v>0.96220000000000006</v>
      </c>
      <c r="D127" s="16">
        <v>450</v>
      </c>
      <c r="E127" s="17">
        <f t="shared" si="6"/>
        <v>17.009999999999991</v>
      </c>
      <c r="F127" s="18">
        <f t="shared" si="1"/>
        <v>935.5499999999995</v>
      </c>
      <c r="G127" s="19">
        <f t="shared" si="3"/>
        <v>22.5</v>
      </c>
      <c r="H127" s="20">
        <f t="shared" si="2"/>
        <v>5.4900000000000091</v>
      </c>
    </row>
    <row r="128" spans="1:8" ht="13" x14ac:dyDescent="0.15">
      <c r="A128" s="12">
        <v>45685</v>
      </c>
      <c r="B128" s="13" t="s">
        <v>3</v>
      </c>
      <c r="C128" s="14">
        <v>0.9778</v>
      </c>
      <c r="D128" s="16">
        <v>450</v>
      </c>
      <c r="E128" s="17">
        <f t="shared" si="6"/>
        <v>9.9900000000000091</v>
      </c>
      <c r="F128" s="18">
        <f t="shared" si="1"/>
        <v>549.4500000000005</v>
      </c>
      <c r="G128" s="19">
        <f t="shared" si="3"/>
        <v>22.5</v>
      </c>
      <c r="H128" s="20">
        <f t="shared" si="2"/>
        <v>12.509999999999991</v>
      </c>
    </row>
    <row r="129" spans="1:8" ht="13" x14ac:dyDescent="0.15">
      <c r="A129" s="12">
        <v>45686</v>
      </c>
      <c r="B129" s="13" t="s">
        <v>4</v>
      </c>
      <c r="C129" s="14">
        <v>0.97560000000000002</v>
      </c>
      <c r="D129" s="16">
        <v>450</v>
      </c>
      <c r="E129" s="17">
        <f t="shared" si="6"/>
        <v>10.980000000000018</v>
      </c>
      <c r="F129" s="18">
        <f t="shared" si="1"/>
        <v>603.900000000001</v>
      </c>
      <c r="G129" s="19">
        <f t="shared" si="3"/>
        <v>22.5</v>
      </c>
      <c r="H129" s="20">
        <f t="shared" si="2"/>
        <v>11.519999999999982</v>
      </c>
    </row>
    <row r="130" spans="1:8" ht="13" x14ac:dyDescent="0.15">
      <c r="A130" s="12">
        <v>45687</v>
      </c>
      <c r="B130" s="13" t="s">
        <v>5</v>
      </c>
      <c r="C130" s="14">
        <v>0.98</v>
      </c>
      <c r="D130" s="16">
        <v>450</v>
      </c>
      <c r="E130" s="17">
        <f t="shared" si="6"/>
        <v>9</v>
      </c>
      <c r="F130" s="18">
        <f t="shared" si="1"/>
        <v>495</v>
      </c>
      <c r="G130" s="19">
        <f t="shared" si="3"/>
        <v>22.5</v>
      </c>
      <c r="H130" s="20">
        <f t="shared" si="2"/>
        <v>13.5</v>
      </c>
    </row>
    <row r="131" spans="1:8" ht="13" x14ac:dyDescent="0.15">
      <c r="A131" s="12">
        <v>45688</v>
      </c>
      <c r="B131" s="13" t="s">
        <v>6</v>
      </c>
      <c r="C131" s="14">
        <v>0.96</v>
      </c>
      <c r="D131" s="16">
        <v>450</v>
      </c>
      <c r="E131" s="17">
        <f t="shared" si="6"/>
        <v>18</v>
      </c>
      <c r="F131" s="18">
        <f t="shared" si="1"/>
        <v>990</v>
      </c>
      <c r="G131" s="19">
        <f t="shared" si="3"/>
        <v>22.5</v>
      </c>
      <c r="H131" s="20">
        <f t="shared" si="2"/>
        <v>4.5</v>
      </c>
    </row>
    <row r="132" spans="1:8" ht="13" x14ac:dyDescent="0.15">
      <c r="A132" s="12">
        <v>45691</v>
      </c>
      <c r="B132" s="13" t="s">
        <v>2</v>
      </c>
      <c r="C132" s="14">
        <v>0.8911</v>
      </c>
      <c r="D132" s="16">
        <v>450</v>
      </c>
      <c r="E132" s="17">
        <f t="shared" si="6"/>
        <v>49.004999999999995</v>
      </c>
      <c r="F132" s="18">
        <f t="shared" si="1"/>
        <v>2695.2749999999996</v>
      </c>
      <c r="G132" s="19">
        <f t="shared" si="3"/>
        <v>22.5</v>
      </c>
      <c r="H132" s="20">
        <f t="shared" si="2"/>
        <v>-26.504999999999995</v>
      </c>
    </row>
    <row r="133" spans="1:8" ht="13" x14ac:dyDescent="0.15">
      <c r="A133" s="12">
        <v>45692</v>
      </c>
      <c r="B133" s="13" t="s">
        <v>3</v>
      </c>
      <c r="C133" s="14">
        <v>0.9667</v>
      </c>
      <c r="D133" s="16">
        <v>450</v>
      </c>
      <c r="E133" s="17">
        <f t="shared" si="6"/>
        <v>14.985000000000014</v>
      </c>
      <c r="F133" s="18">
        <f t="shared" si="1"/>
        <v>824.17500000000075</v>
      </c>
      <c r="G133" s="19">
        <f t="shared" si="3"/>
        <v>22.5</v>
      </c>
      <c r="H133" s="20">
        <f t="shared" si="2"/>
        <v>7.5149999999999864</v>
      </c>
    </row>
    <row r="134" spans="1:8" ht="13" x14ac:dyDescent="0.15">
      <c r="A134" s="12">
        <v>45693</v>
      </c>
      <c r="B134" s="13" t="s">
        <v>4</v>
      </c>
      <c r="C134" s="14">
        <v>0.96760000000000002</v>
      </c>
      <c r="D134" s="16">
        <v>450</v>
      </c>
      <c r="E134" s="17">
        <f t="shared" si="6"/>
        <v>14.579999999999984</v>
      </c>
      <c r="F134" s="18">
        <f t="shared" si="1"/>
        <v>801.89999999999918</v>
      </c>
      <c r="G134" s="19">
        <f t="shared" si="3"/>
        <v>22.5</v>
      </c>
      <c r="H134" s="20">
        <f t="shared" si="2"/>
        <v>7.9200000000000159</v>
      </c>
    </row>
    <row r="135" spans="1:8" ht="13" x14ac:dyDescent="0.15">
      <c r="A135" s="12">
        <v>45694</v>
      </c>
      <c r="B135" s="13" t="s">
        <v>5</v>
      </c>
      <c r="C135" s="14">
        <v>0.98</v>
      </c>
      <c r="D135" s="16">
        <v>450</v>
      </c>
      <c r="E135" s="17">
        <f t="shared" ref="E135:E180" si="7">D135-(C135*D135)</f>
        <v>9</v>
      </c>
      <c r="F135" s="18">
        <f t="shared" si="1"/>
        <v>495</v>
      </c>
      <c r="G135" s="19">
        <f t="shared" si="3"/>
        <v>22.5</v>
      </c>
      <c r="H135" s="20">
        <f t="shared" si="2"/>
        <v>13.5</v>
      </c>
    </row>
    <row r="136" spans="1:8" ht="13" x14ac:dyDescent="0.15">
      <c r="A136" s="12">
        <v>45695</v>
      </c>
      <c r="B136" s="13" t="s">
        <v>6</v>
      </c>
      <c r="C136" s="14">
        <v>0.9667</v>
      </c>
      <c r="D136" s="16">
        <v>450</v>
      </c>
      <c r="E136" s="17">
        <f t="shared" si="7"/>
        <v>14.985000000000014</v>
      </c>
      <c r="F136" s="18">
        <f t="shared" si="1"/>
        <v>824.17500000000075</v>
      </c>
      <c r="G136" s="19">
        <f t="shared" si="3"/>
        <v>22.5</v>
      </c>
      <c r="H136" s="20">
        <f t="shared" si="2"/>
        <v>7.5149999999999864</v>
      </c>
    </row>
    <row r="137" spans="1:8" ht="13" x14ac:dyDescent="0.15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3" x14ac:dyDescent="0.15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3" x14ac:dyDescent="0.15">
      <c r="A139" s="12">
        <v>45700</v>
      </c>
      <c r="B139" s="13" t="s">
        <v>4</v>
      </c>
      <c r="C139" s="14">
        <v>0.9556</v>
      </c>
      <c r="D139" s="16">
        <v>450</v>
      </c>
      <c r="E139" s="17">
        <f t="shared" si="7"/>
        <v>19.980000000000018</v>
      </c>
      <c r="F139" s="18">
        <f t="shared" si="1"/>
        <v>1098.900000000001</v>
      </c>
      <c r="G139" s="19">
        <f t="shared" si="3"/>
        <v>22.5</v>
      </c>
      <c r="H139" s="20">
        <f t="shared" si="2"/>
        <v>2.5199999999999818</v>
      </c>
    </row>
    <row r="140" spans="1:8" ht="13" x14ac:dyDescent="0.15">
      <c r="A140" s="12">
        <v>45701</v>
      </c>
      <c r="B140" s="13" t="s">
        <v>5</v>
      </c>
      <c r="C140" s="14">
        <v>0.98</v>
      </c>
      <c r="D140" s="16">
        <v>450</v>
      </c>
      <c r="E140" s="17">
        <f t="shared" si="7"/>
        <v>9</v>
      </c>
      <c r="F140" s="18">
        <f t="shared" si="1"/>
        <v>495</v>
      </c>
      <c r="G140" s="19">
        <f t="shared" si="3"/>
        <v>22.5</v>
      </c>
      <c r="H140" s="20">
        <f t="shared" si="2"/>
        <v>13.5</v>
      </c>
    </row>
    <row r="141" spans="1:8" ht="13" x14ac:dyDescent="0.15">
      <c r="A141" s="12">
        <v>45702</v>
      </c>
      <c r="B141" s="13" t="s">
        <v>6</v>
      </c>
      <c r="C141" s="14">
        <v>0.94440000000000002</v>
      </c>
      <c r="D141" s="16">
        <v>450</v>
      </c>
      <c r="E141" s="17">
        <f t="shared" si="7"/>
        <v>25.019999999999982</v>
      </c>
      <c r="F141" s="18">
        <f t="shared" si="1"/>
        <v>1376.099999999999</v>
      </c>
      <c r="G141" s="19">
        <f t="shared" si="3"/>
        <v>22.5</v>
      </c>
      <c r="H141" s="20">
        <f t="shared" si="2"/>
        <v>-2.5199999999999818</v>
      </c>
    </row>
    <row r="142" spans="1:8" ht="13" x14ac:dyDescent="0.15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3" x14ac:dyDescent="0.15">
      <c r="A143" s="12">
        <v>45706</v>
      </c>
      <c r="B143" s="13" t="s">
        <v>3</v>
      </c>
      <c r="C143" s="14">
        <v>0.98</v>
      </c>
      <c r="D143" s="16">
        <v>449</v>
      </c>
      <c r="E143" s="17">
        <f t="shared" si="7"/>
        <v>8.9800000000000182</v>
      </c>
      <c r="F143" s="18">
        <f t="shared" si="1"/>
        <v>493.900000000001</v>
      </c>
      <c r="G143" s="19">
        <f t="shared" si="3"/>
        <v>22.450000000000045</v>
      </c>
      <c r="H143" s="20">
        <f t="shared" si="2"/>
        <v>13.470000000000027</v>
      </c>
    </row>
    <row r="144" spans="1:8" ht="13" x14ac:dyDescent="0.15">
      <c r="A144" s="12">
        <v>45707</v>
      </c>
      <c r="B144" s="13" t="s">
        <v>4</v>
      </c>
      <c r="C144" s="14">
        <v>0.9889</v>
      </c>
      <c r="D144" s="16">
        <v>449</v>
      </c>
      <c r="E144" s="17">
        <f t="shared" si="7"/>
        <v>4.9839000000000055</v>
      </c>
      <c r="F144" s="18">
        <f t="shared" si="1"/>
        <v>274.11450000000031</v>
      </c>
      <c r="G144" s="19">
        <f t="shared" si="3"/>
        <v>22.450000000000045</v>
      </c>
      <c r="H144" s="20">
        <f t="shared" si="2"/>
        <v>17.46610000000004</v>
      </c>
    </row>
    <row r="145" spans="1:8" ht="13" x14ac:dyDescent="0.15">
      <c r="A145" s="12">
        <v>45708</v>
      </c>
      <c r="B145" s="13" t="s">
        <v>5</v>
      </c>
      <c r="C145" s="14">
        <v>0.96660000000000001</v>
      </c>
      <c r="D145" s="16">
        <v>449</v>
      </c>
      <c r="E145" s="17">
        <f t="shared" si="7"/>
        <v>14.996600000000001</v>
      </c>
      <c r="F145" s="18">
        <f t="shared" si="1"/>
        <v>824.8130000000001</v>
      </c>
      <c r="G145" s="19">
        <f t="shared" si="3"/>
        <v>22.450000000000045</v>
      </c>
      <c r="H145" s="20">
        <f t="shared" si="2"/>
        <v>7.4534000000000447</v>
      </c>
    </row>
    <row r="146" spans="1:8" ht="13" x14ac:dyDescent="0.15">
      <c r="A146" s="12">
        <v>45709</v>
      </c>
      <c r="B146" s="13" t="s">
        <v>6</v>
      </c>
      <c r="C146" s="14">
        <v>0.94869999999999999</v>
      </c>
      <c r="D146" s="16">
        <v>448</v>
      </c>
      <c r="E146" s="17">
        <f t="shared" si="7"/>
        <v>22.982399999999984</v>
      </c>
      <c r="F146" s="18">
        <f t="shared" si="1"/>
        <v>1264.0319999999992</v>
      </c>
      <c r="G146" s="19">
        <f t="shared" si="3"/>
        <v>22.400000000000034</v>
      </c>
      <c r="H146" s="20">
        <f t="shared" si="2"/>
        <v>-0.58239999999995007</v>
      </c>
    </row>
    <row r="147" spans="1:8" ht="13" x14ac:dyDescent="0.15">
      <c r="A147" s="12">
        <v>45712</v>
      </c>
      <c r="B147" s="13" t="s">
        <v>2</v>
      </c>
      <c r="C147" s="14">
        <v>0.95760000000000001</v>
      </c>
      <c r="D147" s="16">
        <v>448</v>
      </c>
      <c r="E147" s="17">
        <f t="shared" si="7"/>
        <v>18.995200000000011</v>
      </c>
      <c r="F147" s="18">
        <f t="shared" si="1"/>
        <v>1044.7360000000006</v>
      </c>
      <c r="G147" s="19">
        <f t="shared" si="3"/>
        <v>22.400000000000034</v>
      </c>
      <c r="H147" s="20">
        <f t="shared" si="2"/>
        <v>3.4048000000000229</v>
      </c>
    </row>
    <row r="148" spans="1:8" ht="13" x14ac:dyDescent="0.15">
      <c r="A148" s="12">
        <v>45713</v>
      </c>
      <c r="B148" s="13" t="s">
        <v>3</v>
      </c>
      <c r="C148" s="14">
        <v>0.97319999999999995</v>
      </c>
      <c r="D148" s="16">
        <v>448</v>
      </c>
      <c r="E148" s="17">
        <f t="shared" si="7"/>
        <v>12.006400000000042</v>
      </c>
      <c r="F148" s="18">
        <f t="shared" si="1"/>
        <v>660.35200000000236</v>
      </c>
      <c r="G148" s="19">
        <f t="shared" si="3"/>
        <v>22.400000000000034</v>
      </c>
      <c r="H148" s="20">
        <f t="shared" si="2"/>
        <v>10.393599999999992</v>
      </c>
    </row>
    <row r="149" spans="1:8" ht="13" x14ac:dyDescent="0.15">
      <c r="A149" s="12">
        <v>45714</v>
      </c>
      <c r="B149" s="13" t="s">
        <v>4</v>
      </c>
      <c r="C149" s="14">
        <v>0.94869999999999999</v>
      </c>
      <c r="D149" s="16">
        <v>448</v>
      </c>
      <c r="E149" s="17">
        <f t="shared" si="7"/>
        <v>22.982399999999984</v>
      </c>
      <c r="F149" s="18">
        <f t="shared" si="1"/>
        <v>1264.0319999999992</v>
      </c>
      <c r="G149" s="19">
        <f t="shared" si="3"/>
        <v>22.400000000000034</v>
      </c>
      <c r="H149" s="20">
        <f t="shared" si="2"/>
        <v>-0.58239999999995007</v>
      </c>
    </row>
    <row r="150" spans="1:8" ht="13" x14ac:dyDescent="0.15">
      <c r="A150" s="12">
        <v>45715</v>
      </c>
      <c r="B150" s="13" t="s">
        <v>5</v>
      </c>
      <c r="C150" s="14">
        <v>0.94869999999999999</v>
      </c>
      <c r="D150" s="16">
        <v>448</v>
      </c>
      <c r="E150" s="17">
        <f t="shared" si="7"/>
        <v>22.982399999999984</v>
      </c>
      <c r="F150" s="18">
        <f t="shared" si="1"/>
        <v>1264.0319999999992</v>
      </c>
      <c r="G150" s="19">
        <f t="shared" si="3"/>
        <v>22.400000000000034</v>
      </c>
      <c r="H150" s="20">
        <f t="shared" si="2"/>
        <v>-0.58239999999995007</v>
      </c>
    </row>
    <row r="151" spans="1:8" ht="13" x14ac:dyDescent="0.15">
      <c r="A151" s="12">
        <v>45716</v>
      </c>
      <c r="B151" s="13" t="s">
        <v>6</v>
      </c>
      <c r="C151" s="14">
        <v>0.94420000000000004</v>
      </c>
      <c r="D151" s="16">
        <v>448</v>
      </c>
      <c r="E151" s="17">
        <f t="shared" si="7"/>
        <v>24.998400000000004</v>
      </c>
      <c r="F151" s="18">
        <f t="shared" si="1"/>
        <v>1374.9120000000003</v>
      </c>
      <c r="G151" s="19">
        <f t="shared" si="3"/>
        <v>22.400000000000034</v>
      </c>
      <c r="H151" s="20">
        <f t="shared" si="2"/>
        <v>-2.5983999999999696</v>
      </c>
    </row>
    <row r="152" spans="1:8" ht="13" x14ac:dyDescent="0.15">
      <c r="A152" s="12">
        <v>45719</v>
      </c>
      <c r="B152" s="13" t="s">
        <v>2</v>
      </c>
      <c r="C152" s="14">
        <v>0.93740000000000001</v>
      </c>
      <c r="D152" s="16">
        <v>447</v>
      </c>
      <c r="E152" s="17">
        <f t="shared" si="7"/>
        <v>27.982199999999978</v>
      </c>
      <c r="F152" s="18">
        <f t="shared" si="1"/>
        <v>1539.0209999999988</v>
      </c>
      <c r="G152" s="19">
        <f t="shared" si="3"/>
        <v>22.350000000000023</v>
      </c>
      <c r="H152" s="20">
        <f t="shared" si="2"/>
        <v>-5.6321999999999548</v>
      </c>
    </row>
    <row r="153" spans="1:8" ht="13" x14ac:dyDescent="0.15">
      <c r="A153" s="12">
        <v>45720</v>
      </c>
      <c r="B153" s="13" t="s">
        <v>3</v>
      </c>
      <c r="C153" s="14">
        <v>0.93530000000000002</v>
      </c>
      <c r="D153" s="16">
        <v>448</v>
      </c>
      <c r="E153" s="17">
        <f t="shared" si="7"/>
        <v>28.985599999999977</v>
      </c>
      <c r="F153" s="18">
        <f t="shared" si="1"/>
        <v>1594.2079999999987</v>
      </c>
      <c r="G153" s="19">
        <f t="shared" si="3"/>
        <v>22.400000000000034</v>
      </c>
      <c r="H153" s="20">
        <f t="shared" si="2"/>
        <v>-6.5855999999999426</v>
      </c>
    </row>
    <row r="154" spans="1:8" ht="13" x14ac:dyDescent="0.15">
      <c r="A154" s="12">
        <v>45721</v>
      </c>
      <c r="B154" s="13" t="s">
        <v>4</v>
      </c>
      <c r="C154" s="14">
        <v>0.98209999999999997</v>
      </c>
      <c r="D154" s="16">
        <v>448</v>
      </c>
      <c r="E154" s="17">
        <f t="shared" si="7"/>
        <v>8.0192000000000121</v>
      </c>
      <c r="F154" s="18">
        <f t="shared" si="1"/>
        <v>441.05600000000067</v>
      </c>
      <c r="G154" s="19">
        <f t="shared" si="3"/>
        <v>22.400000000000034</v>
      </c>
      <c r="H154" s="20">
        <f t="shared" si="2"/>
        <v>14.380800000000022</v>
      </c>
    </row>
    <row r="155" spans="1:8" ht="13" x14ac:dyDescent="0.15">
      <c r="A155" s="12">
        <v>45722</v>
      </c>
      <c r="B155" s="13" t="s">
        <v>5</v>
      </c>
      <c r="C155" s="14">
        <v>0.96209999999999996</v>
      </c>
      <c r="D155" s="16">
        <v>448</v>
      </c>
      <c r="E155" s="17">
        <f t="shared" si="7"/>
        <v>16.979199999999992</v>
      </c>
      <c r="F155" s="18">
        <f t="shared" si="1"/>
        <v>933.85599999999954</v>
      </c>
      <c r="G155" s="19">
        <f t="shared" si="3"/>
        <v>22.400000000000034</v>
      </c>
      <c r="H155" s="20">
        <f t="shared" si="2"/>
        <v>5.4208000000000425</v>
      </c>
    </row>
    <row r="156" spans="1:8" ht="13" x14ac:dyDescent="0.15">
      <c r="A156" s="12">
        <v>45723</v>
      </c>
      <c r="B156" s="13" t="s">
        <v>6</v>
      </c>
      <c r="C156" s="14">
        <v>0.91069999999999995</v>
      </c>
      <c r="D156" s="16">
        <v>448</v>
      </c>
      <c r="E156" s="17">
        <f t="shared" si="7"/>
        <v>40.006400000000042</v>
      </c>
      <c r="F156" s="18">
        <f t="shared" si="1"/>
        <v>2200.3520000000021</v>
      </c>
      <c r="G156" s="19">
        <f t="shared" si="3"/>
        <v>22.400000000000034</v>
      </c>
      <c r="H156" s="20">
        <f t="shared" si="2"/>
        <v>-17.606400000000008</v>
      </c>
    </row>
    <row r="157" spans="1:8" ht="13" x14ac:dyDescent="0.15">
      <c r="A157" s="34">
        <v>45726</v>
      </c>
      <c r="B157" s="35" t="s">
        <v>2</v>
      </c>
      <c r="C157" s="14">
        <v>0.95979999999999999</v>
      </c>
      <c r="D157" s="16">
        <v>448</v>
      </c>
      <c r="E157" s="17">
        <f t="shared" si="7"/>
        <v>18.009599999999978</v>
      </c>
      <c r="F157" s="18">
        <f t="shared" si="1"/>
        <v>990.52799999999877</v>
      </c>
      <c r="G157" s="19">
        <f t="shared" si="3"/>
        <v>22.400000000000034</v>
      </c>
      <c r="H157" s="20">
        <f t="shared" si="2"/>
        <v>4.3904000000000565</v>
      </c>
    </row>
    <row r="158" spans="1:8" ht="15.75" customHeight="1" x14ac:dyDescent="0.15">
      <c r="A158" s="34">
        <v>45727</v>
      </c>
      <c r="B158" s="35" t="s">
        <v>3</v>
      </c>
      <c r="C158" s="79">
        <v>0.93240000000000001</v>
      </c>
      <c r="D158" s="81">
        <v>2588</v>
      </c>
      <c r="E158" s="17">
        <f t="shared" si="7"/>
        <v>174.94880000000012</v>
      </c>
      <c r="F158" s="18">
        <f t="shared" si="1"/>
        <v>9622.1840000000066</v>
      </c>
      <c r="G158" s="19">
        <f t="shared" si="3"/>
        <v>129.40000000000009</v>
      </c>
      <c r="H158" s="20">
        <f t="shared" si="2"/>
        <v>-45.548800000000028</v>
      </c>
    </row>
    <row r="159" spans="1:8" ht="15.75" customHeight="1" x14ac:dyDescent="0.15">
      <c r="A159" s="34">
        <v>45728</v>
      </c>
      <c r="B159" s="35" t="s">
        <v>4</v>
      </c>
      <c r="C159" s="79">
        <v>0.93779999999999997</v>
      </c>
      <c r="D159" s="81">
        <v>2588</v>
      </c>
      <c r="E159" s="17">
        <f t="shared" si="7"/>
        <v>160.97360000000026</v>
      </c>
      <c r="F159" s="18">
        <f t="shared" ref="F159:F180" si="8">E159*$E$5</f>
        <v>8853.5480000000134</v>
      </c>
      <c r="G159" s="19">
        <f t="shared" ref="G159:G180" si="9">D159-(D159*G$3)</f>
        <v>129.40000000000009</v>
      </c>
      <c r="H159" s="20">
        <f t="shared" ref="H159:H180" si="10">G159-E159</f>
        <v>-31.57360000000017</v>
      </c>
    </row>
    <row r="160" spans="1:8" ht="15.75" customHeight="1" x14ac:dyDescent="0.15">
      <c r="A160" s="34">
        <v>45729</v>
      </c>
      <c r="B160" s="35" t="s">
        <v>5</v>
      </c>
      <c r="C160" s="79">
        <v>0.93899999999999995</v>
      </c>
      <c r="D160" s="81">
        <v>2589</v>
      </c>
      <c r="E160" s="17">
        <f t="shared" si="7"/>
        <v>157.92900000000009</v>
      </c>
      <c r="F160" s="18">
        <f t="shared" si="8"/>
        <v>8686.0950000000048</v>
      </c>
      <c r="G160" s="19">
        <f t="shared" si="9"/>
        <v>129.45000000000027</v>
      </c>
      <c r="H160" s="20">
        <f t="shared" si="10"/>
        <v>-28.478999999999814</v>
      </c>
    </row>
    <row r="161" spans="1:8" ht="15.75" customHeight="1" x14ac:dyDescent="0.15">
      <c r="A161" s="34">
        <v>45730</v>
      </c>
      <c r="B161" s="35" t="s">
        <v>6</v>
      </c>
      <c r="C161" s="79">
        <v>0.8992</v>
      </c>
      <c r="D161" s="81">
        <v>2589</v>
      </c>
      <c r="E161" s="17">
        <f t="shared" si="7"/>
        <v>260.97119999999995</v>
      </c>
      <c r="F161" s="18">
        <f t="shared" si="8"/>
        <v>14353.415999999997</v>
      </c>
      <c r="G161" s="19">
        <f t="shared" si="9"/>
        <v>129.45000000000027</v>
      </c>
      <c r="H161" s="20">
        <f t="shared" si="10"/>
        <v>-131.52119999999968</v>
      </c>
    </row>
    <row r="162" spans="1:8" ht="15.75" customHeight="1" x14ac:dyDescent="0.15">
      <c r="A162" s="21">
        <v>45733</v>
      </c>
      <c r="B162" s="22" t="s">
        <v>2</v>
      </c>
      <c r="C162" s="80"/>
      <c r="D162" s="82"/>
      <c r="E162" s="17">
        <f t="shared" si="7"/>
        <v>0</v>
      </c>
      <c r="F162" s="18">
        <f t="shared" si="8"/>
        <v>0</v>
      </c>
      <c r="G162" s="19">
        <f t="shared" si="9"/>
        <v>0</v>
      </c>
      <c r="H162" s="20">
        <f t="shared" si="10"/>
        <v>0</v>
      </c>
    </row>
    <row r="163" spans="1:8" ht="15.75" customHeight="1" x14ac:dyDescent="0.15">
      <c r="A163" s="21">
        <v>45734</v>
      </c>
      <c r="B163" s="22" t="s">
        <v>3</v>
      </c>
      <c r="C163" s="80"/>
      <c r="D163" s="82"/>
      <c r="E163" s="17">
        <f t="shared" si="7"/>
        <v>0</v>
      </c>
      <c r="F163" s="18">
        <f t="shared" si="8"/>
        <v>0</v>
      </c>
      <c r="G163" s="19">
        <f t="shared" si="9"/>
        <v>0</v>
      </c>
      <c r="H163" s="20">
        <f t="shared" si="10"/>
        <v>0</v>
      </c>
    </row>
    <row r="164" spans="1:8" ht="15.75" customHeight="1" x14ac:dyDescent="0.15">
      <c r="A164" s="21">
        <v>45735</v>
      </c>
      <c r="B164" s="22" t="s">
        <v>4</v>
      </c>
      <c r="C164" s="80"/>
      <c r="D164" s="82"/>
      <c r="E164" s="17">
        <f t="shared" si="7"/>
        <v>0</v>
      </c>
      <c r="F164" s="18">
        <f t="shared" si="8"/>
        <v>0</v>
      </c>
      <c r="G164" s="19">
        <f t="shared" si="9"/>
        <v>0</v>
      </c>
      <c r="H164" s="20">
        <f t="shared" si="10"/>
        <v>0</v>
      </c>
    </row>
    <row r="165" spans="1:8" ht="15.75" customHeight="1" x14ac:dyDescent="0.15">
      <c r="A165" s="21">
        <v>45736</v>
      </c>
      <c r="B165" s="22" t="s">
        <v>5</v>
      </c>
      <c r="C165" s="80"/>
      <c r="D165" s="82"/>
      <c r="E165" s="17">
        <f t="shared" si="7"/>
        <v>0</v>
      </c>
      <c r="F165" s="18">
        <f t="shared" si="8"/>
        <v>0</v>
      </c>
      <c r="G165" s="19">
        <f t="shared" si="9"/>
        <v>0</v>
      </c>
      <c r="H165" s="20">
        <f t="shared" si="10"/>
        <v>0</v>
      </c>
    </row>
    <row r="166" spans="1:8" ht="15.75" customHeight="1" x14ac:dyDescent="0.15">
      <c r="A166" s="21">
        <v>45737</v>
      </c>
      <c r="B166" s="22" t="s">
        <v>6</v>
      </c>
      <c r="C166" s="80"/>
      <c r="D166" s="82"/>
      <c r="E166" s="17">
        <f t="shared" si="7"/>
        <v>0</v>
      </c>
      <c r="F166" s="18">
        <f t="shared" si="8"/>
        <v>0</v>
      </c>
      <c r="G166" s="19">
        <f t="shared" si="9"/>
        <v>0</v>
      </c>
      <c r="H166" s="20">
        <f t="shared" si="10"/>
        <v>0</v>
      </c>
    </row>
    <row r="167" spans="1:8" ht="15.75" customHeight="1" x14ac:dyDescent="0.15">
      <c r="A167" s="12">
        <v>45740</v>
      </c>
      <c r="B167" s="13" t="s">
        <v>2</v>
      </c>
      <c r="C167" s="79">
        <v>0.92930000000000001</v>
      </c>
      <c r="D167" s="81">
        <v>2588</v>
      </c>
      <c r="E167" s="17">
        <f t="shared" si="7"/>
        <v>182.97159999999985</v>
      </c>
      <c r="F167" s="18">
        <f t="shared" si="8"/>
        <v>10063.437999999991</v>
      </c>
      <c r="G167" s="19">
        <f t="shared" si="9"/>
        <v>129.40000000000009</v>
      </c>
      <c r="H167" s="20">
        <f t="shared" si="10"/>
        <v>-53.571599999999762</v>
      </c>
    </row>
    <row r="168" spans="1:8" ht="15.75" customHeight="1" x14ac:dyDescent="0.15">
      <c r="A168" s="12">
        <v>45741</v>
      </c>
      <c r="B168" s="13" t="s">
        <v>3</v>
      </c>
      <c r="C168" s="79">
        <v>0.95009999999999994</v>
      </c>
      <c r="D168" s="81">
        <v>2587</v>
      </c>
      <c r="E168" s="17">
        <f t="shared" si="7"/>
        <v>129.09130000000005</v>
      </c>
      <c r="F168" s="18">
        <f t="shared" si="8"/>
        <v>7100.0215000000026</v>
      </c>
      <c r="G168" s="19">
        <f t="shared" si="9"/>
        <v>129.34999999999991</v>
      </c>
      <c r="H168" s="20">
        <f t="shared" si="10"/>
        <v>0.25869999999986248</v>
      </c>
    </row>
    <row r="169" spans="1:8" ht="15.75" customHeight="1" x14ac:dyDescent="0.15">
      <c r="A169" s="12">
        <v>45742</v>
      </c>
      <c r="B169" s="13" t="s">
        <v>4</v>
      </c>
      <c r="C169" s="79">
        <v>0.94279999999999997</v>
      </c>
      <c r="D169" s="81">
        <v>2586</v>
      </c>
      <c r="E169" s="17">
        <f t="shared" si="7"/>
        <v>147.91920000000027</v>
      </c>
      <c r="F169" s="18">
        <f t="shared" si="8"/>
        <v>8135.556000000015</v>
      </c>
      <c r="G169" s="19">
        <f t="shared" si="9"/>
        <v>129.30000000000018</v>
      </c>
      <c r="H169" s="20">
        <f t="shared" si="10"/>
        <v>-18.619200000000092</v>
      </c>
    </row>
    <row r="170" spans="1:8" ht="15.75" customHeight="1" x14ac:dyDescent="0.15">
      <c r="A170" s="12">
        <v>45743</v>
      </c>
      <c r="B170" s="13" t="s">
        <v>5</v>
      </c>
      <c r="C170" s="79">
        <v>0.96679999999999999</v>
      </c>
      <c r="D170" s="81">
        <v>2588</v>
      </c>
      <c r="E170" s="17">
        <f t="shared" si="7"/>
        <v>85.921600000000126</v>
      </c>
      <c r="F170" s="18">
        <f t="shared" si="8"/>
        <v>4725.6880000000074</v>
      </c>
      <c r="G170" s="19">
        <f t="shared" si="9"/>
        <v>129.40000000000009</v>
      </c>
      <c r="H170" s="20">
        <f t="shared" si="10"/>
        <v>43.478399999999965</v>
      </c>
    </row>
    <row r="171" spans="1:8" ht="15.75" customHeight="1" x14ac:dyDescent="0.15">
      <c r="A171" s="12">
        <v>45744</v>
      </c>
      <c r="B171" s="13" t="s">
        <v>6</v>
      </c>
      <c r="C171" s="79">
        <v>0.92849999999999999</v>
      </c>
      <c r="D171" s="81">
        <v>2586</v>
      </c>
      <c r="E171" s="17">
        <f t="shared" si="7"/>
        <v>184.89899999999989</v>
      </c>
      <c r="F171" s="18">
        <f t="shared" si="8"/>
        <v>10169.444999999994</v>
      </c>
      <c r="G171" s="19">
        <f t="shared" si="9"/>
        <v>129.30000000000018</v>
      </c>
      <c r="H171" s="20">
        <f t="shared" si="10"/>
        <v>-55.598999999999705</v>
      </c>
    </row>
    <row r="172" spans="1:8" ht="15.75" customHeight="1" x14ac:dyDescent="0.15">
      <c r="A172" s="12">
        <v>45747</v>
      </c>
      <c r="B172" s="13" t="s">
        <v>2</v>
      </c>
      <c r="C172" s="79">
        <v>0.92349999999999999</v>
      </c>
      <c r="D172" s="81">
        <v>2588</v>
      </c>
      <c r="E172" s="17">
        <f t="shared" si="7"/>
        <v>197.98199999999997</v>
      </c>
      <c r="F172" s="18">
        <f t="shared" si="8"/>
        <v>10889.009999999998</v>
      </c>
      <c r="G172" s="19">
        <f t="shared" si="9"/>
        <v>129.40000000000009</v>
      </c>
      <c r="H172" s="20">
        <f t="shared" si="10"/>
        <v>-68.58199999999988</v>
      </c>
    </row>
    <row r="173" spans="1:8" ht="15.75" customHeight="1" x14ac:dyDescent="0.15">
      <c r="A173" s="12">
        <v>45748</v>
      </c>
      <c r="B173" s="13" t="s">
        <v>3</v>
      </c>
      <c r="C173" s="79">
        <v>0.90669999999999995</v>
      </c>
      <c r="D173" s="81">
        <v>2583</v>
      </c>
      <c r="E173" s="17">
        <f t="shared" si="7"/>
        <v>240.99389999999994</v>
      </c>
      <c r="F173" s="18">
        <f t="shared" si="8"/>
        <v>13254.664499999997</v>
      </c>
      <c r="G173" s="19">
        <f t="shared" si="9"/>
        <v>129.15000000000009</v>
      </c>
      <c r="H173" s="20">
        <f t="shared" si="10"/>
        <v>-111.84389999999985</v>
      </c>
    </row>
    <row r="174" spans="1:8" ht="15.75" customHeight="1" x14ac:dyDescent="0.15">
      <c r="A174" s="12">
        <v>45749</v>
      </c>
      <c r="B174" s="13" t="s">
        <v>4</v>
      </c>
      <c r="C174" s="79">
        <v>0.95279999999999998</v>
      </c>
      <c r="D174" s="81">
        <v>2583</v>
      </c>
      <c r="E174" s="17">
        <f t="shared" si="7"/>
        <v>121.91760000000022</v>
      </c>
      <c r="F174" s="18">
        <f t="shared" si="8"/>
        <v>6705.4680000000117</v>
      </c>
      <c r="G174" s="19">
        <f t="shared" si="9"/>
        <v>129.15000000000009</v>
      </c>
      <c r="H174" s="20">
        <f t="shared" si="10"/>
        <v>7.2323999999998705</v>
      </c>
    </row>
    <row r="175" spans="1:8" ht="15.75" customHeight="1" x14ac:dyDescent="0.15">
      <c r="A175" s="12">
        <v>45750</v>
      </c>
      <c r="B175" s="13" t="s">
        <v>5</v>
      </c>
      <c r="C175" s="79">
        <v>0.92379999999999995</v>
      </c>
      <c r="D175" s="81">
        <v>2584</v>
      </c>
      <c r="E175" s="17">
        <f t="shared" si="7"/>
        <v>196.90080000000034</v>
      </c>
      <c r="F175" s="18">
        <f t="shared" si="8"/>
        <v>10829.54400000002</v>
      </c>
      <c r="G175" s="19">
        <f t="shared" si="9"/>
        <v>129.20000000000027</v>
      </c>
      <c r="H175" s="20">
        <f t="shared" si="10"/>
        <v>-67.700800000000072</v>
      </c>
    </row>
    <row r="176" spans="1:8" ht="15.75" customHeight="1" x14ac:dyDescent="0.15">
      <c r="A176" s="12">
        <v>45751</v>
      </c>
      <c r="B176" s="13" t="s">
        <v>6</v>
      </c>
      <c r="C176" s="79">
        <v>0.93259999999999998</v>
      </c>
      <c r="D176" s="81">
        <v>2583</v>
      </c>
      <c r="E176" s="17">
        <f t="shared" si="7"/>
        <v>174.0942</v>
      </c>
      <c r="F176" s="18">
        <f t="shared" si="8"/>
        <v>9575.1810000000005</v>
      </c>
      <c r="G176" s="19">
        <f t="shared" si="9"/>
        <v>129.15000000000009</v>
      </c>
      <c r="H176" s="20">
        <f t="shared" si="10"/>
        <v>-44.94419999999991</v>
      </c>
    </row>
    <row r="177" spans="1:8" ht="15.75" customHeight="1" x14ac:dyDescent="0.15">
      <c r="A177" s="12">
        <v>45754</v>
      </c>
      <c r="B177" s="13" t="s">
        <v>2</v>
      </c>
      <c r="C177" s="79">
        <v>0.93179999999999996</v>
      </c>
      <c r="D177" s="81">
        <v>2582</v>
      </c>
      <c r="E177" s="17">
        <f t="shared" si="7"/>
        <v>176.0924</v>
      </c>
      <c r="F177" s="18">
        <f t="shared" si="8"/>
        <v>9685.0820000000003</v>
      </c>
      <c r="G177" s="19">
        <f t="shared" si="9"/>
        <v>129.09999999999991</v>
      </c>
      <c r="H177" s="20">
        <f t="shared" si="10"/>
        <v>-46.992400000000089</v>
      </c>
    </row>
    <row r="178" spans="1:8" ht="15.75" customHeight="1" x14ac:dyDescent="0.15">
      <c r="A178" s="12">
        <v>45755</v>
      </c>
      <c r="B178" s="13" t="s">
        <v>3</v>
      </c>
      <c r="C178" s="79">
        <v>0.96089999999999998</v>
      </c>
      <c r="D178" s="81">
        <v>2582</v>
      </c>
      <c r="E178" s="17">
        <f t="shared" si="7"/>
        <v>100.95620000000008</v>
      </c>
      <c r="F178" s="18">
        <f t="shared" si="8"/>
        <v>5552.591000000004</v>
      </c>
      <c r="G178" s="19">
        <f t="shared" si="9"/>
        <v>129.09999999999991</v>
      </c>
      <c r="H178" s="20">
        <f t="shared" si="10"/>
        <v>28.143799999999828</v>
      </c>
    </row>
    <row r="179" spans="1:8" ht="15.75" customHeight="1" x14ac:dyDescent="0.15">
      <c r="A179" s="12">
        <v>45756</v>
      </c>
      <c r="B179" s="13" t="s">
        <v>4</v>
      </c>
      <c r="C179" s="79">
        <v>0.93259999999999998</v>
      </c>
      <c r="D179" s="81">
        <v>2583</v>
      </c>
      <c r="E179" s="17">
        <f t="shared" si="7"/>
        <v>174.0942</v>
      </c>
      <c r="F179" s="18">
        <f t="shared" si="8"/>
        <v>9575.1810000000005</v>
      </c>
      <c r="G179" s="19">
        <f t="shared" si="9"/>
        <v>129.15000000000009</v>
      </c>
      <c r="H179" s="20">
        <f t="shared" si="10"/>
        <v>-44.94419999999991</v>
      </c>
    </row>
    <row r="180" spans="1:8" ht="15.75" customHeight="1" x14ac:dyDescent="0.15">
      <c r="A180" s="12">
        <v>45757</v>
      </c>
      <c r="B180" s="13" t="s">
        <v>5</v>
      </c>
      <c r="C180" s="79">
        <v>0.9748</v>
      </c>
      <c r="D180" s="81">
        <v>8582</v>
      </c>
      <c r="E180" s="17">
        <f t="shared" si="7"/>
        <v>216.26640000000043</v>
      </c>
      <c r="F180" s="18">
        <f t="shared" si="8"/>
        <v>11894.652000000024</v>
      </c>
      <c r="G180" s="19">
        <f t="shared" si="9"/>
        <v>429.10000000000036</v>
      </c>
      <c r="H180" s="20">
        <f t="shared" si="10"/>
        <v>212.83359999999993</v>
      </c>
    </row>
  </sheetData>
  <autoFilter ref="A6:F157" xr:uid="{00000000-0009-0000-0000-00000D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7">
    <cfRule type="cellIs" dxfId="43" priority="7" operator="lessThan">
      <formula>"92%"</formula>
    </cfRule>
  </conditionalFormatting>
  <conditionalFormatting sqref="C7:C157">
    <cfRule type="cellIs" dxfId="42" priority="4" operator="lessThan">
      <formula>"90%"</formula>
    </cfRule>
    <cfRule type="cellIs" dxfId="41" priority="5" operator="lessThan">
      <formula>"94%"</formula>
    </cfRule>
  </conditionalFormatting>
  <conditionalFormatting sqref="H1:H180">
    <cfRule type="cellIs" dxfId="40" priority="6" operator="lessThan">
      <formula>0</formula>
    </cfRule>
  </conditionalFormatting>
  <conditionalFormatting sqref="C158:C180">
    <cfRule type="cellIs" dxfId="2" priority="3" operator="lessThan">
      <formula>"92%"</formula>
    </cfRule>
  </conditionalFormatting>
  <conditionalFormatting sqref="C158:C180">
    <cfRule type="cellIs" dxfId="1" priority="1" operator="lessThan">
      <formula>"90%"</formula>
    </cfRule>
    <cfRule type="cellIs" dxfId="0" priority="2" operator="lessThan">
      <formula>"94%"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SECA</vt:lpstr>
      <vt:lpstr>CECA</vt:lpstr>
      <vt:lpstr>SE</vt:lpstr>
      <vt:lpstr>LE</vt:lpstr>
      <vt:lpstr>GE</vt:lpstr>
      <vt:lpstr>CE</vt:lpstr>
      <vt:lpstr>KMS</vt:lpstr>
      <vt:lpstr>NMS</vt:lpstr>
      <vt:lpstr>ME</vt:lpstr>
      <vt:lpstr>9K</vt:lpstr>
      <vt:lpstr>KHS</vt:lpstr>
      <vt:lpstr>ECHS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Microsoft Office User</cp:lastModifiedBy>
  <dcterms:created xsi:type="dcterms:W3CDTF">2025-03-11T17:40:36Z</dcterms:created>
  <dcterms:modified xsi:type="dcterms:W3CDTF">2025-04-12T21:01:18Z</dcterms:modified>
</cp:coreProperties>
</file>